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PLANEJAMENTO\#GESTÃO DA PRODUÇÃO\#CRONOGRAMAS\2018\"/>
    </mc:Choice>
  </mc:AlternateContent>
  <xr:revisionPtr revIDLastSave="0" documentId="13_ncr:1_{6A198957-F9A1-42D8-9060-BDF25D9DBD6F}" xr6:coauthVersionLast="32" xr6:coauthVersionMax="32" xr10:uidLastSave="{00000000-0000-0000-0000-000000000000}"/>
  <bookViews>
    <workbookView xWindow="0" yWindow="0" windowWidth="23040" windowHeight="9072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ENCOMENDA!$A$1:$O$473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6" l="1"/>
  <c r="O8" i="16" s="1"/>
  <c r="N9" i="16"/>
  <c r="O9" i="16"/>
  <c r="N10" i="16"/>
  <c r="O10" i="16" s="1"/>
  <c r="N11" i="16"/>
  <c r="O11" i="16"/>
  <c r="N12" i="16"/>
  <c r="O12" i="16" s="1"/>
  <c r="O7" i="16"/>
  <c r="N7" i="16"/>
  <c r="L12" i="16"/>
  <c r="L11" i="16"/>
  <c r="L10" i="16"/>
  <c r="L9" i="16"/>
  <c r="L8" i="16"/>
  <c r="L7" i="16"/>
  <c r="I13" i="16" l="1"/>
  <c r="K13" i="16"/>
  <c r="N9" i="1" l="1"/>
  <c r="N10" i="1"/>
  <c r="N11" i="1"/>
  <c r="N8" i="1"/>
  <c r="U20" i="4"/>
  <c r="U19" i="4"/>
  <c r="U18" i="4"/>
  <c r="U17" i="4"/>
  <c r="U16" i="4"/>
  <c r="U15" i="4"/>
  <c r="U14" i="4"/>
  <c r="U13" i="4"/>
  <c r="U12" i="4"/>
  <c r="U11" i="4"/>
  <c r="U10" i="4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23" i="12"/>
  <c r="U24" i="12"/>
  <c r="U22" i="12"/>
  <c r="U21" i="12"/>
  <c r="U20" i="12"/>
  <c r="U19" i="12"/>
  <c r="U18" i="12"/>
  <c r="U17" i="12"/>
  <c r="U16" i="12"/>
  <c r="U15" i="12"/>
  <c r="U14" i="12"/>
  <c r="U13" i="12"/>
  <c r="U12" i="12"/>
  <c r="U11" i="12"/>
  <c r="U10" i="12"/>
  <c r="U22" i="13"/>
  <c r="U21" i="13"/>
  <c r="U20" i="13"/>
  <c r="U19" i="13"/>
  <c r="U18" i="13"/>
  <c r="U17" i="13"/>
  <c r="U16" i="13"/>
  <c r="U15" i="13"/>
  <c r="U14" i="13"/>
  <c r="U13" i="13"/>
  <c r="U12" i="13"/>
  <c r="S12" i="13"/>
  <c r="T12" i="13" s="1"/>
  <c r="U11" i="13"/>
  <c r="S11" i="13"/>
  <c r="V11" i="13" s="1"/>
  <c r="W11" i="13" s="1"/>
  <c r="U10" i="13"/>
  <c r="A10" i="15"/>
  <c r="A11" i="15"/>
  <c r="A12" i="15"/>
  <c r="S21" i="15" s="1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0" i="14"/>
  <c r="A21" i="14"/>
  <c r="A22" i="14"/>
  <c r="A23" i="14"/>
  <c r="A24" i="14"/>
  <c r="A25" i="14"/>
  <c r="A26" i="14"/>
  <c r="A27" i="14"/>
  <c r="A28" i="14"/>
  <c r="C23" i="13"/>
  <c r="C24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C27" i="12"/>
  <c r="C28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E10" i="9"/>
  <c r="E11" i="9" s="1"/>
  <c r="F19" i="12"/>
  <c r="F20" i="12"/>
  <c r="F21" i="12"/>
  <c r="F22" i="12"/>
  <c r="F23" i="12"/>
  <c r="F24" i="12"/>
  <c r="F25" i="12"/>
  <c r="F26" i="12"/>
  <c r="E10" i="8"/>
  <c r="F12" i="12" s="1"/>
  <c r="E11" i="8"/>
  <c r="E12" i="8" s="1"/>
  <c r="C23" i="8"/>
  <c r="C25" i="12" s="1"/>
  <c r="C24" i="8"/>
  <c r="C26" i="12" s="1"/>
  <c r="F23" i="11"/>
  <c r="G23" i="11" s="1"/>
  <c r="H23" i="11" s="1"/>
  <c r="I23" i="11" s="1"/>
  <c r="J23" i="11" s="1"/>
  <c r="K23" i="11" s="1"/>
  <c r="L23" i="11" s="1"/>
  <c r="M23" i="11" s="1"/>
  <c r="N23" i="11" s="1"/>
  <c r="O23" i="11" s="1"/>
  <c r="P23" i="11" s="1"/>
  <c r="Q23" i="11" s="1"/>
  <c r="R23" i="11" s="1"/>
  <c r="F24" i="11"/>
  <c r="G24" i="11"/>
  <c r="H24" i="11" s="1"/>
  <c r="I24" i="11" s="1"/>
  <c r="J24" i="11" s="1"/>
  <c r="K24" i="11" s="1"/>
  <c r="L24" i="11" s="1"/>
  <c r="M24" i="11" s="1"/>
  <c r="N24" i="11" s="1"/>
  <c r="O24" i="11" s="1"/>
  <c r="P24" i="11" s="1"/>
  <c r="Q24" i="11" s="1"/>
  <c r="R24" i="11" s="1"/>
  <c r="F25" i="11"/>
  <c r="G25" i="11" s="1"/>
  <c r="H25" i="11" s="1"/>
  <c r="I25" i="11" s="1"/>
  <c r="J25" i="11" s="1"/>
  <c r="K25" i="11" s="1"/>
  <c r="L25" i="11" s="1"/>
  <c r="M25" i="11" s="1"/>
  <c r="N25" i="11" s="1"/>
  <c r="O25" i="11" s="1"/>
  <c r="P25" i="11" s="1"/>
  <c r="Q25" i="11" s="1"/>
  <c r="R25" i="11" s="1"/>
  <c r="F26" i="11"/>
  <c r="G26" i="11"/>
  <c r="H26" i="11" s="1"/>
  <c r="I26" i="11" s="1"/>
  <c r="J26" i="11" s="1"/>
  <c r="K26" i="11" s="1"/>
  <c r="L26" i="11" s="1"/>
  <c r="M26" i="11" s="1"/>
  <c r="N26" i="11" s="1"/>
  <c r="O26" i="11" s="1"/>
  <c r="P26" i="11" s="1"/>
  <c r="Q26" i="11" s="1"/>
  <c r="R26" i="11" s="1"/>
  <c r="F27" i="11"/>
  <c r="G27" i="11" s="1"/>
  <c r="H27" i="11" s="1"/>
  <c r="I27" i="11" s="1"/>
  <c r="J27" i="11" s="1"/>
  <c r="K27" i="11" s="1"/>
  <c r="L27" i="11" s="1"/>
  <c r="M27" i="11" s="1"/>
  <c r="N27" i="11" s="1"/>
  <c r="O27" i="11" s="1"/>
  <c r="P27" i="11" s="1"/>
  <c r="Q27" i="11" s="1"/>
  <c r="R27" i="11" s="1"/>
  <c r="F28" i="11"/>
  <c r="G28" i="11"/>
  <c r="H28" i="11" s="1"/>
  <c r="I28" i="11" s="1"/>
  <c r="J28" i="11" s="1"/>
  <c r="K28" i="11" s="1"/>
  <c r="L28" i="11" s="1"/>
  <c r="M28" i="11" s="1"/>
  <c r="N28" i="11" s="1"/>
  <c r="O28" i="11" s="1"/>
  <c r="P28" i="11" s="1"/>
  <c r="Q28" i="11" s="1"/>
  <c r="R28" i="11" s="1"/>
  <c r="F29" i="11"/>
  <c r="G29" i="11" s="1"/>
  <c r="H29" i="11" s="1"/>
  <c r="I29" i="11" s="1"/>
  <c r="J29" i="11" s="1"/>
  <c r="K29" i="11" s="1"/>
  <c r="L29" i="11" s="1"/>
  <c r="M29" i="11" s="1"/>
  <c r="N29" i="11" s="1"/>
  <c r="O29" i="11" s="1"/>
  <c r="P29" i="11" s="1"/>
  <c r="Q29" i="11" s="1"/>
  <c r="R29" i="11" s="1"/>
  <c r="F21" i="13"/>
  <c r="F12" i="13"/>
  <c r="F11" i="13"/>
  <c r="F10" i="13"/>
  <c r="F13" i="12"/>
  <c r="F11" i="12"/>
  <c r="F10" i="12"/>
  <c r="F12" i="11"/>
  <c r="F11" i="11"/>
  <c r="F10" i="11"/>
  <c r="E9" i="9"/>
  <c r="E9" i="8"/>
  <c r="E9" i="7"/>
  <c r="E10" i="6"/>
  <c r="E11" i="6" s="1"/>
  <c r="E9" i="6"/>
  <c r="F12" i="4"/>
  <c r="F11" i="4"/>
  <c r="F10" i="4"/>
  <c r="A9" i="16"/>
  <c r="A10" i="16" s="1"/>
  <c r="A11" i="16" s="1"/>
  <c r="A12" i="16" s="1"/>
  <c r="A8" i="16"/>
  <c r="I285" i="2"/>
  <c r="I284" i="2"/>
  <c r="I283" i="2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V12" i="13" l="1"/>
  <c r="W12" i="13" s="1"/>
  <c r="T11" i="13"/>
  <c r="E12" i="9"/>
  <c r="F13" i="13"/>
  <c r="F14" i="12"/>
  <c r="E13" i="8"/>
  <c r="E12" i="7"/>
  <c r="F13" i="11"/>
  <c r="E12" i="6"/>
  <c r="F13" i="4"/>
  <c r="V21" i="15"/>
  <c r="F14" i="13" l="1"/>
  <c r="E13" i="9"/>
  <c r="E14" i="8"/>
  <c r="F15" i="12"/>
  <c r="F14" i="11"/>
  <c r="E13" i="7"/>
  <c r="F14" i="4"/>
  <c r="E13" i="6"/>
  <c r="E14" i="9" l="1"/>
  <c r="F15" i="13"/>
  <c r="F16" i="12"/>
  <c r="E15" i="8"/>
  <c r="E14" i="7"/>
  <c r="F15" i="11"/>
  <c r="E14" i="6"/>
  <c r="F15" i="4"/>
  <c r="F16" i="13" l="1"/>
  <c r="E15" i="9"/>
  <c r="E16" i="8"/>
  <c r="F17" i="12"/>
  <c r="F16" i="11"/>
  <c r="E15" i="7"/>
  <c r="F16" i="4"/>
  <c r="E15" i="6"/>
  <c r="E16" i="9" l="1"/>
  <c r="F17" i="13"/>
  <c r="F18" i="12"/>
  <c r="E17" i="8"/>
  <c r="E16" i="7"/>
  <c r="F17" i="11"/>
  <c r="E16" i="6"/>
  <c r="F17" i="4"/>
  <c r="F18" i="13" l="1"/>
  <c r="E17" i="9"/>
  <c r="E18" i="8"/>
  <c r="F18" i="11"/>
  <c r="E17" i="7"/>
  <c r="F18" i="4"/>
  <c r="E17" i="6"/>
  <c r="E18" i="9" l="1"/>
  <c r="F20" i="13" s="1"/>
  <c r="F19" i="13"/>
  <c r="E19" i="8"/>
  <c r="E18" i="7"/>
  <c r="F19" i="11"/>
  <c r="E18" i="6"/>
  <c r="F19" i="4"/>
  <c r="E20" i="8" l="1"/>
  <c r="E21" i="8" s="1"/>
  <c r="E22" i="8" s="1"/>
  <c r="F20" i="11"/>
  <c r="E19" i="7"/>
  <c r="F20" i="4"/>
  <c r="E19" i="6"/>
  <c r="E20" i="7" l="1"/>
  <c r="F22" i="11" s="1"/>
  <c r="G22" i="11" s="1"/>
  <c r="H22" i="11" s="1"/>
  <c r="I22" i="11" s="1"/>
  <c r="J22" i="11" s="1"/>
  <c r="K22" i="11" s="1"/>
  <c r="L22" i="11" s="1"/>
  <c r="M22" i="11" s="1"/>
  <c r="N22" i="11" s="1"/>
  <c r="O22" i="11" s="1"/>
  <c r="P22" i="11" s="1"/>
  <c r="Q22" i="11" s="1"/>
  <c r="R22" i="11" s="1"/>
  <c r="F21" i="11"/>
  <c r="E20" i="6"/>
  <c r="F21" i="4"/>
  <c r="F22" i="4" l="1"/>
  <c r="E21" i="6"/>
  <c r="E22" i="6" l="1"/>
  <c r="F23" i="4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K3" i="2"/>
  <c r="L3" i="2"/>
  <c r="K4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C14" i="9" s="1"/>
  <c r="C16" i="13" s="1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C8" i="8" s="1"/>
  <c r="C10" i="12" s="1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C18" i="9" s="1"/>
  <c r="C20" i="13" s="1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C16" i="7" s="1"/>
  <c r="C18" i="11" s="1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C16" i="6" s="1"/>
  <c r="C18" i="4" s="1"/>
  <c r="K195" i="2"/>
  <c r="L195" i="2"/>
  <c r="C16" i="9" s="1"/>
  <c r="C18" i="13" s="1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C17" i="8" s="1"/>
  <c r="C19" i="12" s="1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C10" i="10" s="1"/>
  <c r="C12" i="15" s="1"/>
  <c r="S12" i="15" s="1"/>
  <c r="V12" i="15" s="1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C11" i="6" s="1"/>
  <c r="C13" i="4" s="1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L2" i="2"/>
  <c r="M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2" i="2"/>
  <c r="U30" i="13"/>
  <c r="U29" i="13"/>
  <c r="U28" i="13"/>
  <c r="U27" i="13"/>
  <c r="U26" i="13"/>
  <c r="U25" i="13"/>
  <c r="U24" i="13"/>
  <c r="U23" i="13"/>
  <c r="S23" i="14"/>
  <c r="T23" i="14" s="1"/>
  <c r="S24" i="14"/>
  <c r="T24" i="14" s="1"/>
  <c r="S25" i="14"/>
  <c r="V25" i="14" s="1"/>
  <c r="W25" i="14" s="1"/>
  <c r="S26" i="14"/>
  <c r="T26" i="14" s="1"/>
  <c r="S27" i="14"/>
  <c r="T27" i="14" s="1"/>
  <c r="S28" i="14"/>
  <c r="T28" i="14" s="1"/>
  <c r="S29" i="14"/>
  <c r="T29" i="14" s="1"/>
  <c r="S30" i="14"/>
  <c r="T30" i="14" s="1"/>
  <c r="D23" i="14"/>
  <c r="F23" i="14"/>
  <c r="G23" i="14" s="1"/>
  <c r="H23" i="14" s="1"/>
  <c r="I23" i="14" s="1"/>
  <c r="J23" i="14" s="1"/>
  <c r="K23" i="14" s="1"/>
  <c r="L23" i="14" s="1"/>
  <c r="M23" i="14" s="1"/>
  <c r="N23" i="14" s="1"/>
  <c r="O23" i="14" s="1"/>
  <c r="P23" i="14" s="1"/>
  <c r="Q23" i="14" s="1"/>
  <c r="R23" i="14" s="1"/>
  <c r="U23" i="14"/>
  <c r="D24" i="14"/>
  <c r="F24" i="14"/>
  <c r="G24" i="14" s="1"/>
  <c r="H24" i="14" s="1"/>
  <c r="I24" i="14" s="1"/>
  <c r="J24" i="14" s="1"/>
  <c r="K24" i="14" s="1"/>
  <c r="L24" i="14" s="1"/>
  <c r="M24" i="14" s="1"/>
  <c r="N24" i="14" s="1"/>
  <c r="O24" i="14" s="1"/>
  <c r="P24" i="14" s="1"/>
  <c r="Q24" i="14" s="1"/>
  <c r="R24" i="14" s="1"/>
  <c r="U24" i="14"/>
  <c r="D25" i="14"/>
  <c r="F25" i="14"/>
  <c r="G25" i="14" s="1"/>
  <c r="H25" i="14" s="1"/>
  <c r="I25" i="14" s="1"/>
  <c r="J25" i="14" s="1"/>
  <c r="K25" i="14" s="1"/>
  <c r="L25" i="14" s="1"/>
  <c r="M25" i="14" s="1"/>
  <c r="N25" i="14" s="1"/>
  <c r="O25" i="14" s="1"/>
  <c r="P25" i="14" s="1"/>
  <c r="Q25" i="14" s="1"/>
  <c r="R25" i="14" s="1"/>
  <c r="U25" i="14"/>
  <c r="D26" i="14"/>
  <c r="F26" i="14"/>
  <c r="G26" i="14"/>
  <c r="H26" i="14" s="1"/>
  <c r="I26" i="14" s="1"/>
  <c r="J26" i="14" s="1"/>
  <c r="K26" i="14" s="1"/>
  <c r="L26" i="14" s="1"/>
  <c r="M26" i="14" s="1"/>
  <c r="N26" i="14" s="1"/>
  <c r="O26" i="14" s="1"/>
  <c r="P26" i="14" s="1"/>
  <c r="Q26" i="14" s="1"/>
  <c r="R26" i="14" s="1"/>
  <c r="U26" i="14"/>
  <c r="D27" i="14"/>
  <c r="F27" i="14"/>
  <c r="G27" i="14"/>
  <c r="H27" i="14" s="1"/>
  <c r="I27" i="14" s="1"/>
  <c r="J27" i="14" s="1"/>
  <c r="K27" i="14" s="1"/>
  <c r="L27" i="14" s="1"/>
  <c r="M27" i="14" s="1"/>
  <c r="N27" i="14" s="1"/>
  <c r="O27" i="14" s="1"/>
  <c r="P27" i="14" s="1"/>
  <c r="Q27" i="14" s="1"/>
  <c r="R27" i="14" s="1"/>
  <c r="U27" i="14"/>
  <c r="D28" i="14"/>
  <c r="F28" i="14"/>
  <c r="G28" i="14" s="1"/>
  <c r="H28" i="14" s="1"/>
  <c r="I28" i="14" s="1"/>
  <c r="J28" i="14" s="1"/>
  <c r="K28" i="14" s="1"/>
  <c r="L28" i="14" s="1"/>
  <c r="M28" i="14" s="1"/>
  <c r="N28" i="14" s="1"/>
  <c r="O28" i="14" s="1"/>
  <c r="P28" i="14" s="1"/>
  <c r="Q28" i="14" s="1"/>
  <c r="R28" i="14" s="1"/>
  <c r="U28" i="14"/>
  <c r="D29" i="14"/>
  <c r="F29" i="14"/>
  <c r="G29" i="14"/>
  <c r="H29" i="14" s="1"/>
  <c r="I29" i="14" s="1"/>
  <c r="J29" i="14" s="1"/>
  <c r="K29" i="14" s="1"/>
  <c r="L29" i="14" s="1"/>
  <c r="M29" i="14" s="1"/>
  <c r="N29" i="14" s="1"/>
  <c r="O29" i="14" s="1"/>
  <c r="P29" i="14" s="1"/>
  <c r="Q29" i="14" s="1"/>
  <c r="R29" i="14" s="1"/>
  <c r="U29" i="14"/>
  <c r="D30" i="14"/>
  <c r="F30" i="14"/>
  <c r="G30" i="14"/>
  <c r="H30" i="14" s="1"/>
  <c r="I30" i="14" s="1"/>
  <c r="J30" i="14" s="1"/>
  <c r="K30" i="14" s="1"/>
  <c r="L30" i="14" s="1"/>
  <c r="M30" i="14" s="1"/>
  <c r="N30" i="14" s="1"/>
  <c r="O30" i="14" s="1"/>
  <c r="P30" i="14" s="1"/>
  <c r="Q30" i="14" s="1"/>
  <c r="R30" i="14" s="1"/>
  <c r="U30" i="14"/>
  <c r="B10" i="14"/>
  <c r="B11" i="14"/>
  <c r="B12" i="14"/>
  <c r="B13" i="14"/>
  <c r="B14" i="14"/>
  <c r="U14" i="14" s="1"/>
  <c r="B15" i="14"/>
  <c r="B16" i="14"/>
  <c r="B17" i="14"/>
  <c r="B18" i="14"/>
  <c r="U18" i="14" s="1"/>
  <c r="B20" i="14"/>
  <c r="B21" i="14"/>
  <c r="B22" i="14"/>
  <c r="B23" i="14"/>
  <c r="B24" i="14"/>
  <c r="B25" i="14"/>
  <c r="B26" i="14"/>
  <c r="B27" i="14"/>
  <c r="B28" i="14"/>
  <c r="B29" i="14"/>
  <c r="B30" i="14"/>
  <c r="U10" i="14"/>
  <c r="C23" i="14"/>
  <c r="C24" i="14"/>
  <c r="C25" i="14"/>
  <c r="C26" i="14"/>
  <c r="C27" i="14"/>
  <c r="C28" i="14"/>
  <c r="C29" i="14"/>
  <c r="C30" i="14"/>
  <c r="C20" i="14"/>
  <c r="U11" i="14"/>
  <c r="U12" i="14"/>
  <c r="U13" i="14"/>
  <c r="U15" i="14"/>
  <c r="U16" i="14"/>
  <c r="U17" i="14"/>
  <c r="U19" i="14"/>
  <c r="U20" i="14"/>
  <c r="U21" i="14"/>
  <c r="U22" i="14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F22" i="14"/>
  <c r="C20" i="10"/>
  <c r="C22" i="15" s="1"/>
  <c r="S22" i="15" s="1"/>
  <c r="V22" i="15" s="1"/>
  <c r="C11" i="13"/>
  <c r="C12" i="13"/>
  <c r="C11" i="9"/>
  <c r="C13" i="13" s="1"/>
  <c r="C12" i="9"/>
  <c r="C14" i="13" s="1"/>
  <c r="C13" i="9"/>
  <c r="C15" i="13" s="1"/>
  <c r="C15" i="9"/>
  <c r="C17" i="13" s="1"/>
  <c r="C17" i="9"/>
  <c r="C19" i="13" s="1"/>
  <c r="C19" i="9"/>
  <c r="C21" i="13" s="1"/>
  <c r="C20" i="9"/>
  <c r="C22" i="13" s="1"/>
  <c r="S22" i="13" s="1"/>
  <c r="C8" i="9"/>
  <c r="C10" i="13" s="1"/>
  <c r="S10" i="13" s="1"/>
  <c r="C12" i="8"/>
  <c r="C14" i="12" s="1"/>
  <c r="C14" i="8"/>
  <c r="C16" i="12" s="1"/>
  <c r="C16" i="8"/>
  <c r="C18" i="12" s="1"/>
  <c r="C19" i="8"/>
  <c r="C21" i="12" s="1"/>
  <c r="C20" i="8"/>
  <c r="C22" i="12" s="1"/>
  <c r="C12" i="7"/>
  <c r="C14" i="11" s="1"/>
  <c r="C20" i="7"/>
  <c r="C22" i="11" s="1"/>
  <c r="C15" i="6"/>
  <c r="C17" i="4" s="1"/>
  <c r="C19" i="6"/>
  <c r="C21" i="4" s="1"/>
  <c r="C20" i="6"/>
  <c r="C22" i="4" s="1"/>
  <c r="K2" i="2"/>
  <c r="C9" i="5"/>
  <c r="C11" i="14" s="1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D11" i="15" s="1"/>
  <c r="B12" i="15"/>
  <c r="D12" i="15" s="1"/>
  <c r="B13" i="15"/>
  <c r="D13" i="15" s="1"/>
  <c r="B14" i="15"/>
  <c r="D14" i="15" s="1"/>
  <c r="B15" i="15"/>
  <c r="D15" i="15" s="1"/>
  <c r="B16" i="15"/>
  <c r="D16" i="15" s="1"/>
  <c r="B17" i="15"/>
  <c r="D17" i="15" s="1"/>
  <c r="B18" i="15"/>
  <c r="D18" i="15" s="1"/>
  <c r="B19" i="15"/>
  <c r="D19" i="15" s="1"/>
  <c r="B20" i="15"/>
  <c r="D20" i="15" s="1"/>
  <c r="B21" i="15"/>
  <c r="D21" i="15" s="1"/>
  <c r="B22" i="15"/>
  <c r="D22" i="15" s="1"/>
  <c r="B23" i="15"/>
  <c r="D23" i="15" s="1"/>
  <c r="B24" i="15"/>
  <c r="D24" i="15" s="1"/>
  <c r="B25" i="15"/>
  <c r="D25" i="15" s="1"/>
  <c r="B26" i="15"/>
  <c r="D26" i="15" s="1"/>
  <c r="B27" i="15"/>
  <c r="D27" i="15" s="1"/>
  <c r="B28" i="15"/>
  <c r="D28" i="15" s="1"/>
  <c r="B29" i="15"/>
  <c r="D29" i="15" s="1"/>
  <c r="B30" i="15"/>
  <c r="D30" i="15" s="1"/>
  <c r="B10" i="15"/>
  <c r="G22" i="15"/>
  <c r="A8" i="15"/>
  <c r="D11" i="14"/>
  <c r="D13" i="14"/>
  <c r="D15" i="14"/>
  <c r="D17" i="14"/>
  <c r="D19" i="14"/>
  <c r="D21" i="14"/>
  <c r="D22" i="14"/>
  <c r="F21" i="14"/>
  <c r="F20" i="14"/>
  <c r="D20" i="14"/>
  <c r="F19" i="14"/>
  <c r="F18" i="14"/>
  <c r="F17" i="14"/>
  <c r="F16" i="14"/>
  <c r="D16" i="14"/>
  <c r="F15" i="14"/>
  <c r="F14" i="14"/>
  <c r="F13" i="14"/>
  <c r="F12" i="14"/>
  <c r="D12" i="14"/>
  <c r="F11" i="14"/>
  <c r="F10" i="14"/>
  <c r="A8" i="14"/>
  <c r="B11" i="13"/>
  <c r="D11" i="13" s="1"/>
  <c r="B12" i="13"/>
  <c r="D12" i="13" s="1"/>
  <c r="B13" i="13"/>
  <c r="D13" i="13" s="1"/>
  <c r="B14" i="13"/>
  <c r="D14" i="13" s="1"/>
  <c r="B15" i="13"/>
  <c r="D15" i="13" s="1"/>
  <c r="B16" i="13"/>
  <c r="D16" i="13" s="1"/>
  <c r="B17" i="13"/>
  <c r="D17" i="13" s="1"/>
  <c r="B18" i="13"/>
  <c r="D18" i="13" s="1"/>
  <c r="B19" i="13"/>
  <c r="D19" i="13" s="1"/>
  <c r="B20" i="13"/>
  <c r="D20" i="13" s="1"/>
  <c r="B21" i="13"/>
  <c r="D21" i="13" s="1"/>
  <c r="B22" i="13"/>
  <c r="D22" i="13" s="1"/>
  <c r="B23" i="13"/>
  <c r="D23" i="13" s="1"/>
  <c r="B24" i="13"/>
  <c r="D24" i="13" s="1"/>
  <c r="B25" i="13"/>
  <c r="D25" i="13" s="1"/>
  <c r="B26" i="13"/>
  <c r="D26" i="13" s="1"/>
  <c r="B27" i="13"/>
  <c r="D27" i="13" s="1"/>
  <c r="B28" i="13"/>
  <c r="B29" i="13"/>
  <c r="D29" i="13" s="1"/>
  <c r="B30" i="13"/>
  <c r="D10" i="13"/>
  <c r="E10" i="13" s="1"/>
  <c r="D8" i="9" s="1"/>
  <c r="B11" i="12"/>
  <c r="D11" i="12" s="1"/>
  <c r="B12" i="12"/>
  <c r="D12" i="12" s="1"/>
  <c r="B13" i="12"/>
  <c r="D13" i="12" s="1"/>
  <c r="B14" i="12"/>
  <c r="D14" i="12" s="1"/>
  <c r="B15" i="12"/>
  <c r="D15" i="12" s="1"/>
  <c r="B16" i="12"/>
  <c r="B17" i="12"/>
  <c r="D17" i="12" s="1"/>
  <c r="B18" i="12"/>
  <c r="D18" i="12" s="1"/>
  <c r="B19" i="12"/>
  <c r="D19" i="12" s="1"/>
  <c r="B20" i="12"/>
  <c r="D20" i="12" s="1"/>
  <c r="G20" i="12" s="1"/>
  <c r="B21" i="12"/>
  <c r="D21" i="12" s="1"/>
  <c r="G21" i="12" s="1"/>
  <c r="B22" i="12"/>
  <c r="B23" i="12"/>
  <c r="D23" i="12" s="1"/>
  <c r="G23" i="12" s="1"/>
  <c r="B24" i="12"/>
  <c r="D24" i="12" s="1"/>
  <c r="G24" i="12" s="1"/>
  <c r="B25" i="12"/>
  <c r="B26" i="12"/>
  <c r="D26" i="12" s="1"/>
  <c r="G26" i="12" s="1"/>
  <c r="B27" i="12"/>
  <c r="D27" i="12" s="1"/>
  <c r="B28" i="12"/>
  <c r="B29" i="12"/>
  <c r="B30" i="12"/>
  <c r="D30" i="12" s="1"/>
  <c r="B10" i="12"/>
  <c r="D10" i="12" s="1"/>
  <c r="E10" i="12" s="1"/>
  <c r="D8" i="8" s="1"/>
  <c r="G30" i="13"/>
  <c r="H30" i="13" s="1"/>
  <c r="D30" i="13"/>
  <c r="D28" i="13"/>
  <c r="A8" i="13"/>
  <c r="G26" i="13" s="1"/>
  <c r="H26" i="13" s="1"/>
  <c r="D29" i="12"/>
  <c r="D28" i="12"/>
  <c r="D25" i="12"/>
  <c r="G25" i="12" s="1"/>
  <c r="D22" i="12"/>
  <c r="G22" i="12" s="1"/>
  <c r="D16" i="12"/>
  <c r="A8" i="12"/>
  <c r="B11" i="11"/>
  <c r="D11" i="11" s="1"/>
  <c r="B12" i="11"/>
  <c r="D12" i="11" s="1"/>
  <c r="B13" i="11"/>
  <c r="B14" i="11"/>
  <c r="B15" i="11"/>
  <c r="D15" i="11" s="1"/>
  <c r="B16" i="11"/>
  <c r="D16" i="11" s="1"/>
  <c r="B17" i="11"/>
  <c r="D17" i="11" s="1"/>
  <c r="B18" i="11"/>
  <c r="D18" i="11" s="1"/>
  <c r="B19" i="11"/>
  <c r="D19" i="11" s="1"/>
  <c r="B20" i="11"/>
  <c r="D20" i="11" s="1"/>
  <c r="B21" i="11"/>
  <c r="D21" i="11" s="1"/>
  <c r="B22" i="11"/>
  <c r="B23" i="11"/>
  <c r="D23" i="11" s="1"/>
  <c r="B24" i="11"/>
  <c r="D24" i="11" s="1"/>
  <c r="B25" i="11"/>
  <c r="B26" i="11"/>
  <c r="D26" i="11" s="1"/>
  <c r="B27" i="11"/>
  <c r="D27" i="11" s="1"/>
  <c r="B28" i="11"/>
  <c r="D28" i="11" s="1"/>
  <c r="B29" i="11"/>
  <c r="B30" i="11"/>
  <c r="D30" i="11" s="1"/>
  <c r="B10" i="11"/>
  <c r="D10" i="11" s="1"/>
  <c r="E10" i="11" s="1"/>
  <c r="D8" i="7" s="1"/>
  <c r="D29" i="11"/>
  <c r="D25" i="11"/>
  <c r="D22" i="11"/>
  <c r="D14" i="11"/>
  <c r="D13" i="11"/>
  <c r="A8" i="11"/>
  <c r="B11" i="4"/>
  <c r="B12" i="4"/>
  <c r="B13" i="4"/>
  <c r="B14" i="4"/>
  <c r="B15" i="4"/>
  <c r="B16" i="4"/>
  <c r="B17" i="4"/>
  <c r="B18" i="4"/>
  <c r="B19" i="4"/>
  <c r="B20" i="4"/>
  <c r="B21" i="4"/>
  <c r="U21" i="4" s="1"/>
  <c r="B22" i="4"/>
  <c r="B23" i="4"/>
  <c r="U23" i="4" s="1"/>
  <c r="B24" i="4"/>
  <c r="B25" i="4"/>
  <c r="B26" i="4"/>
  <c r="D26" i="4" s="1"/>
  <c r="B27" i="4"/>
  <c r="B28" i="4"/>
  <c r="B29" i="4"/>
  <c r="B30" i="4"/>
  <c r="D30" i="4" s="1"/>
  <c r="B10" i="4"/>
  <c r="D23" i="4"/>
  <c r="D27" i="4"/>
  <c r="D28" i="4"/>
  <c r="D29" i="4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E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7"/>
  <c r="U8" i="7" s="1"/>
  <c r="T8" i="6"/>
  <c r="U8" i="6" s="1"/>
  <c r="Q7" i="6"/>
  <c r="P7" i="6"/>
  <c r="O7" i="6"/>
  <c r="N7" i="6"/>
  <c r="M7" i="6"/>
  <c r="L7" i="6"/>
  <c r="K7" i="6"/>
  <c r="J7" i="6"/>
  <c r="I7" i="6"/>
  <c r="H7" i="6"/>
  <c r="G7" i="6"/>
  <c r="E7" i="6"/>
  <c r="D7" i="6"/>
  <c r="S18" i="13" l="1"/>
  <c r="S17" i="13"/>
  <c r="S16" i="13"/>
  <c r="C14" i="5"/>
  <c r="C16" i="14" s="1"/>
  <c r="S21" i="13"/>
  <c r="S19" i="13"/>
  <c r="S20" i="13"/>
  <c r="T22" i="13"/>
  <c r="V22" i="13"/>
  <c r="W22" i="13" s="1"/>
  <c r="T10" i="13"/>
  <c r="V10" i="13"/>
  <c r="W10" i="13" s="1"/>
  <c r="S14" i="13"/>
  <c r="S15" i="13"/>
  <c r="S13" i="13"/>
  <c r="D25" i="4"/>
  <c r="G25" i="4" s="1"/>
  <c r="U25" i="4"/>
  <c r="D22" i="4"/>
  <c r="U22" i="4"/>
  <c r="G23" i="4"/>
  <c r="D24" i="4"/>
  <c r="U24" i="4"/>
  <c r="C9" i="7"/>
  <c r="C11" i="11" s="1"/>
  <c r="C18" i="8"/>
  <c r="C20" i="12" s="1"/>
  <c r="S21" i="12" s="1"/>
  <c r="C10" i="8"/>
  <c r="C12" i="12" s="1"/>
  <c r="C15" i="8"/>
  <c r="C17" i="12" s="1"/>
  <c r="S16" i="12" s="1"/>
  <c r="C13" i="8"/>
  <c r="C15" i="12" s="1"/>
  <c r="C11" i="8"/>
  <c r="C13" i="12" s="1"/>
  <c r="C9" i="8"/>
  <c r="C11" i="12" s="1"/>
  <c r="S11" i="12" s="1"/>
  <c r="C19" i="7"/>
  <c r="C21" i="11" s="1"/>
  <c r="C18" i="7"/>
  <c r="C20" i="11" s="1"/>
  <c r="C17" i="7"/>
  <c r="C19" i="11" s="1"/>
  <c r="C15" i="7"/>
  <c r="C17" i="11" s="1"/>
  <c r="C14" i="7"/>
  <c r="C16" i="11" s="1"/>
  <c r="C13" i="7"/>
  <c r="C15" i="11" s="1"/>
  <c r="S16" i="11" s="1"/>
  <c r="C11" i="7"/>
  <c r="C13" i="11" s="1"/>
  <c r="C10" i="7"/>
  <c r="C12" i="11" s="1"/>
  <c r="C8" i="7"/>
  <c r="C10" i="11" s="1"/>
  <c r="S10" i="11" s="1"/>
  <c r="C18" i="6"/>
  <c r="C20" i="4" s="1"/>
  <c r="C12" i="6"/>
  <c r="C14" i="4" s="1"/>
  <c r="S14" i="4" s="1"/>
  <c r="C17" i="6"/>
  <c r="C19" i="4" s="1"/>
  <c r="C14" i="6"/>
  <c r="C16" i="4" s="1"/>
  <c r="C13" i="6"/>
  <c r="C15" i="4" s="1"/>
  <c r="C9" i="6"/>
  <c r="C11" i="4" s="1"/>
  <c r="C10" i="6"/>
  <c r="C12" i="4" s="1"/>
  <c r="C8" i="6"/>
  <c r="C10" i="4" s="1"/>
  <c r="C21" i="8"/>
  <c r="C23" i="12" s="1"/>
  <c r="S22" i="12" s="1"/>
  <c r="C22" i="8"/>
  <c r="C24" i="12" s="1"/>
  <c r="H26" i="12"/>
  <c r="F24" i="8"/>
  <c r="H25" i="12"/>
  <c r="F23" i="8"/>
  <c r="H24" i="12"/>
  <c r="F22" i="8"/>
  <c r="H23" i="12"/>
  <c r="F21" i="8"/>
  <c r="F19" i="8"/>
  <c r="H21" i="12"/>
  <c r="H20" i="12"/>
  <c r="F18" i="8"/>
  <c r="H22" i="12"/>
  <c r="F20" i="8"/>
  <c r="G19" i="12"/>
  <c r="C23" i="6"/>
  <c r="C25" i="4" s="1"/>
  <c r="C22" i="6"/>
  <c r="C24" i="4" s="1"/>
  <c r="C21" i="6"/>
  <c r="C23" i="4" s="1"/>
  <c r="S23" i="4" s="1"/>
  <c r="C8" i="10"/>
  <c r="C10" i="15" s="1"/>
  <c r="S10" i="15" s="1"/>
  <c r="V10" i="15" s="1"/>
  <c r="C9" i="10"/>
  <c r="C11" i="15" s="1"/>
  <c r="S11" i="15" s="1"/>
  <c r="V11" i="15" s="1"/>
  <c r="W11" i="15" s="1"/>
  <c r="T22" i="15"/>
  <c r="W22" i="15"/>
  <c r="T12" i="15"/>
  <c r="W12" i="15"/>
  <c r="C17" i="10"/>
  <c r="C19" i="15" s="1"/>
  <c r="C14" i="10"/>
  <c r="C16" i="15" s="1"/>
  <c r="C13" i="10"/>
  <c r="C15" i="15" s="1"/>
  <c r="S15" i="15" s="1"/>
  <c r="V15" i="15" s="1"/>
  <c r="C11" i="10"/>
  <c r="C13" i="15" s="1"/>
  <c r="S13" i="15" s="1"/>
  <c r="V13" i="15" s="1"/>
  <c r="C15" i="10"/>
  <c r="C17" i="15" s="1"/>
  <c r="C19" i="10"/>
  <c r="C12" i="10"/>
  <c r="C14" i="15" s="1"/>
  <c r="S14" i="15" s="1"/>
  <c r="V14" i="15" s="1"/>
  <c r="C18" i="10"/>
  <c r="C16" i="10"/>
  <c r="C18" i="15" s="1"/>
  <c r="S18" i="15" s="1"/>
  <c r="V18" i="15" s="1"/>
  <c r="D12" i="16"/>
  <c r="F12" i="16"/>
  <c r="E12" i="16"/>
  <c r="C15" i="5"/>
  <c r="C17" i="14" s="1"/>
  <c r="G12" i="16"/>
  <c r="V27" i="14"/>
  <c r="W27" i="14" s="1"/>
  <c r="G22" i="13"/>
  <c r="F20" i="9" s="1"/>
  <c r="T25" i="14"/>
  <c r="V29" i="14"/>
  <c r="W29" i="14" s="1"/>
  <c r="C20" i="5"/>
  <c r="C22" i="14" s="1"/>
  <c r="C17" i="5"/>
  <c r="C19" i="14" s="1"/>
  <c r="V24" i="14"/>
  <c r="W24" i="14" s="1"/>
  <c r="V26" i="14"/>
  <c r="W26" i="14" s="1"/>
  <c r="V30" i="14"/>
  <c r="W30" i="14" s="1"/>
  <c r="V28" i="14"/>
  <c r="W28" i="14" s="1"/>
  <c r="D14" i="14"/>
  <c r="D18" i="14"/>
  <c r="D10" i="14"/>
  <c r="E10" i="14" s="1"/>
  <c r="D8" i="5" s="1"/>
  <c r="C16" i="5"/>
  <c r="C18" i="14" s="1"/>
  <c r="C10" i="5"/>
  <c r="C12" i="14" s="1"/>
  <c r="S12" i="14" s="1"/>
  <c r="T12" i="14" s="1"/>
  <c r="C12" i="5"/>
  <c r="C14" i="14" s="1"/>
  <c r="S14" i="14" s="1"/>
  <c r="T14" i="14" s="1"/>
  <c r="C13" i="5"/>
  <c r="C15" i="14" s="1"/>
  <c r="C8" i="5"/>
  <c r="C10" i="14" s="1"/>
  <c r="F7" i="16"/>
  <c r="C11" i="5"/>
  <c r="C13" i="14" s="1"/>
  <c r="S13" i="14" s="1"/>
  <c r="T13" i="14" s="1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I26" i="13"/>
  <c r="J26" i="13" s="1"/>
  <c r="K26" i="13" s="1"/>
  <c r="L26" i="13" s="1"/>
  <c r="M26" i="13" s="1"/>
  <c r="N26" i="13" s="1"/>
  <c r="O26" i="13" s="1"/>
  <c r="P26" i="13" s="1"/>
  <c r="Q26" i="13" s="1"/>
  <c r="R26" i="13" s="1"/>
  <c r="D10" i="15"/>
  <c r="E10" i="15" s="1"/>
  <c r="C21" i="14"/>
  <c r="G22" i="14"/>
  <c r="F20" i="5" s="1"/>
  <c r="H22" i="15"/>
  <c r="G20" i="10" s="1"/>
  <c r="F20" i="10"/>
  <c r="G18" i="15"/>
  <c r="G18" i="13"/>
  <c r="G13" i="14"/>
  <c r="G19" i="14"/>
  <c r="G21" i="13"/>
  <c r="G21" i="15"/>
  <c r="G12" i="12"/>
  <c r="G12" i="13"/>
  <c r="G14" i="11"/>
  <c r="G19" i="15"/>
  <c r="G13" i="15"/>
  <c r="G17" i="15"/>
  <c r="G30" i="15"/>
  <c r="H30" i="15" s="1"/>
  <c r="I30" i="15" s="1"/>
  <c r="J30" i="15" s="1"/>
  <c r="K30" i="15" s="1"/>
  <c r="L30" i="15" s="1"/>
  <c r="M30" i="15" s="1"/>
  <c r="N30" i="15" s="1"/>
  <c r="O30" i="15" s="1"/>
  <c r="P30" i="15" s="1"/>
  <c r="Q30" i="15" s="1"/>
  <c r="R30" i="15" s="1"/>
  <c r="G11" i="15"/>
  <c r="G27" i="15"/>
  <c r="H27" i="15" s="1"/>
  <c r="I27" i="15" s="1"/>
  <c r="J27" i="15" s="1"/>
  <c r="K27" i="15" s="1"/>
  <c r="L27" i="15" s="1"/>
  <c r="M27" i="15" s="1"/>
  <c r="N27" i="15" s="1"/>
  <c r="O27" i="15" s="1"/>
  <c r="P27" i="15" s="1"/>
  <c r="Q27" i="15" s="1"/>
  <c r="R27" i="15" s="1"/>
  <c r="G23" i="15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G20" i="15"/>
  <c r="G16" i="15"/>
  <c r="G12" i="15"/>
  <c r="G28" i="15"/>
  <c r="H28" i="15" s="1"/>
  <c r="I28" i="15" s="1"/>
  <c r="J28" i="15" s="1"/>
  <c r="K28" i="15" s="1"/>
  <c r="L28" i="15" s="1"/>
  <c r="M28" i="15" s="1"/>
  <c r="N28" i="15" s="1"/>
  <c r="O28" i="15" s="1"/>
  <c r="P28" i="15" s="1"/>
  <c r="Q28" i="15" s="1"/>
  <c r="R28" i="15" s="1"/>
  <c r="G24" i="15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G29" i="15"/>
  <c r="H29" i="15" s="1"/>
  <c r="I29" i="15" s="1"/>
  <c r="J29" i="15" s="1"/>
  <c r="K29" i="15" s="1"/>
  <c r="L29" i="15" s="1"/>
  <c r="M29" i="15" s="1"/>
  <c r="N29" i="15" s="1"/>
  <c r="O29" i="15" s="1"/>
  <c r="P29" i="15" s="1"/>
  <c r="Q29" i="15" s="1"/>
  <c r="R29" i="15" s="1"/>
  <c r="G15" i="15"/>
  <c r="G25" i="15"/>
  <c r="H25" i="15" s="1"/>
  <c r="I25" i="15" s="1"/>
  <c r="J25" i="15" s="1"/>
  <c r="K25" i="15" s="1"/>
  <c r="L25" i="15" s="1"/>
  <c r="M25" i="15" s="1"/>
  <c r="N25" i="15" s="1"/>
  <c r="O25" i="15" s="1"/>
  <c r="P25" i="15" s="1"/>
  <c r="Q25" i="15" s="1"/>
  <c r="R25" i="15" s="1"/>
  <c r="G14" i="15"/>
  <c r="G26" i="15"/>
  <c r="H26" i="15" s="1"/>
  <c r="I26" i="15" s="1"/>
  <c r="J26" i="15" s="1"/>
  <c r="K26" i="15" s="1"/>
  <c r="L26" i="15" s="1"/>
  <c r="M26" i="15" s="1"/>
  <c r="N26" i="15" s="1"/>
  <c r="O26" i="15" s="1"/>
  <c r="P26" i="15" s="1"/>
  <c r="Q26" i="15" s="1"/>
  <c r="R26" i="15" s="1"/>
  <c r="G11" i="14"/>
  <c r="G21" i="14"/>
  <c r="G18" i="14"/>
  <c r="G15" i="14"/>
  <c r="G17" i="14"/>
  <c r="G16" i="14"/>
  <c r="G14" i="14"/>
  <c r="G20" i="14"/>
  <c r="G12" i="14"/>
  <c r="G15" i="13"/>
  <c r="E11" i="13"/>
  <c r="G19" i="13"/>
  <c r="G10" i="13"/>
  <c r="G14" i="12"/>
  <c r="G13" i="12"/>
  <c r="G17" i="12"/>
  <c r="E11" i="12"/>
  <c r="G10" i="12"/>
  <c r="G17" i="13"/>
  <c r="G13" i="13"/>
  <c r="G14" i="13"/>
  <c r="I30" i="13"/>
  <c r="J30" i="13" s="1"/>
  <c r="K30" i="13" s="1"/>
  <c r="L30" i="13" s="1"/>
  <c r="M30" i="13" s="1"/>
  <c r="N30" i="13" s="1"/>
  <c r="O30" i="13" s="1"/>
  <c r="P30" i="13" s="1"/>
  <c r="Q30" i="13" s="1"/>
  <c r="R30" i="13" s="1"/>
  <c r="G27" i="13"/>
  <c r="H27" i="13" s="1"/>
  <c r="I27" i="13" s="1"/>
  <c r="J27" i="13" s="1"/>
  <c r="K27" i="13" s="1"/>
  <c r="L27" i="13" s="1"/>
  <c r="M27" i="13" s="1"/>
  <c r="N27" i="13" s="1"/>
  <c r="O27" i="13" s="1"/>
  <c r="P27" i="13" s="1"/>
  <c r="Q27" i="13" s="1"/>
  <c r="R27" i="13" s="1"/>
  <c r="G28" i="13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R28" i="13" s="1"/>
  <c r="G24" i="13"/>
  <c r="H24" i="13" s="1"/>
  <c r="I24" i="13" s="1"/>
  <c r="J24" i="13" s="1"/>
  <c r="K24" i="13" s="1"/>
  <c r="L24" i="13" s="1"/>
  <c r="M24" i="13" s="1"/>
  <c r="N24" i="13" s="1"/>
  <c r="O24" i="13" s="1"/>
  <c r="P24" i="13" s="1"/>
  <c r="Q24" i="13" s="1"/>
  <c r="R24" i="13" s="1"/>
  <c r="G29" i="13"/>
  <c r="H29" i="13" s="1"/>
  <c r="I29" i="13" s="1"/>
  <c r="J29" i="13" s="1"/>
  <c r="K29" i="13" s="1"/>
  <c r="L29" i="13" s="1"/>
  <c r="M29" i="13" s="1"/>
  <c r="N29" i="13" s="1"/>
  <c r="O29" i="13" s="1"/>
  <c r="P29" i="13" s="1"/>
  <c r="Q29" i="13" s="1"/>
  <c r="R29" i="13" s="1"/>
  <c r="G16" i="13"/>
  <c r="G11" i="13"/>
  <c r="G20" i="13"/>
  <c r="G23" i="13"/>
  <c r="H23" i="13" s="1"/>
  <c r="I23" i="13" s="1"/>
  <c r="J23" i="13" s="1"/>
  <c r="K23" i="13" s="1"/>
  <c r="L23" i="13" s="1"/>
  <c r="M23" i="13" s="1"/>
  <c r="N23" i="13" s="1"/>
  <c r="O23" i="13" s="1"/>
  <c r="P23" i="13" s="1"/>
  <c r="Q23" i="13" s="1"/>
  <c r="R23" i="13" s="1"/>
  <c r="G25" i="13"/>
  <c r="H25" i="13" s="1"/>
  <c r="I25" i="13" s="1"/>
  <c r="J25" i="13" s="1"/>
  <c r="K25" i="13" s="1"/>
  <c r="L25" i="13" s="1"/>
  <c r="M25" i="13" s="1"/>
  <c r="N25" i="13" s="1"/>
  <c r="O25" i="13" s="1"/>
  <c r="P25" i="13" s="1"/>
  <c r="Q25" i="13" s="1"/>
  <c r="R25" i="13" s="1"/>
  <c r="G27" i="12"/>
  <c r="H27" i="12" s="1"/>
  <c r="I27" i="12" s="1"/>
  <c r="J27" i="12" s="1"/>
  <c r="K27" i="12" s="1"/>
  <c r="L27" i="12" s="1"/>
  <c r="M27" i="12" s="1"/>
  <c r="N27" i="12" s="1"/>
  <c r="O27" i="12" s="1"/>
  <c r="P27" i="12" s="1"/>
  <c r="Q27" i="12" s="1"/>
  <c r="R27" i="12" s="1"/>
  <c r="G28" i="12"/>
  <c r="H28" i="12" s="1"/>
  <c r="I28" i="12" s="1"/>
  <c r="J28" i="12" s="1"/>
  <c r="K28" i="12" s="1"/>
  <c r="L28" i="12" s="1"/>
  <c r="M28" i="12" s="1"/>
  <c r="N28" i="12" s="1"/>
  <c r="O28" i="12" s="1"/>
  <c r="P28" i="12" s="1"/>
  <c r="Q28" i="12" s="1"/>
  <c r="R28" i="12" s="1"/>
  <c r="G29" i="12"/>
  <c r="H29" i="12" s="1"/>
  <c r="I29" i="12" s="1"/>
  <c r="J29" i="12" s="1"/>
  <c r="K29" i="12" s="1"/>
  <c r="L29" i="12" s="1"/>
  <c r="M29" i="12" s="1"/>
  <c r="N29" i="12" s="1"/>
  <c r="O29" i="12" s="1"/>
  <c r="P29" i="12" s="1"/>
  <c r="Q29" i="12" s="1"/>
  <c r="R29" i="12" s="1"/>
  <c r="G16" i="12"/>
  <c r="G30" i="12"/>
  <c r="H30" i="12" s="1"/>
  <c r="I30" i="12" s="1"/>
  <c r="J30" i="12" s="1"/>
  <c r="K30" i="12" s="1"/>
  <c r="L30" i="12" s="1"/>
  <c r="M30" i="12" s="1"/>
  <c r="N30" i="12" s="1"/>
  <c r="O30" i="12" s="1"/>
  <c r="P30" i="12" s="1"/>
  <c r="Q30" i="12" s="1"/>
  <c r="R30" i="12" s="1"/>
  <c r="G11" i="12"/>
  <c r="G15" i="12"/>
  <c r="G18" i="12"/>
  <c r="E11" i="11"/>
  <c r="G11" i="11"/>
  <c r="G13" i="11"/>
  <c r="G21" i="11"/>
  <c r="G10" i="11"/>
  <c r="G12" i="11"/>
  <c r="G15" i="11"/>
  <c r="G17" i="11"/>
  <c r="G19" i="11"/>
  <c r="G20" i="11"/>
  <c r="G16" i="11"/>
  <c r="G30" i="1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G18" i="11"/>
  <c r="V11" i="12" l="1"/>
  <c r="W11" i="12" s="1"/>
  <c r="T11" i="12"/>
  <c r="V14" i="4"/>
  <c r="W14" i="4" s="1"/>
  <c r="T14" i="4"/>
  <c r="T21" i="12"/>
  <c r="V21" i="12"/>
  <c r="W21" i="12" s="1"/>
  <c r="T22" i="12"/>
  <c r="V22" i="12"/>
  <c r="W22" i="12" s="1"/>
  <c r="T16" i="11"/>
  <c r="V16" i="11"/>
  <c r="W16" i="11" s="1"/>
  <c r="T16" i="12"/>
  <c r="V16" i="12"/>
  <c r="W16" i="12" s="1"/>
  <c r="S22" i="11"/>
  <c r="S20" i="11"/>
  <c r="S21" i="11"/>
  <c r="S12" i="11"/>
  <c r="S13" i="11"/>
  <c r="S11" i="11"/>
  <c r="T13" i="13"/>
  <c r="V13" i="13"/>
  <c r="W13" i="13" s="1"/>
  <c r="S18" i="12"/>
  <c r="S23" i="12"/>
  <c r="S19" i="12"/>
  <c r="S10" i="12"/>
  <c r="T18" i="13"/>
  <c r="V18" i="13"/>
  <c r="W18" i="13" s="1"/>
  <c r="S10" i="14"/>
  <c r="T10" i="14" s="1"/>
  <c r="S11" i="4"/>
  <c r="S12" i="4"/>
  <c r="S10" i="4"/>
  <c r="S17" i="4"/>
  <c r="S18" i="4"/>
  <c r="S16" i="4"/>
  <c r="V10" i="11"/>
  <c r="W10" i="11" s="1"/>
  <c r="T10" i="11"/>
  <c r="V15" i="13"/>
  <c r="W15" i="13" s="1"/>
  <c r="T15" i="13"/>
  <c r="S17" i="12"/>
  <c r="T20" i="13"/>
  <c r="V20" i="13"/>
  <c r="W20" i="13" s="1"/>
  <c r="S15" i="11"/>
  <c r="S20" i="12"/>
  <c r="S12" i="12"/>
  <c r="S15" i="4"/>
  <c r="S19" i="4"/>
  <c r="S20" i="4"/>
  <c r="S18" i="11"/>
  <c r="S19" i="11"/>
  <c r="S17" i="11"/>
  <c r="T14" i="13"/>
  <c r="V14" i="13"/>
  <c r="W14" i="13" s="1"/>
  <c r="S24" i="12"/>
  <c r="V19" i="13"/>
  <c r="W19" i="13" s="1"/>
  <c r="T19" i="13"/>
  <c r="S14" i="11"/>
  <c r="T16" i="13"/>
  <c r="V16" i="13"/>
  <c r="W16" i="13" s="1"/>
  <c r="S13" i="4"/>
  <c r="S13" i="12"/>
  <c r="S14" i="12"/>
  <c r="S15" i="12"/>
  <c r="T21" i="13"/>
  <c r="V21" i="13"/>
  <c r="W21" i="13" s="1"/>
  <c r="T17" i="13"/>
  <c r="V17" i="13"/>
  <c r="W17" i="13" s="1"/>
  <c r="H22" i="13"/>
  <c r="G20" i="9" s="1"/>
  <c r="S25" i="4"/>
  <c r="V25" i="4" s="1"/>
  <c r="W25" i="4" s="1"/>
  <c r="F23" i="6"/>
  <c r="H25" i="4"/>
  <c r="T23" i="4"/>
  <c r="V23" i="4"/>
  <c r="W23" i="4" s="1"/>
  <c r="S24" i="4"/>
  <c r="T24" i="4" s="1"/>
  <c r="G24" i="4"/>
  <c r="H23" i="4"/>
  <c r="F21" i="6"/>
  <c r="S22" i="4"/>
  <c r="T22" i="4" s="1"/>
  <c r="G22" i="4"/>
  <c r="H22" i="4" s="1"/>
  <c r="I22" i="4" s="1"/>
  <c r="J22" i="4" s="1"/>
  <c r="K22" i="4" s="1"/>
  <c r="L22" i="4" s="1"/>
  <c r="M22" i="4" s="1"/>
  <c r="N22" i="4" s="1"/>
  <c r="O22" i="4" s="1"/>
  <c r="P22" i="4" s="1"/>
  <c r="Q22" i="4" s="1"/>
  <c r="R22" i="4" s="1"/>
  <c r="I25" i="12"/>
  <c r="G23" i="8"/>
  <c r="I26" i="12"/>
  <c r="G24" i="8"/>
  <c r="H19" i="12"/>
  <c r="F17" i="8"/>
  <c r="I20" i="12"/>
  <c r="G18" i="8"/>
  <c r="I23" i="12"/>
  <c r="G21" i="8"/>
  <c r="I21" i="12"/>
  <c r="G19" i="8"/>
  <c r="I22" i="12"/>
  <c r="G20" i="8"/>
  <c r="I24" i="12"/>
  <c r="G22" i="8"/>
  <c r="T11" i="15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K18" i="16" s="1"/>
  <c r="K19" i="16" s="1"/>
  <c r="D13" i="16"/>
  <c r="E13" i="16"/>
  <c r="F13" i="16"/>
  <c r="G13" i="16"/>
  <c r="T18" i="15"/>
  <c r="W18" i="15"/>
  <c r="W14" i="15"/>
  <c r="T14" i="15"/>
  <c r="T13" i="15"/>
  <c r="W13" i="15"/>
  <c r="T21" i="15"/>
  <c r="W21" i="15"/>
  <c r="T15" i="15"/>
  <c r="W15" i="15"/>
  <c r="T10" i="15"/>
  <c r="W10" i="15"/>
  <c r="I22" i="15"/>
  <c r="H20" i="10" s="1"/>
  <c r="H22" i="14"/>
  <c r="G20" i="5" s="1"/>
  <c r="G10" i="15"/>
  <c r="H10" i="15" s="1"/>
  <c r="D9" i="8"/>
  <c r="S17" i="14"/>
  <c r="T17" i="14" s="1"/>
  <c r="S16" i="14"/>
  <c r="T16" i="14" s="1"/>
  <c r="S15" i="14"/>
  <c r="T15" i="14" s="1"/>
  <c r="S21" i="14"/>
  <c r="T21" i="14" s="1"/>
  <c r="S22" i="14"/>
  <c r="S11" i="14"/>
  <c r="T11" i="14" s="1"/>
  <c r="S18" i="14"/>
  <c r="T18" i="14" s="1"/>
  <c r="S20" i="14"/>
  <c r="S19" i="14"/>
  <c r="D9" i="9"/>
  <c r="V23" i="14"/>
  <c r="W23" i="14" s="1"/>
  <c r="G10" i="14"/>
  <c r="F8" i="5" s="1"/>
  <c r="E11" i="14"/>
  <c r="E12" i="14" s="1"/>
  <c r="V12" i="14"/>
  <c r="W12" i="14" s="1"/>
  <c r="V13" i="14"/>
  <c r="W13" i="14" s="1"/>
  <c r="V14" i="14"/>
  <c r="W14" i="14" s="1"/>
  <c r="H9" i="16"/>
  <c r="H7" i="16"/>
  <c r="H8" i="16"/>
  <c r="H11" i="16"/>
  <c r="H10" i="16"/>
  <c r="H12" i="16"/>
  <c r="E12" i="12"/>
  <c r="I22" i="13"/>
  <c r="J22" i="13" s="1"/>
  <c r="D8" i="10"/>
  <c r="E11" i="15"/>
  <c r="E12" i="15" s="1"/>
  <c r="H16" i="11"/>
  <c r="F14" i="7"/>
  <c r="E12" i="11"/>
  <c r="D9" i="7"/>
  <c r="H11" i="12"/>
  <c r="F9" i="8"/>
  <c r="H11" i="13"/>
  <c r="F9" i="9"/>
  <c r="H14" i="13"/>
  <c r="F12" i="9"/>
  <c r="H10" i="13"/>
  <c r="F8" i="9"/>
  <c r="H16" i="14"/>
  <c r="F14" i="5"/>
  <c r="J22" i="15"/>
  <c r="F20" i="7"/>
  <c r="H20" i="11"/>
  <c r="F18" i="7"/>
  <c r="H17" i="11"/>
  <c r="F15" i="7"/>
  <c r="H21" i="11"/>
  <c r="F19" i="7"/>
  <c r="H18" i="12"/>
  <c r="F16" i="8"/>
  <c r="H16" i="13"/>
  <c r="F14" i="9"/>
  <c r="H13" i="13"/>
  <c r="F11" i="9"/>
  <c r="H17" i="12"/>
  <c r="F15" i="8"/>
  <c r="H19" i="13"/>
  <c r="F17" i="9"/>
  <c r="H12" i="14"/>
  <c r="F10" i="5"/>
  <c r="H17" i="14"/>
  <c r="F15" i="5"/>
  <c r="H14" i="15"/>
  <c r="F12" i="10"/>
  <c r="H20" i="15"/>
  <c r="F18" i="10"/>
  <c r="H13" i="15"/>
  <c r="F11" i="10"/>
  <c r="H12" i="12"/>
  <c r="F10" i="8"/>
  <c r="H18" i="15"/>
  <c r="F16" i="10"/>
  <c r="H19" i="11"/>
  <c r="F17" i="7"/>
  <c r="H10" i="11"/>
  <c r="F8" i="7"/>
  <c r="H20" i="9"/>
  <c r="H21" i="14"/>
  <c r="F19" i="5"/>
  <c r="H16" i="15"/>
  <c r="F14" i="10"/>
  <c r="H11" i="15"/>
  <c r="F9" i="10"/>
  <c r="H12" i="13"/>
  <c r="F10" i="9"/>
  <c r="H18" i="13"/>
  <c r="F16" i="9"/>
  <c r="H18" i="11"/>
  <c r="F16" i="7"/>
  <c r="H15" i="11"/>
  <c r="F13" i="7"/>
  <c r="H13" i="11"/>
  <c r="F11" i="7"/>
  <c r="H15" i="12"/>
  <c r="F13" i="8"/>
  <c r="H17" i="13"/>
  <c r="F15" i="9"/>
  <c r="H13" i="12"/>
  <c r="F11" i="8"/>
  <c r="H20" i="14"/>
  <c r="F18" i="5"/>
  <c r="H15" i="14"/>
  <c r="F13" i="5"/>
  <c r="H17" i="15"/>
  <c r="F15" i="10"/>
  <c r="H19" i="15"/>
  <c r="F17" i="10"/>
  <c r="H21" i="15"/>
  <c r="F19" i="10"/>
  <c r="H19" i="14"/>
  <c r="F17" i="5"/>
  <c r="H12" i="11"/>
  <c r="F10" i="7"/>
  <c r="H11" i="11"/>
  <c r="F9" i="7"/>
  <c r="H16" i="12"/>
  <c r="F14" i="8"/>
  <c r="H20" i="13"/>
  <c r="F18" i="9"/>
  <c r="E12" i="13"/>
  <c r="H14" i="12"/>
  <c r="F12" i="8"/>
  <c r="H15" i="13"/>
  <c r="F13" i="9"/>
  <c r="H14" i="14"/>
  <c r="F12" i="5"/>
  <c r="H18" i="14"/>
  <c r="F16" i="5"/>
  <c r="H11" i="14"/>
  <c r="F9" i="5"/>
  <c r="H15" i="15"/>
  <c r="F13" i="10"/>
  <c r="H12" i="15"/>
  <c r="F10" i="10"/>
  <c r="H14" i="11"/>
  <c r="F12" i="7"/>
  <c r="H21" i="13"/>
  <c r="F19" i="9"/>
  <c r="H13" i="14"/>
  <c r="F11" i="5"/>
  <c r="H10" i="12"/>
  <c r="F8" i="8"/>
  <c r="T13" i="12" l="1"/>
  <c r="V13" i="12"/>
  <c r="W13" i="12" s="1"/>
  <c r="V14" i="11"/>
  <c r="W14" i="11" s="1"/>
  <c r="T14" i="11"/>
  <c r="V18" i="11"/>
  <c r="W18" i="11" s="1"/>
  <c r="T18" i="11"/>
  <c r="T12" i="12"/>
  <c r="V12" i="12"/>
  <c r="W12" i="12" s="1"/>
  <c r="T17" i="4"/>
  <c r="V17" i="4"/>
  <c r="W17" i="4" s="1"/>
  <c r="T10" i="12"/>
  <c r="V10" i="12"/>
  <c r="W10" i="12" s="1"/>
  <c r="T12" i="11"/>
  <c r="V12" i="11"/>
  <c r="W12" i="11" s="1"/>
  <c r="T13" i="4"/>
  <c r="V13" i="4"/>
  <c r="W13" i="4" s="1"/>
  <c r="T20" i="4"/>
  <c r="V20" i="4"/>
  <c r="W20" i="4" s="1"/>
  <c r="T20" i="12"/>
  <c r="V20" i="12"/>
  <c r="W20" i="12" s="1"/>
  <c r="T17" i="12"/>
  <c r="V17" i="12"/>
  <c r="W17" i="12" s="1"/>
  <c r="V10" i="4"/>
  <c r="W10" i="4" s="1"/>
  <c r="T10" i="4"/>
  <c r="V19" i="12"/>
  <c r="W19" i="12" s="1"/>
  <c r="T19" i="12"/>
  <c r="T21" i="11"/>
  <c r="V21" i="11"/>
  <c r="W21" i="11" s="1"/>
  <c r="V15" i="12"/>
  <c r="W15" i="12" s="1"/>
  <c r="T15" i="12"/>
  <c r="T17" i="11"/>
  <c r="V17" i="11"/>
  <c r="W17" i="11" s="1"/>
  <c r="T19" i="4"/>
  <c r="V19" i="4"/>
  <c r="W19" i="4" s="1"/>
  <c r="T15" i="11"/>
  <c r="V15" i="11"/>
  <c r="W15" i="11" s="1"/>
  <c r="V16" i="4"/>
  <c r="W16" i="4" s="1"/>
  <c r="T16" i="4"/>
  <c r="T12" i="4"/>
  <c r="V12" i="4"/>
  <c r="W12" i="4" s="1"/>
  <c r="T23" i="12"/>
  <c r="V23" i="12"/>
  <c r="W23" i="12" s="1"/>
  <c r="T11" i="11"/>
  <c r="V11" i="11"/>
  <c r="W11" i="11" s="1"/>
  <c r="T20" i="11"/>
  <c r="V20" i="11"/>
  <c r="W20" i="11" s="1"/>
  <c r="T14" i="12"/>
  <c r="V14" i="12"/>
  <c r="W14" i="12" s="1"/>
  <c r="T24" i="12"/>
  <c r="V24" i="12"/>
  <c r="W24" i="12" s="1"/>
  <c r="V19" i="11"/>
  <c r="W19" i="11" s="1"/>
  <c r="T19" i="11"/>
  <c r="T15" i="4"/>
  <c r="V15" i="4"/>
  <c r="W15" i="4" s="1"/>
  <c r="V18" i="4"/>
  <c r="W18" i="4" s="1"/>
  <c r="T18" i="4"/>
  <c r="T11" i="4"/>
  <c r="V11" i="4"/>
  <c r="W11" i="4" s="1"/>
  <c r="T18" i="12"/>
  <c r="V18" i="12"/>
  <c r="W18" i="12" s="1"/>
  <c r="T13" i="11"/>
  <c r="V13" i="11"/>
  <c r="W13" i="11" s="1"/>
  <c r="T22" i="11"/>
  <c r="V22" i="11"/>
  <c r="W22" i="11" s="1"/>
  <c r="T25" i="4"/>
  <c r="G23" i="6"/>
  <c r="I25" i="4"/>
  <c r="V22" i="4"/>
  <c r="W22" i="4" s="1"/>
  <c r="F22" i="6"/>
  <c r="H24" i="4"/>
  <c r="I23" i="4"/>
  <c r="G21" i="6"/>
  <c r="V24" i="4"/>
  <c r="W24" i="4" s="1"/>
  <c r="T20" i="15"/>
  <c r="J26" i="12"/>
  <c r="H24" i="8"/>
  <c r="H23" i="8"/>
  <c r="J25" i="12"/>
  <c r="H20" i="8"/>
  <c r="J22" i="12"/>
  <c r="J23" i="12"/>
  <c r="H21" i="8"/>
  <c r="H22" i="8"/>
  <c r="J24" i="12"/>
  <c r="H19" i="8"/>
  <c r="J21" i="12"/>
  <c r="H18" i="8"/>
  <c r="J20" i="12"/>
  <c r="I19" i="12"/>
  <c r="G17" i="8"/>
  <c r="T19" i="15"/>
  <c r="T16" i="15"/>
  <c r="T17" i="15"/>
  <c r="J12" i="16"/>
  <c r="H13" i="16"/>
  <c r="I22" i="14"/>
  <c r="J22" i="14" s="1"/>
  <c r="D9" i="5"/>
  <c r="F8" i="10"/>
  <c r="D9" i="10"/>
  <c r="V11" i="14"/>
  <c r="W11" i="14" s="1"/>
  <c r="V16" i="14"/>
  <c r="W16" i="14" s="1"/>
  <c r="E13" i="12"/>
  <c r="D10" i="8"/>
  <c r="V21" i="14"/>
  <c r="W21" i="14" s="1"/>
  <c r="T19" i="14"/>
  <c r="V19" i="14"/>
  <c r="W19" i="14" s="1"/>
  <c r="T22" i="14"/>
  <c r="V22" i="14"/>
  <c r="W22" i="14" s="1"/>
  <c r="V18" i="14"/>
  <c r="W18" i="14" s="1"/>
  <c r="T20" i="14"/>
  <c r="V20" i="14"/>
  <c r="W20" i="14" s="1"/>
  <c r="H10" i="14"/>
  <c r="I10" i="14" s="1"/>
  <c r="V10" i="14"/>
  <c r="W10" i="14" s="1"/>
  <c r="V17" i="14"/>
  <c r="W17" i="14" s="1"/>
  <c r="V15" i="14"/>
  <c r="W15" i="14" s="1"/>
  <c r="I13" i="14"/>
  <c r="G11" i="5"/>
  <c r="I14" i="11"/>
  <c r="G12" i="7"/>
  <c r="I12" i="15"/>
  <c r="G10" i="10"/>
  <c r="I11" i="14"/>
  <c r="G9" i="5"/>
  <c r="I14" i="14"/>
  <c r="G12" i="5"/>
  <c r="I14" i="12"/>
  <c r="G12" i="8"/>
  <c r="E13" i="13"/>
  <c r="D10" i="9"/>
  <c r="I16" i="12"/>
  <c r="G14" i="8"/>
  <c r="I12" i="11"/>
  <c r="G10" i="7"/>
  <c r="I21" i="15"/>
  <c r="G19" i="10"/>
  <c r="I17" i="15"/>
  <c r="G15" i="10"/>
  <c r="I15" i="14"/>
  <c r="G13" i="5"/>
  <c r="I13" i="12"/>
  <c r="G11" i="8"/>
  <c r="I13" i="11"/>
  <c r="G11" i="7"/>
  <c r="I18" i="11"/>
  <c r="G16" i="7"/>
  <c r="I12" i="13"/>
  <c r="G10" i="9"/>
  <c r="I16" i="15"/>
  <c r="G14" i="10"/>
  <c r="K22" i="13"/>
  <c r="I20" i="9"/>
  <c r="I19" i="11"/>
  <c r="G17" i="7"/>
  <c r="G16" i="10"/>
  <c r="I18" i="15"/>
  <c r="I13" i="15"/>
  <c r="G11" i="10"/>
  <c r="I14" i="15"/>
  <c r="G12" i="10"/>
  <c r="I17" i="14"/>
  <c r="G15" i="5"/>
  <c r="I19" i="13"/>
  <c r="G17" i="9"/>
  <c r="I13" i="13"/>
  <c r="G11" i="9"/>
  <c r="I18" i="12"/>
  <c r="G16" i="8"/>
  <c r="I17" i="11"/>
  <c r="G15" i="7"/>
  <c r="G20" i="7"/>
  <c r="E13" i="15"/>
  <c r="D10" i="10"/>
  <c r="I10" i="13"/>
  <c r="G8" i="9"/>
  <c r="I11" i="13"/>
  <c r="G9" i="9"/>
  <c r="E13" i="11"/>
  <c r="D10" i="7"/>
  <c r="I21" i="13"/>
  <c r="G19" i="9"/>
  <c r="I10" i="15"/>
  <c r="G8" i="10"/>
  <c r="I15" i="15"/>
  <c r="G13" i="10"/>
  <c r="I18" i="14"/>
  <c r="G16" i="5"/>
  <c r="I15" i="13"/>
  <c r="G13" i="9"/>
  <c r="I20" i="13"/>
  <c r="G18" i="9"/>
  <c r="I11" i="11"/>
  <c r="G9" i="7"/>
  <c r="I19" i="14"/>
  <c r="G17" i="5"/>
  <c r="I19" i="15"/>
  <c r="G17" i="10"/>
  <c r="E13" i="14"/>
  <c r="D10" i="5"/>
  <c r="I20" i="14"/>
  <c r="G18" i="5"/>
  <c r="I17" i="13"/>
  <c r="G15" i="9"/>
  <c r="I15" i="12"/>
  <c r="G13" i="8"/>
  <c r="I15" i="11"/>
  <c r="G13" i="7"/>
  <c r="I18" i="13"/>
  <c r="G16" i="9"/>
  <c r="I11" i="15"/>
  <c r="G9" i="10"/>
  <c r="I21" i="14"/>
  <c r="G19" i="5"/>
  <c r="I10" i="11"/>
  <c r="G8" i="7"/>
  <c r="I12" i="12"/>
  <c r="G10" i="8"/>
  <c r="I20" i="15"/>
  <c r="G18" i="10"/>
  <c r="I12" i="14"/>
  <c r="G10" i="5"/>
  <c r="I17" i="12"/>
  <c r="G15" i="8"/>
  <c r="I16" i="13"/>
  <c r="G14" i="9"/>
  <c r="I21" i="11"/>
  <c r="G19" i="7"/>
  <c r="I20" i="11"/>
  <c r="G18" i="7"/>
  <c r="K22" i="15"/>
  <c r="I20" i="10"/>
  <c r="I16" i="14"/>
  <c r="G14" i="5"/>
  <c r="I14" i="13"/>
  <c r="G12" i="9"/>
  <c r="I11" i="12"/>
  <c r="G9" i="8"/>
  <c r="I16" i="11"/>
  <c r="G14" i="7"/>
  <c r="E14" i="12"/>
  <c r="D11" i="8"/>
  <c r="I10" i="12"/>
  <c r="G8" i="8"/>
  <c r="G8" i="5" l="1"/>
  <c r="H20" i="5"/>
  <c r="H23" i="6"/>
  <c r="J25" i="4"/>
  <c r="H21" i="6"/>
  <c r="J23" i="4"/>
  <c r="I24" i="4"/>
  <c r="G22" i="6"/>
  <c r="K25" i="12"/>
  <c r="I23" i="8"/>
  <c r="K26" i="12"/>
  <c r="I24" i="8"/>
  <c r="K20" i="12"/>
  <c r="I18" i="8"/>
  <c r="K24" i="12"/>
  <c r="I22" i="8"/>
  <c r="K23" i="12"/>
  <c r="I21" i="8"/>
  <c r="K21" i="12"/>
  <c r="I19" i="8"/>
  <c r="I20" i="8"/>
  <c r="K22" i="12"/>
  <c r="J19" i="12"/>
  <c r="H17" i="8"/>
  <c r="J11" i="16"/>
  <c r="J16" i="14"/>
  <c r="H14" i="5"/>
  <c r="J16" i="13"/>
  <c r="H14" i="9"/>
  <c r="J20" i="15"/>
  <c r="H18" i="10"/>
  <c r="J21" i="14"/>
  <c r="H19" i="5"/>
  <c r="J15" i="12"/>
  <c r="H13" i="8"/>
  <c r="J19" i="15"/>
  <c r="H17" i="10"/>
  <c r="J20" i="13"/>
  <c r="H18" i="9"/>
  <c r="J10" i="15"/>
  <c r="H8" i="10"/>
  <c r="J11" i="13"/>
  <c r="H9" i="9"/>
  <c r="J14" i="14"/>
  <c r="H12" i="5"/>
  <c r="J18" i="15"/>
  <c r="H16" i="10"/>
  <c r="J14" i="13"/>
  <c r="H12" i="9"/>
  <c r="J17" i="12"/>
  <c r="H15" i="8"/>
  <c r="J12" i="12"/>
  <c r="H10" i="8"/>
  <c r="J11" i="15"/>
  <c r="H9" i="10"/>
  <c r="J17" i="13"/>
  <c r="H15" i="9"/>
  <c r="E14" i="14"/>
  <c r="D11" i="5"/>
  <c r="J15" i="15"/>
  <c r="H13" i="10"/>
  <c r="E14" i="11"/>
  <c r="D11" i="7"/>
  <c r="J10" i="13"/>
  <c r="H8" i="9"/>
  <c r="H20" i="7"/>
  <c r="J18" i="12"/>
  <c r="H16" i="8"/>
  <c r="J19" i="13"/>
  <c r="H17" i="9"/>
  <c r="J14" i="15"/>
  <c r="H12" i="10"/>
  <c r="L22" i="13"/>
  <c r="J20" i="9"/>
  <c r="J12" i="13"/>
  <c r="H10" i="9"/>
  <c r="J13" i="11"/>
  <c r="H11" i="7"/>
  <c r="J13" i="12"/>
  <c r="H11" i="8"/>
  <c r="J17" i="15"/>
  <c r="H15" i="10"/>
  <c r="J12" i="11"/>
  <c r="H10" i="7"/>
  <c r="J11" i="14"/>
  <c r="H9" i="5"/>
  <c r="J14" i="11"/>
  <c r="H12" i="7"/>
  <c r="J16" i="11"/>
  <c r="H14" i="7"/>
  <c r="L22" i="15"/>
  <c r="J20" i="10"/>
  <c r="J21" i="11"/>
  <c r="H19" i="7"/>
  <c r="J10" i="14"/>
  <c r="H8" i="5"/>
  <c r="J10" i="11"/>
  <c r="H8" i="7"/>
  <c r="J15" i="11"/>
  <c r="H13" i="7"/>
  <c r="J19" i="14"/>
  <c r="H17" i="5"/>
  <c r="J15" i="13"/>
  <c r="H13" i="9"/>
  <c r="J21" i="13"/>
  <c r="H19" i="9"/>
  <c r="J14" i="12"/>
  <c r="H12" i="8"/>
  <c r="J11" i="12"/>
  <c r="H9" i="8"/>
  <c r="J20" i="11"/>
  <c r="H18" i="7"/>
  <c r="J12" i="14"/>
  <c r="H10" i="5"/>
  <c r="J18" i="13"/>
  <c r="H16" i="9"/>
  <c r="J20" i="14"/>
  <c r="H18" i="5"/>
  <c r="J11" i="11"/>
  <c r="H9" i="7"/>
  <c r="J18" i="14"/>
  <c r="H16" i="5"/>
  <c r="E14" i="15"/>
  <c r="D11" i="10"/>
  <c r="J17" i="11"/>
  <c r="H15" i="7"/>
  <c r="J13" i="13"/>
  <c r="H11" i="9"/>
  <c r="J17" i="14"/>
  <c r="H15" i="5"/>
  <c r="J13" i="15"/>
  <c r="H11" i="10"/>
  <c r="J19" i="11"/>
  <c r="H17" i="7"/>
  <c r="J16" i="15"/>
  <c r="H14" i="10"/>
  <c r="J18" i="11"/>
  <c r="H16" i="7"/>
  <c r="J15" i="14"/>
  <c r="H13" i="5"/>
  <c r="J21" i="15"/>
  <c r="H19" i="10"/>
  <c r="J16" i="12"/>
  <c r="H14" i="8"/>
  <c r="E14" i="13"/>
  <c r="D11" i="9"/>
  <c r="J12" i="15"/>
  <c r="H10" i="10"/>
  <c r="J13" i="14"/>
  <c r="H11" i="5"/>
  <c r="K22" i="14"/>
  <c r="I20" i="5"/>
  <c r="J10" i="12"/>
  <c r="H8" i="8"/>
  <c r="E15" i="12"/>
  <c r="D12" i="8"/>
  <c r="I23" i="6" l="1"/>
  <c r="K25" i="4"/>
  <c r="J24" i="4"/>
  <c r="H22" i="6"/>
  <c r="K23" i="4"/>
  <c r="I21" i="6"/>
  <c r="J24" i="8"/>
  <c r="L26" i="12"/>
  <c r="L25" i="12"/>
  <c r="J23" i="8"/>
  <c r="I17" i="8"/>
  <c r="K19" i="12"/>
  <c r="L21" i="12"/>
  <c r="J19" i="8"/>
  <c r="L24" i="12"/>
  <c r="J22" i="8"/>
  <c r="L22" i="12"/>
  <c r="J20" i="8"/>
  <c r="L23" i="12"/>
  <c r="J21" i="8"/>
  <c r="J18" i="8"/>
  <c r="L20" i="12"/>
  <c r="K16" i="12"/>
  <c r="I14" i="8"/>
  <c r="K15" i="14"/>
  <c r="I13" i="5"/>
  <c r="K19" i="11"/>
  <c r="I17" i="7"/>
  <c r="K17" i="11"/>
  <c r="I15" i="7"/>
  <c r="K11" i="11"/>
  <c r="I9" i="7"/>
  <c r="K18" i="13"/>
  <c r="I16" i="9"/>
  <c r="K11" i="12"/>
  <c r="I9" i="8"/>
  <c r="K21" i="13"/>
  <c r="I19" i="9"/>
  <c r="K19" i="14"/>
  <c r="I17" i="5"/>
  <c r="K10" i="11"/>
  <c r="I8" i="7"/>
  <c r="K21" i="11"/>
  <c r="I19" i="7"/>
  <c r="K16" i="11"/>
  <c r="I14" i="7"/>
  <c r="K11" i="14"/>
  <c r="I9" i="5"/>
  <c r="K13" i="12"/>
  <c r="I11" i="8"/>
  <c r="K12" i="13"/>
  <c r="I10" i="9"/>
  <c r="K14" i="15"/>
  <c r="I12" i="10"/>
  <c r="K18" i="12"/>
  <c r="I16" i="8"/>
  <c r="K10" i="13"/>
  <c r="I8" i="9"/>
  <c r="K15" i="15"/>
  <c r="I13" i="10"/>
  <c r="E15" i="14"/>
  <c r="D12" i="5"/>
  <c r="K11" i="15"/>
  <c r="I9" i="10"/>
  <c r="K17" i="12"/>
  <c r="I15" i="8"/>
  <c r="K18" i="15"/>
  <c r="I16" i="10"/>
  <c r="K11" i="13"/>
  <c r="I9" i="9"/>
  <c r="K20" i="13"/>
  <c r="I18" i="9"/>
  <c r="K15" i="12"/>
  <c r="I13" i="8"/>
  <c r="K20" i="15"/>
  <c r="I18" i="10"/>
  <c r="K16" i="14"/>
  <c r="I14" i="5"/>
  <c r="E15" i="13"/>
  <c r="D12" i="9"/>
  <c r="K13" i="13"/>
  <c r="I11" i="9"/>
  <c r="K13" i="14"/>
  <c r="I11" i="5"/>
  <c r="K21" i="15"/>
  <c r="I19" i="10"/>
  <c r="K16" i="15"/>
  <c r="I14" i="10"/>
  <c r="K13" i="15"/>
  <c r="I11" i="10"/>
  <c r="E15" i="15"/>
  <c r="D12" i="10"/>
  <c r="K18" i="14"/>
  <c r="I16" i="5"/>
  <c r="K20" i="14"/>
  <c r="I18" i="5"/>
  <c r="K20" i="11"/>
  <c r="I18" i="7"/>
  <c r="K14" i="12"/>
  <c r="I12" i="8"/>
  <c r="K15" i="13"/>
  <c r="I13" i="9"/>
  <c r="K15" i="11"/>
  <c r="I13" i="7"/>
  <c r="K10" i="14"/>
  <c r="I8" i="5"/>
  <c r="M22" i="15"/>
  <c r="K20" i="10"/>
  <c r="K14" i="11"/>
  <c r="I12" i="7"/>
  <c r="K17" i="15"/>
  <c r="I15" i="10"/>
  <c r="K13" i="11"/>
  <c r="I11" i="7"/>
  <c r="M22" i="13"/>
  <c r="K20" i="9"/>
  <c r="K19" i="13"/>
  <c r="I17" i="9"/>
  <c r="I20" i="7"/>
  <c r="E15" i="11"/>
  <c r="D12" i="7"/>
  <c r="K17" i="13"/>
  <c r="I15" i="9"/>
  <c r="K12" i="12"/>
  <c r="I10" i="8"/>
  <c r="K14" i="13"/>
  <c r="I12" i="9"/>
  <c r="K14" i="14"/>
  <c r="I12" i="5"/>
  <c r="K10" i="15"/>
  <c r="I8" i="10"/>
  <c r="K19" i="15"/>
  <c r="I17" i="10"/>
  <c r="K21" i="14"/>
  <c r="I19" i="5"/>
  <c r="K16" i="13"/>
  <c r="I14" i="9"/>
  <c r="K12" i="15"/>
  <c r="I10" i="10"/>
  <c r="K18" i="11"/>
  <c r="I16" i="7"/>
  <c r="K17" i="14"/>
  <c r="I15" i="5"/>
  <c r="K12" i="14"/>
  <c r="I10" i="5"/>
  <c r="K12" i="11"/>
  <c r="I10" i="7"/>
  <c r="L22" i="14"/>
  <c r="J20" i="5"/>
  <c r="E16" i="12"/>
  <c r="D13" i="8"/>
  <c r="K10" i="12"/>
  <c r="I8" i="8"/>
  <c r="J23" i="6" l="1"/>
  <c r="L25" i="4"/>
  <c r="J21" i="6"/>
  <c r="L23" i="4"/>
  <c r="I22" i="6"/>
  <c r="K24" i="4"/>
  <c r="M25" i="12"/>
  <c r="K23" i="8"/>
  <c r="M26" i="12"/>
  <c r="K24" i="8"/>
  <c r="M23" i="12"/>
  <c r="K21" i="8"/>
  <c r="M22" i="12"/>
  <c r="K20" i="8"/>
  <c r="M21" i="12"/>
  <c r="K19" i="8"/>
  <c r="M20" i="12"/>
  <c r="K18" i="8"/>
  <c r="J17" i="8"/>
  <c r="L19" i="12"/>
  <c r="M24" i="12"/>
  <c r="K22" i="8"/>
  <c r="L17" i="14"/>
  <c r="J15" i="5"/>
  <c r="L21" i="14"/>
  <c r="J19" i="5"/>
  <c r="L10" i="15"/>
  <c r="J8" i="10"/>
  <c r="L14" i="13"/>
  <c r="J12" i="9"/>
  <c r="E16" i="11"/>
  <c r="D13" i="7"/>
  <c r="L19" i="13"/>
  <c r="J17" i="9"/>
  <c r="L13" i="11"/>
  <c r="J11" i="7"/>
  <c r="L14" i="11"/>
  <c r="J12" i="7"/>
  <c r="L10" i="14"/>
  <c r="J8" i="5"/>
  <c r="L15" i="13"/>
  <c r="J13" i="9"/>
  <c r="L20" i="11"/>
  <c r="J18" i="7"/>
  <c r="L18" i="14"/>
  <c r="J16" i="5"/>
  <c r="L21" i="15"/>
  <c r="J19" i="10"/>
  <c r="L13" i="13"/>
  <c r="J11" i="9"/>
  <c r="E16" i="13"/>
  <c r="D13" i="9"/>
  <c r="L20" i="15"/>
  <c r="J18" i="10"/>
  <c r="L20" i="13"/>
  <c r="J18" i="9"/>
  <c r="L18" i="15"/>
  <c r="J16" i="10"/>
  <c r="L11" i="15"/>
  <c r="J9" i="10"/>
  <c r="L15" i="15"/>
  <c r="J13" i="10"/>
  <c r="L18" i="12"/>
  <c r="J16" i="8"/>
  <c r="L12" i="13"/>
  <c r="J10" i="9"/>
  <c r="L11" i="14"/>
  <c r="J9" i="5"/>
  <c r="L21" i="11"/>
  <c r="J19" i="7"/>
  <c r="L19" i="14"/>
  <c r="J17" i="5"/>
  <c r="L11" i="12"/>
  <c r="J9" i="8"/>
  <c r="L11" i="11"/>
  <c r="J9" i="7"/>
  <c r="L19" i="11"/>
  <c r="J17" i="7"/>
  <c r="L16" i="12"/>
  <c r="J14" i="8"/>
  <c r="L16" i="13"/>
  <c r="J14" i="9"/>
  <c r="L12" i="12"/>
  <c r="J10" i="8"/>
  <c r="E16" i="15"/>
  <c r="D13" i="10"/>
  <c r="L12" i="11"/>
  <c r="J10" i="7"/>
  <c r="L18" i="11"/>
  <c r="J16" i="7"/>
  <c r="L19" i="15"/>
  <c r="J17" i="10"/>
  <c r="L14" i="14"/>
  <c r="J12" i="5"/>
  <c r="J20" i="7"/>
  <c r="N22" i="13"/>
  <c r="L20" i="9"/>
  <c r="L17" i="15"/>
  <c r="J15" i="10"/>
  <c r="N22" i="15"/>
  <c r="L20" i="10"/>
  <c r="L15" i="11"/>
  <c r="J13" i="7"/>
  <c r="L14" i="12"/>
  <c r="J12" i="8"/>
  <c r="L20" i="14"/>
  <c r="J18" i="5"/>
  <c r="L16" i="15"/>
  <c r="J14" i="10"/>
  <c r="L13" i="14"/>
  <c r="J11" i="5"/>
  <c r="L16" i="14"/>
  <c r="J14" i="5"/>
  <c r="L15" i="12"/>
  <c r="J13" i="8"/>
  <c r="L11" i="13"/>
  <c r="J9" i="9"/>
  <c r="L17" i="12"/>
  <c r="J15" i="8"/>
  <c r="E16" i="14"/>
  <c r="D13" i="5"/>
  <c r="L10" i="13"/>
  <c r="J8" i="9"/>
  <c r="L14" i="15"/>
  <c r="J12" i="10"/>
  <c r="L13" i="12"/>
  <c r="J11" i="8"/>
  <c r="L16" i="11"/>
  <c r="J14" i="7"/>
  <c r="L10" i="11"/>
  <c r="J8" i="7"/>
  <c r="L21" i="13"/>
  <c r="J19" i="9"/>
  <c r="L18" i="13"/>
  <c r="J16" i="9"/>
  <c r="L17" i="11"/>
  <c r="J15" i="7"/>
  <c r="L15" i="14"/>
  <c r="J13" i="5"/>
  <c r="L12" i="14"/>
  <c r="J10" i="5"/>
  <c r="L12" i="15"/>
  <c r="J10" i="10"/>
  <c r="L17" i="13"/>
  <c r="J15" i="9"/>
  <c r="L13" i="15"/>
  <c r="J11" i="10"/>
  <c r="K20" i="5"/>
  <c r="M22" i="14"/>
  <c r="L10" i="12"/>
  <c r="J8" i="8"/>
  <c r="E17" i="12"/>
  <c r="D14" i="8"/>
  <c r="K23" i="6" l="1"/>
  <c r="M25" i="4"/>
  <c r="L24" i="4"/>
  <c r="J22" i="6"/>
  <c r="K21" i="6"/>
  <c r="M23" i="4"/>
  <c r="L24" i="8"/>
  <c r="N26" i="12"/>
  <c r="L23" i="8"/>
  <c r="N25" i="12"/>
  <c r="L18" i="8"/>
  <c r="N20" i="12"/>
  <c r="L20" i="8"/>
  <c r="N22" i="12"/>
  <c r="M19" i="12"/>
  <c r="K17" i="8"/>
  <c r="N24" i="12"/>
  <c r="L22" i="8"/>
  <c r="L19" i="8"/>
  <c r="N21" i="12"/>
  <c r="L21" i="8"/>
  <c r="N23" i="12"/>
  <c r="M12" i="14"/>
  <c r="K10" i="5"/>
  <c r="M17" i="11"/>
  <c r="K15" i="7"/>
  <c r="M21" i="13"/>
  <c r="K19" i="9"/>
  <c r="M16" i="11"/>
  <c r="K14" i="7"/>
  <c r="M14" i="15"/>
  <c r="K12" i="10"/>
  <c r="E17" i="14"/>
  <c r="D14" i="5"/>
  <c r="M11" i="13"/>
  <c r="K9" i="9"/>
  <c r="M16" i="14"/>
  <c r="K14" i="5"/>
  <c r="M16" i="15"/>
  <c r="K14" i="10"/>
  <c r="M14" i="12"/>
  <c r="K12" i="8"/>
  <c r="O22" i="15"/>
  <c r="M20" i="10"/>
  <c r="O22" i="13"/>
  <c r="M20" i="9"/>
  <c r="M19" i="15"/>
  <c r="K17" i="10"/>
  <c r="M12" i="11"/>
  <c r="K10" i="7"/>
  <c r="M12" i="12"/>
  <c r="K10" i="8"/>
  <c r="M19" i="11"/>
  <c r="K17" i="7"/>
  <c r="M11" i="12"/>
  <c r="K9" i="8"/>
  <c r="M21" i="11"/>
  <c r="K19" i="7"/>
  <c r="M12" i="13"/>
  <c r="K10" i="9"/>
  <c r="M15" i="15"/>
  <c r="K13" i="10"/>
  <c r="M18" i="15"/>
  <c r="K16" i="10"/>
  <c r="M20" i="15"/>
  <c r="K18" i="10"/>
  <c r="M13" i="13"/>
  <c r="K11" i="9"/>
  <c r="M21" i="15"/>
  <c r="K19" i="10"/>
  <c r="M20" i="11"/>
  <c r="K18" i="7"/>
  <c r="M10" i="14"/>
  <c r="K8" i="5"/>
  <c r="M13" i="11"/>
  <c r="K11" i="7"/>
  <c r="E17" i="11"/>
  <c r="D14" i="7"/>
  <c r="M10" i="15"/>
  <c r="K8" i="10"/>
  <c r="M17" i="14"/>
  <c r="K15" i="5"/>
  <c r="M18" i="13"/>
  <c r="K16" i="9"/>
  <c r="M13" i="14"/>
  <c r="K11" i="5"/>
  <c r="M13" i="15"/>
  <c r="K11" i="10"/>
  <c r="M12" i="15"/>
  <c r="K10" i="10"/>
  <c r="M15" i="14"/>
  <c r="K13" i="5"/>
  <c r="M10" i="11"/>
  <c r="K8" i="7"/>
  <c r="M13" i="12"/>
  <c r="K11" i="8"/>
  <c r="M10" i="13"/>
  <c r="K8" i="9"/>
  <c r="M17" i="12"/>
  <c r="K15" i="8"/>
  <c r="M15" i="12"/>
  <c r="K13" i="8"/>
  <c r="M20" i="14"/>
  <c r="K18" i="5"/>
  <c r="M15" i="11"/>
  <c r="K13" i="7"/>
  <c r="M17" i="15"/>
  <c r="K15" i="10"/>
  <c r="K20" i="7"/>
  <c r="M14" i="14"/>
  <c r="K12" i="5"/>
  <c r="M18" i="11"/>
  <c r="K16" i="7"/>
  <c r="E17" i="15"/>
  <c r="D14" i="10"/>
  <c r="M16" i="13"/>
  <c r="K14" i="9"/>
  <c r="M16" i="12"/>
  <c r="K14" i="8"/>
  <c r="M11" i="11"/>
  <c r="K9" i="7"/>
  <c r="M19" i="14"/>
  <c r="K17" i="5"/>
  <c r="M11" i="14"/>
  <c r="K9" i="5"/>
  <c r="M18" i="12"/>
  <c r="K16" i="8"/>
  <c r="M11" i="15"/>
  <c r="K9" i="10"/>
  <c r="M20" i="13"/>
  <c r="K18" i="9"/>
  <c r="E17" i="13"/>
  <c r="D14" i="9"/>
  <c r="M18" i="14"/>
  <c r="K16" i="5"/>
  <c r="M15" i="13"/>
  <c r="K13" i="9"/>
  <c r="M14" i="11"/>
  <c r="K12" i="7"/>
  <c r="M19" i="13"/>
  <c r="K17" i="9"/>
  <c r="M14" i="13"/>
  <c r="K12" i="9"/>
  <c r="M21" i="14"/>
  <c r="K19" i="5"/>
  <c r="M17" i="13"/>
  <c r="K15" i="9"/>
  <c r="N22" i="14"/>
  <c r="L20" i="5"/>
  <c r="E18" i="12"/>
  <c r="E19" i="12" s="1"/>
  <c r="D15" i="8"/>
  <c r="M10" i="12"/>
  <c r="K8" i="8"/>
  <c r="D17" i="8" l="1"/>
  <c r="E20" i="12"/>
  <c r="N25" i="4"/>
  <c r="L23" i="6"/>
  <c r="L21" i="6"/>
  <c r="N23" i="4"/>
  <c r="M24" i="4"/>
  <c r="K22" i="6"/>
  <c r="O25" i="12"/>
  <c r="M23" i="8"/>
  <c r="O26" i="12"/>
  <c r="M24" i="8"/>
  <c r="O21" i="12"/>
  <c r="M19" i="8"/>
  <c r="O20" i="12"/>
  <c r="M18" i="8"/>
  <c r="L17" i="8"/>
  <c r="N19" i="12"/>
  <c r="O23" i="12"/>
  <c r="M21" i="8"/>
  <c r="O22" i="12"/>
  <c r="M20" i="8"/>
  <c r="M22" i="8"/>
  <c r="O24" i="12"/>
  <c r="N17" i="13"/>
  <c r="L15" i="9"/>
  <c r="N14" i="13"/>
  <c r="L12" i="9"/>
  <c r="N18" i="14"/>
  <c r="L16" i="5"/>
  <c r="E18" i="13"/>
  <c r="D15" i="9"/>
  <c r="N11" i="15"/>
  <c r="L9" i="10"/>
  <c r="N11" i="14"/>
  <c r="L9" i="5"/>
  <c r="N11" i="11"/>
  <c r="L9" i="7"/>
  <c r="N16" i="13"/>
  <c r="L14" i="9"/>
  <c r="N18" i="11"/>
  <c r="L16" i="7"/>
  <c r="N15" i="11"/>
  <c r="L13" i="7"/>
  <c r="N17" i="12"/>
  <c r="L15" i="8"/>
  <c r="N13" i="12"/>
  <c r="L11" i="8"/>
  <c r="N15" i="14"/>
  <c r="L13" i="5"/>
  <c r="N13" i="15"/>
  <c r="L11" i="10"/>
  <c r="N18" i="13"/>
  <c r="L16" i="9"/>
  <c r="N10" i="15"/>
  <c r="L8" i="10"/>
  <c r="N13" i="11"/>
  <c r="L11" i="7"/>
  <c r="N20" i="11"/>
  <c r="L18" i="7"/>
  <c r="N13" i="13"/>
  <c r="L11" i="9"/>
  <c r="N18" i="15"/>
  <c r="L16" i="10"/>
  <c r="N12" i="13"/>
  <c r="L10" i="9"/>
  <c r="N11" i="12"/>
  <c r="L9" i="8"/>
  <c r="N12" i="11"/>
  <c r="L10" i="7"/>
  <c r="P22" i="15"/>
  <c r="N20" i="10"/>
  <c r="N16" i="15"/>
  <c r="L14" i="10"/>
  <c r="N11" i="13"/>
  <c r="L9" i="9"/>
  <c r="N14" i="15"/>
  <c r="L12" i="10"/>
  <c r="N21" i="13"/>
  <c r="L19" i="9"/>
  <c r="N12" i="14"/>
  <c r="L10" i="5"/>
  <c r="N21" i="14"/>
  <c r="L19" i="5"/>
  <c r="N20" i="13"/>
  <c r="L18" i="9"/>
  <c r="N20" i="14"/>
  <c r="L18" i="5"/>
  <c r="N19" i="13"/>
  <c r="L17" i="9"/>
  <c r="N15" i="13"/>
  <c r="L13" i="9"/>
  <c r="N18" i="12"/>
  <c r="L16" i="8"/>
  <c r="N19" i="14"/>
  <c r="L17" i="5"/>
  <c r="N16" i="12"/>
  <c r="L14" i="8"/>
  <c r="E18" i="15"/>
  <c r="D15" i="10"/>
  <c r="N14" i="14"/>
  <c r="L12" i="5"/>
  <c r="N17" i="15"/>
  <c r="L15" i="10"/>
  <c r="N15" i="12"/>
  <c r="L13" i="8"/>
  <c r="N10" i="13"/>
  <c r="L8" i="9"/>
  <c r="N10" i="11"/>
  <c r="L8" i="7"/>
  <c r="N12" i="15"/>
  <c r="L10" i="10"/>
  <c r="N13" i="14"/>
  <c r="L11" i="5"/>
  <c r="N17" i="14"/>
  <c r="L15" i="5"/>
  <c r="E18" i="11"/>
  <c r="D15" i="7"/>
  <c r="N10" i="14"/>
  <c r="L8" i="5"/>
  <c r="N21" i="15"/>
  <c r="L19" i="10"/>
  <c r="N20" i="15"/>
  <c r="L18" i="10"/>
  <c r="N15" i="15"/>
  <c r="L13" i="10"/>
  <c r="N21" i="11"/>
  <c r="L19" i="7"/>
  <c r="N19" i="11"/>
  <c r="L17" i="7"/>
  <c r="N12" i="12"/>
  <c r="L10" i="8"/>
  <c r="N19" i="15"/>
  <c r="L17" i="10"/>
  <c r="P22" i="13"/>
  <c r="N20" i="9"/>
  <c r="N14" i="12"/>
  <c r="L12" i="8"/>
  <c r="N16" i="14"/>
  <c r="L14" i="5"/>
  <c r="E18" i="14"/>
  <c r="D15" i="5"/>
  <c r="N16" i="11"/>
  <c r="L14" i="7"/>
  <c r="N17" i="11"/>
  <c r="L15" i="7"/>
  <c r="N14" i="11"/>
  <c r="L12" i="7"/>
  <c r="L20" i="7"/>
  <c r="O22" i="14"/>
  <c r="M20" i="5"/>
  <c r="N10" i="12"/>
  <c r="L8" i="8"/>
  <c r="D16" i="8"/>
  <c r="E21" i="12" l="1"/>
  <c r="D18" i="8"/>
  <c r="M23" i="6"/>
  <c r="O25" i="4"/>
  <c r="N24" i="4"/>
  <c r="L22" i="6"/>
  <c r="M21" i="6"/>
  <c r="O23" i="4"/>
  <c r="N24" i="8"/>
  <c r="P26" i="12"/>
  <c r="N23" i="8"/>
  <c r="P25" i="12"/>
  <c r="N22" i="8"/>
  <c r="P24" i="12"/>
  <c r="P23" i="12"/>
  <c r="N21" i="8"/>
  <c r="P20" i="12"/>
  <c r="N18" i="8"/>
  <c r="O19" i="12"/>
  <c r="M17" i="8"/>
  <c r="N20" i="8"/>
  <c r="P22" i="12"/>
  <c r="N19" i="8"/>
  <c r="P21" i="12"/>
  <c r="O16" i="11"/>
  <c r="M14" i="7"/>
  <c r="Q22" i="13"/>
  <c r="O20" i="9"/>
  <c r="O12" i="12"/>
  <c r="M10" i="8"/>
  <c r="O20" i="15"/>
  <c r="M18" i="10"/>
  <c r="O10" i="14"/>
  <c r="M8" i="5"/>
  <c r="O17" i="14"/>
  <c r="M15" i="5"/>
  <c r="O12" i="15"/>
  <c r="M10" i="10"/>
  <c r="O17" i="15"/>
  <c r="M15" i="10"/>
  <c r="E19" i="15"/>
  <c r="D16" i="10"/>
  <c r="O19" i="14"/>
  <c r="M17" i="5"/>
  <c r="O19" i="13"/>
  <c r="M17" i="9"/>
  <c r="O20" i="14"/>
  <c r="M18" i="5"/>
  <c r="O21" i="13"/>
  <c r="M19" i="9"/>
  <c r="O11" i="13"/>
  <c r="M9" i="9"/>
  <c r="Q22" i="15"/>
  <c r="O20" i="10"/>
  <c r="O12" i="11"/>
  <c r="M10" i="7"/>
  <c r="O11" i="12"/>
  <c r="M9" i="8"/>
  <c r="O18" i="15"/>
  <c r="M16" i="10"/>
  <c r="O20" i="11"/>
  <c r="M18" i="7"/>
  <c r="O10" i="15"/>
  <c r="M8" i="10"/>
  <c r="O13" i="15"/>
  <c r="M11" i="10"/>
  <c r="O13" i="12"/>
  <c r="M11" i="8"/>
  <c r="O18" i="11"/>
  <c r="M16" i="7"/>
  <c r="O11" i="11"/>
  <c r="M9" i="7"/>
  <c r="O11" i="15"/>
  <c r="M9" i="10"/>
  <c r="O18" i="14"/>
  <c r="M16" i="5"/>
  <c r="O17" i="13"/>
  <c r="M15" i="9"/>
  <c r="O17" i="11"/>
  <c r="M15" i="7"/>
  <c r="O14" i="12"/>
  <c r="M12" i="8"/>
  <c r="O15" i="15"/>
  <c r="M13" i="10"/>
  <c r="O10" i="11"/>
  <c r="M8" i="7"/>
  <c r="O14" i="14"/>
  <c r="M12" i="5"/>
  <c r="O12" i="14"/>
  <c r="M10" i="5"/>
  <c r="M20" i="7"/>
  <c r="E19" i="14"/>
  <c r="D16" i="5"/>
  <c r="O19" i="15"/>
  <c r="M17" i="10"/>
  <c r="O19" i="11"/>
  <c r="M17" i="7"/>
  <c r="O21" i="15"/>
  <c r="M19" i="10"/>
  <c r="E19" i="11"/>
  <c r="D16" i="7"/>
  <c r="O13" i="14"/>
  <c r="M11" i="5"/>
  <c r="O15" i="12"/>
  <c r="M13" i="8"/>
  <c r="O16" i="12"/>
  <c r="M14" i="8"/>
  <c r="O18" i="12"/>
  <c r="M16" i="8"/>
  <c r="O15" i="13"/>
  <c r="M13" i="9"/>
  <c r="O20" i="13"/>
  <c r="M18" i="9"/>
  <c r="O14" i="15"/>
  <c r="M12" i="10"/>
  <c r="O16" i="15"/>
  <c r="M14" i="10"/>
  <c r="O12" i="13"/>
  <c r="M10" i="9"/>
  <c r="O13" i="13"/>
  <c r="M11" i="9"/>
  <c r="O13" i="11"/>
  <c r="M11" i="7"/>
  <c r="O18" i="13"/>
  <c r="M16" i="9"/>
  <c r="O15" i="14"/>
  <c r="M13" i="5"/>
  <c r="O17" i="12"/>
  <c r="M15" i="8"/>
  <c r="O15" i="11"/>
  <c r="M13" i="7"/>
  <c r="O16" i="13"/>
  <c r="M14" i="9"/>
  <c r="O11" i="14"/>
  <c r="M9" i="5"/>
  <c r="E19" i="13"/>
  <c r="D16" i="9"/>
  <c r="O14" i="13"/>
  <c r="M12" i="9"/>
  <c r="O14" i="11"/>
  <c r="M12" i="7"/>
  <c r="O16" i="14"/>
  <c r="M14" i="5"/>
  <c r="O21" i="11"/>
  <c r="M19" i="7"/>
  <c r="O10" i="13"/>
  <c r="M8" i="9"/>
  <c r="O21" i="14"/>
  <c r="M19" i="5"/>
  <c r="N20" i="5"/>
  <c r="P22" i="14"/>
  <c r="O10" i="12"/>
  <c r="M8" i="8"/>
  <c r="D19" i="8" l="1"/>
  <c r="E22" i="12"/>
  <c r="P25" i="4"/>
  <c r="N23" i="6"/>
  <c r="N21" i="6"/>
  <c r="P23" i="4"/>
  <c r="O24" i="4"/>
  <c r="M22" i="6"/>
  <c r="Q25" i="12"/>
  <c r="O23" i="8"/>
  <c r="Q26" i="12"/>
  <c r="O24" i="8"/>
  <c r="Q21" i="12"/>
  <c r="O19" i="8"/>
  <c r="N17" i="8"/>
  <c r="P19" i="12"/>
  <c r="O21" i="8"/>
  <c r="Q23" i="12"/>
  <c r="Q22" i="12"/>
  <c r="O20" i="8"/>
  <c r="Q24" i="12"/>
  <c r="O22" i="8"/>
  <c r="Q20" i="12"/>
  <c r="O18" i="8"/>
  <c r="P16" i="14"/>
  <c r="N14" i="5"/>
  <c r="P14" i="13"/>
  <c r="N12" i="9"/>
  <c r="P15" i="11"/>
  <c r="N13" i="7"/>
  <c r="P15" i="14"/>
  <c r="N13" i="5"/>
  <c r="P13" i="11"/>
  <c r="N11" i="7"/>
  <c r="P12" i="13"/>
  <c r="N10" i="9"/>
  <c r="P14" i="15"/>
  <c r="N12" i="10"/>
  <c r="P18" i="12"/>
  <c r="N16" i="8"/>
  <c r="E20" i="11"/>
  <c r="D17" i="7"/>
  <c r="P19" i="11"/>
  <c r="N17" i="7"/>
  <c r="E20" i="14"/>
  <c r="D17" i="5"/>
  <c r="P12" i="14"/>
  <c r="N10" i="5"/>
  <c r="P10" i="11"/>
  <c r="N8" i="7"/>
  <c r="P14" i="12"/>
  <c r="N12" i="8"/>
  <c r="P17" i="13"/>
  <c r="N15" i="9"/>
  <c r="P11" i="15"/>
  <c r="N9" i="10"/>
  <c r="P18" i="11"/>
  <c r="N16" i="7"/>
  <c r="P13" i="12"/>
  <c r="N11" i="8"/>
  <c r="P10" i="15"/>
  <c r="N8" i="10"/>
  <c r="P18" i="15"/>
  <c r="N16" i="10"/>
  <c r="P12" i="11"/>
  <c r="N10" i="7"/>
  <c r="P11" i="13"/>
  <c r="N9" i="9"/>
  <c r="P20" i="14"/>
  <c r="N18" i="5"/>
  <c r="E20" i="15"/>
  <c r="D17" i="10"/>
  <c r="P12" i="15"/>
  <c r="N10" i="10"/>
  <c r="P10" i="14"/>
  <c r="N8" i="5"/>
  <c r="P12" i="12"/>
  <c r="N10" i="8"/>
  <c r="P16" i="11"/>
  <c r="N14" i="7"/>
  <c r="P14" i="11"/>
  <c r="N12" i="7"/>
  <c r="P15" i="13"/>
  <c r="N13" i="9"/>
  <c r="P21" i="14"/>
  <c r="N19" i="5"/>
  <c r="P21" i="11"/>
  <c r="N19" i="7"/>
  <c r="E20" i="13"/>
  <c r="D17" i="9"/>
  <c r="P16" i="13"/>
  <c r="N14" i="9"/>
  <c r="P17" i="12"/>
  <c r="N15" i="8"/>
  <c r="P18" i="13"/>
  <c r="N16" i="9"/>
  <c r="P13" i="13"/>
  <c r="N11" i="9"/>
  <c r="P16" i="15"/>
  <c r="N14" i="10"/>
  <c r="P20" i="13"/>
  <c r="N18" i="9"/>
  <c r="P16" i="12"/>
  <c r="N14" i="8"/>
  <c r="P13" i="14"/>
  <c r="N11" i="5"/>
  <c r="P21" i="15"/>
  <c r="N19" i="10"/>
  <c r="P19" i="15"/>
  <c r="N17" i="10"/>
  <c r="N20" i="7"/>
  <c r="P14" i="14"/>
  <c r="N12" i="5"/>
  <c r="P15" i="15"/>
  <c r="N13" i="10"/>
  <c r="P17" i="11"/>
  <c r="N15" i="7"/>
  <c r="P18" i="14"/>
  <c r="N16" i="5"/>
  <c r="P11" i="11"/>
  <c r="N9" i="7"/>
  <c r="P13" i="15"/>
  <c r="N11" i="10"/>
  <c r="P20" i="11"/>
  <c r="N18" i="7"/>
  <c r="P11" i="12"/>
  <c r="N9" i="8"/>
  <c r="R22" i="15"/>
  <c r="Q20" i="10" s="1"/>
  <c r="P20" i="10"/>
  <c r="P21" i="13"/>
  <c r="N19" i="9"/>
  <c r="P19" i="13"/>
  <c r="N17" i="9"/>
  <c r="P19" i="14"/>
  <c r="N17" i="5"/>
  <c r="P17" i="15"/>
  <c r="N15" i="10"/>
  <c r="P17" i="14"/>
  <c r="N15" i="5"/>
  <c r="P20" i="15"/>
  <c r="N18" i="10"/>
  <c r="R22" i="13"/>
  <c r="Q20" i="9" s="1"/>
  <c r="P20" i="9"/>
  <c r="P10" i="13"/>
  <c r="N8" i="9"/>
  <c r="P11" i="14"/>
  <c r="N9" i="5"/>
  <c r="P15" i="12"/>
  <c r="N13" i="8"/>
  <c r="O20" i="5"/>
  <c r="Q22" i="14"/>
  <c r="P10" i="12"/>
  <c r="N8" i="8"/>
  <c r="D20" i="8" l="1"/>
  <c r="E23" i="12"/>
  <c r="Q25" i="4"/>
  <c r="O23" i="6"/>
  <c r="P24" i="4"/>
  <c r="N22" i="6"/>
  <c r="Q23" i="4"/>
  <c r="O21" i="6"/>
  <c r="P24" i="8"/>
  <c r="R26" i="12"/>
  <c r="Q24" i="8" s="1"/>
  <c r="R25" i="12"/>
  <c r="Q23" i="8" s="1"/>
  <c r="P23" i="8"/>
  <c r="Q19" i="12"/>
  <c r="O17" i="8"/>
  <c r="P18" i="8"/>
  <c r="R20" i="12"/>
  <c r="Q18" i="8" s="1"/>
  <c r="P20" i="8"/>
  <c r="R22" i="12"/>
  <c r="Q20" i="8" s="1"/>
  <c r="P21" i="8"/>
  <c r="R23" i="12"/>
  <c r="Q21" i="8" s="1"/>
  <c r="P22" i="8"/>
  <c r="R24" i="12"/>
  <c r="Q22" i="8" s="1"/>
  <c r="R21" i="12"/>
  <c r="Q19" i="8" s="1"/>
  <c r="P19" i="8"/>
  <c r="Q17" i="14"/>
  <c r="O15" i="5"/>
  <c r="Q21" i="13"/>
  <c r="O19" i="9"/>
  <c r="Q11" i="12"/>
  <c r="O9" i="8"/>
  <c r="Q13" i="15"/>
  <c r="O11" i="10"/>
  <c r="Q11" i="11"/>
  <c r="O9" i="7"/>
  <c r="Q17" i="11"/>
  <c r="O15" i="7"/>
  <c r="Q14" i="14"/>
  <c r="O12" i="5"/>
  <c r="Q19" i="15"/>
  <c r="O17" i="10"/>
  <c r="Q13" i="14"/>
  <c r="O11" i="5"/>
  <c r="Q20" i="13"/>
  <c r="O18" i="9"/>
  <c r="Q18" i="13"/>
  <c r="O16" i="9"/>
  <c r="Q16" i="13"/>
  <c r="O14" i="9"/>
  <c r="Q21" i="11"/>
  <c r="O19" i="7"/>
  <c r="Q15" i="13"/>
  <c r="O13" i="9"/>
  <c r="Q16" i="11"/>
  <c r="O14" i="7"/>
  <c r="Q10" i="14"/>
  <c r="O8" i="5"/>
  <c r="E21" i="15"/>
  <c r="D18" i="10"/>
  <c r="Q20" i="14"/>
  <c r="O18" i="5"/>
  <c r="Q12" i="11"/>
  <c r="O10" i="7"/>
  <c r="Q10" i="15"/>
  <c r="O8" i="10"/>
  <c r="Q18" i="11"/>
  <c r="O16" i="7"/>
  <c r="Q17" i="13"/>
  <c r="O15" i="9"/>
  <c r="Q10" i="11"/>
  <c r="O8" i="7"/>
  <c r="E21" i="14"/>
  <c r="D18" i="5"/>
  <c r="E21" i="11"/>
  <c r="D18" i="7"/>
  <c r="Q13" i="11"/>
  <c r="O11" i="7"/>
  <c r="Q15" i="11"/>
  <c r="O13" i="7"/>
  <c r="Q16" i="14"/>
  <c r="O14" i="5"/>
  <c r="Q15" i="12"/>
  <c r="O13" i="8"/>
  <c r="Q19" i="13"/>
  <c r="O17" i="9"/>
  <c r="Q16" i="15"/>
  <c r="O14" i="10"/>
  <c r="Q10" i="13"/>
  <c r="O8" i="9"/>
  <c r="Q20" i="15"/>
  <c r="O18" i="10"/>
  <c r="Q17" i="15"/>
  <c r="O15" i="10"/>
  <c r="Q20" i="11"/>
  <c r="O18" i="7"/>
  <c r="Q18" i="14"/>
  <c r="O16" i="5"/>
  <c r="Q15" i="15"/>
  <c r="O13" i="10"/>
  <c r="O20" i="7"/>
  <c r="Q21" i="15"/>
  <c r="O19" i="10"/>
  <c r="Q16" i="12"/>
  <c r="O14" i="8"/>
  <c r="Q13" i="13"/>
  <c r="O11" i="9"/>
  <c r="Q17" i="12"/>
  <c r="O15" i="8"/>
  <c r="E21" i="13"/>
  <c r="D18" i="9"/>
  <c r="Q21" i="14"/>
  <c r="O19" i="5"/>
  <c r="Q14" i="11"/>
  <c r="O12" i="7"/>
  <c r="Q12" i="12"/>
  <c r="O10" i="8"/>
  <c r="Q12" i="15"/>
  <c r="O10" i="10"/>
  <c r="Q11" i="13"/>
  <c r="O9" i="9"/>
  <c r="Q18" i="15"/>
  <c r="O16" i="10"/>
  <c r="Q13" i="12"/>
  <c r="O11" i="8"/>
  <c r="Q11" i="15"/>
  <c r="O9" i="10"/>
  <c r="Q14" i="12"/>
  <c r="O12" i="8"/>
  <c r="Q12" i="14"/>
  <c r="O10" i="5"/>
  <c r="Q19" i="11"/>
  <c r="O17" i="7"/>
  <c r="Q18" i="12"/>
  <c r="O16" i="8"/>
  <c r="Q14" i="15"/>
  <c r="O12" i="10"/>
  <c r="Q12" i="13"/>
  <c r="O10" i="9"/>
  <c r="Q15" i="14"/>
  <c r="O13" i="5"/>
  <c r="Q14" i="13"/>
  <c r="O12" i="9"/>
  <c r="Q11" i="14"/>
  <c r="O9" i="5"/>
  <c r="Q19" i="14"/>
  <c r="O17" i="5"/>
  <c r="R22" i="14"/>
  <c r="Q20" i="5" s="1"/>
  <c r="P20" i="5"/>
  <c r="Q10" i="12"/>
  <c r="O8" i="8"/>
  <c r="E24" i="12" l="1"/>
  <c r="D21" i="8"/>
  <c r="R25" i="4"/>
  <c r="Q23" i="6" s="1"/>
  <c r="P23" i="6"/>
  <c r="P21" i="6"/>
  <c r="R23" i="4"/>
  <c r="Q21" i="6" s="1"/>
  <c r="O22" i="6"/>
  <c r="Q24" i="4"/>
  <c r="R19" i="12"/>
  <c r="Q17" i="8" s="1"/>
  <c r="P17" i="8"/>
  <c r="J9" i="16"/>
  <c r="R11" i="14"/>
  <c r="P9" i="5"/>
  <c r="R15" i="14"/>
  <c r="P13" i="5"/>
  <c r="R14" i="15"/>
  <c r="P12" i="10"/>
  <c r="R19" i="11"/>
  <c r="P17" i="7"/>
  <c r="R14" i="12"/>
  <c r="P12" i="8"/>
  <c r="R13" i="12"/>
  <c r="P11" i="8"/>
  <c r="R12" i="15"/>
  <c r="P10" i="10"/>
  <c r="R14" i="11"/>
  <c r="P12" i="7"/>
  <c r="E22" i="13"/>
  <c r="D19" i="9"/>
  <c r="R13" i="13"/>
  <c r="P11" i="9"/>
  <c r="R21" i="15"/>
  <c r="P19" i="10"/>
  <c r="R15" i="15"/>
  <c r="P13" i="10"/>
  <c r="R17" i="15"/>
  <c r="P15" i="10"/>
  <c r="R10" i="13"/>
  <c r="P8" i="9"/>
  <c r="R19" i="13"/>
  <c r="P17" i="9"/>
  <c r="R16" i="14"/>
  <c r="P14" i="5"/>
  <c r="R13" i="11"/>
  <c r="P11" i="7"/>
  <c r="E22" i="11"/>
  <c r="E23" i="11" s="1"/>
  <c r="E24" i="11" s="1"/>
  <c r="E25" i="11" s="1"/>
  <c r="E26" i="11" s="1"/>
  <c r="E27" i="11" s="1"/>
  <c r="E28" i="11" s="1"/>
  <c r="E29" i="11" s="1"/>
  <c r="D19" i="7"/>
  <c r="R10" i="11"/>
  <c r="P8" i="7"/>
  <c r="R18" i="11"/>
  <c r="P16" i="7"/>
  <c r="R12" i="11"/>
  <c r="P10" i="7"/>
  <c r="E22" i="15"/>
  <c r="D19" i="10"/>
  <c r="R16" i="11"/>
  <c r="P14" i="7"/>
  <c r="R21" i="11"/>
  <c r="P19" i="7"/>
  <c r="R18" i="13"/>
  <c r="P16" i="9"/>
  <c r="R13" i="14"/>
  <c r="P11" i="5"/>
  <c r="R14" i="14"/>
  <c r="P12" i="5"/>
  <c r="R11" i="11"/>
  <c r="P9" i="7"/>
  <c r="R11" i="12"/>
  <c r="P9" i="8"/>
  <c r="R17" i="14"/>
  <c r="P15" i="5"/>
  <c r="R11" i="15"/>
  <c r="P9" i="10"/>
  <c r="R19" i="14"/>
  <c r="P17" i="5"/>
  <c r="R14" i="13"/>
  <c r="P12" i="9"/>
  <c r="R12" i="13"/>
  <c r="P10" i="9"/>
  <c r="R18" i="12"/>
  <c r="P16" i="8"/>
  <c r="R12" i="14"/>
  <c r="P10" i="5"/>
  <c r="R18" i="15"/>
  <c r="P16" i="10"/>
  <c r="R12" i="12"/>
  <c r="P10" i="8"/>
  <c r="R21" i="14"/>
  <c r="P19" i="5"/>
  <c r="R17" i="12"/>
  <c r="P15" i="8"/>
  <c r="R16" i="12"/>
  <c r="P14" i="8"/>
  <c r="Q20" i="7"/>
  <c r="P20" i="7"/>
  <c r="R18" i="14"/>
  <c r="P16" i="5"/>
  <c r="R20" i="11"/>
  <c r="P18" i="7"/>
  <c r="R20" i="15"/>
  <c r="P18" i="10"/>
  <c r="R16" i="15"/>
  <c r="P14" i="10"/>
  <c r="R15" i="12"/>
  <c r="P13" i="8"/>
  <c r="R15" i="11"/>
  <c r="P13" i="7"/>
  <c r="E22" i="14"/>
  <c r="E23" i="14" s="1"/>
  <c r="E24" i="14" s="1"/>
  <c r="E25" i="14" s="1"/>
  <c r="E26" i="14" s="1"/>
  <c r="E27" i="14" s="1"/>
  <c r="E28" i="14" s="1"/>
  <c r="E29" i="14" s="1"/>
  <c r="E30" i="14" s="1"/>
  <c r="D19" i="5"/>
  <c r="R17" i="13"/>
  <c r="P15" i="9"/>
  <c r="R10" i="15"/>
  <c r="P8" i="10"/>
  <c r="R20" i="14"/>
  <c r="P18" i="5"/>
  <c r="R10" i="14"/>
  <c r="P8" i="5"/>
  <c r="R15" i="13"/>
  <c r="P13" i="9"/>
  <c r="R16" i="13"/>
  <c r="P14" i="9"/>
  <c r="R20" i="13"/>
  <c r="P18" i="9"/>
  <c r="R19" i="15"/>
  <c r="P17" i="10"/>
  <c r="R17" i="11"/>
  <c r="P15" i="7"/>
  <c r="R13" i="15"/>
  <c r="P11" i="10"/>
  <c r="R21" i="13"/>
  <c r="P19" i="9"/>
  <c r="R11" i="13"/>
  <c r="P9" i="9"/>
  <c r="R10" i="12"/>
  <c r="P8" i="8"/>
  <c r="E25" i="12" l="1"/>
  <c r="D22" i="8"/>
  <c r="R24" i="4"/>
  <c r="Q22" i="6" s="1"/>
  <c r="P22" i="6"/>
  <c r="J8" i="16"/>
  <c r="Q19" i="9"/>
  <c r="Q18" i="9"/>
  <c r="Q18" i="5"/>
  <c r="Q18" i="10"/>
  <c r="Q14" i="8"/>
  <c r="Q19" i="5"/>
  <c r="Q10" i="5"/>
  <c r="Q17" i="5"/>
  <c r="Q9" i="7"/>
  <c r="Q19" i="7"/>
  <c r="Q16" i="7"/>
  <c r="Q14" i="5"/>
  <c r="Q19" i="10"/>
  <c r="Q9" i="9"/>
  <c r="Q14" i="9"/>
  <c r="Q8" i="10"/>
  <c r="Q13" i="7"/>
  <c r="Q18" i="7"/>
  <c r="Q15" i="8"/>
  <c r="Q16" i="8"/>
  <c r="Q9" i="10"/>
  <c r="Q12" i="5"/>
  <c r="Q14" i="7"/>
  <c r="Q8" i="7"/>
  <c r="Q17" i="9"/>
  <c r="Q15" i="10"/>
  <c r="Q13" i="10"/>
  <c r="Q11" i="9"/>
  <c r="Q12" i="7"/>
  <c r="Q11" i="8"/>
  <c r="Q17" i="7"/>
  <c r="Q13" i="5"/>
  <c r="Q11" i="10"/>
  <c r="Q17" i="10"/>
  <c r="Q8" i="5"/>
  <c r="D20" i="5"/>
  <c r="Q14" i="10"/>
  <c r="Q10" i="8"/>
  <c r="Q16" i="10"/>
  <c r="Q12" i="9"/>
  <c r="Q9" i="8"/>
  <c r="Q16" i="9"/>
  <c r="Q10" i="7"/>
  <c r="Q11" i="7"/>
  <c r="Q15" i="7"/>
  <c r="Q13" i="9"/>
  <c r="Q15" i="9"/>
  <c r="Q13" i="8"/>
  <c r="Q16" i="5"/>
  <c r="Q10" i="9"/>
  <c r="Q15" i="5"/>
  <c r="Q11" i="5"/>
  <c r="E23" i="15"/>
  <c r="E24" i="15" s="1"/>
  <c r="E25" i="15" s="1"/>
  <c r="E26" i="15" s="1"/>
  <c r="E27" i="15" s="1"/>
  <c r="E28" i="15" s="1"/>
  <c r="E29" i="15" s="1"/>
  <c r="E30" i="15" s="1"/>
  <c r="D20" i="10"/>
  <c r="E30" i="11"/>
  <c r="D20" i="7"/>
  <c r="Q8" i="9"/>
  <c r="E23" i="13"/>
  <c r="D20" i="9"/>
  <c r="Q10" i="10"/>
  <c r="Q12" i="8"/>
  <c r="Q12" i="10"/>
  <c r="Q9" i="5"/>
  <c r="Q8" i="8"/>
  <c r="E26" i="12" l="1"/>
  <c r="D23" i="8"/>
  <c r="C12" i="16"/>
  <c r="E24" i="13"/>
  <c r="S23" i="13"/>
  <c r="C10" i="16"/>
  <c r="C8" i="16"/>
  <c r="M12" i="16" l="1"/>
  <c r="K12" i="16"/>
  <c r="D24" i="8"/>
  <c r="C9" i="16" s="1"/>
  <c r="M9" i="16" s="1"/>
  <c r="E27" i="12"/>
  <c r="E28" i="12" s="1"/>
  <c r="E29" i="12" s="1"/>
  <c r="E30" i="12" s="1"/>
  <c r="I10" i="16"/>
  <c r="M10" i="16"/>
  <c r="I8" i="16"/>
  <c r="M8" i="16"/>
  <c r="K8" i="16"/>
  <c r="I12" i="16"/>
  <c r="E25" i="13"/>
  <c r="S24" i="13"/>
  <c r="V23" i="13"/>
  <c r="W23" i="13" s="1"/>
  <c r="T23" i="13"/>
  <c r="I9" i="16" l="1"/>
  <c r="K9" i="16"/>
  <c r="T24" i="13"/>
  <c r="V24" i="13"/>
  <c r="W24" i="13" s="1"/>
  <c r="E26" i="13"/>
  <c r="S25" i="13"/>
  <c r="Q7" i="5"/>
  <c r="P7" i="5"/>
  <c r="T25" i="13" l="1"/>
  <c r="V25" i="13"/>
  <c r="W25" i="13" s="1"/>
  <c r="E27" i="13"/>
  <c r="S26" i="13"/>
  <c r="T26" i="13" l="1"/>
  <c r="V26" i="13"/>
  <c r="W26" i="13" s="1"/>
  <c r="E28" i="13"/>
  <c r="S27" i="13"/>
  <c r="D11" i="4"/>
  <c r="D12" i="4"/>
  <c r="D13" i="4"/>
  <c r="D14" i="4"/>
  <c r="D15" i="4"/>
  <c r="D16" i="4"/>
  <c r="D17" i="4"/>
  <c r="D18" i="4"/>
  <c r="D19" i="4"/>
  <c r="D20" i="4"/>
  <c r="D21" i="4"/>
  <c r="S21" i="4" s="1"/>
  <c r="L2" i="1"/>
  <c r="H3" i="1"/>
  <c r="C3" i="1"/>
  <c r="C4" i="1"/>
  <c r="C5" i="1"/>
  <c r="C2" i="1"/>
  <c r="T21" i="4" l="1"/>
  <c r="V21" i="4"/>
  <c r="W21" i="4" s="1"/>
  <c r="V27" i="13"/>
  <c r="W27" i="13" s="1"/>
  <c r="T27" i="13"/>
  <c r="E29" i="13"/>
  <c r="S28" i="13"/>
  <c r="D3" i="1"/>
  <c r="D2" i="1"/>
  <c r="T8" i="5"/>
  <c r="U8" i="5" s="1"/>
  <c r="O7" i="5"/>
  <c r="E7" i="5"/>
  <c r="G7" i="5"/>
  <c r="H7" i="5"/>
  <c r="I7" i="5"/>
  <c r="J7" i="5"/>
  <c r="K7" i="5"/>
  <c r="L7" i="5"/>
  <c r="M7" i="5"/>
  <c r="N7" i="5"/>
  <c r="D7" i="5"/>
  <c r="C11" i="16" s="1"/>
  <c r="M11" i="16" l="1"/>
  <c r="K11" i="16"/>
  <c r="I11" i="16"/>
  <c r="T28" i="13"/>
  <c r="V28" i="13"/>
  <c r="W28" i="13" s="1"/>
  <c r="E30" i="13"/>
  <c r="S30" i="13" s="1"/>
  <c r="S29" i="13"/>
  <c r="D10" i="4"/>
  <c r="T29" i="13" l="1"/>
  <c r="V29" i="13"/>
  <c r="W29" i="13" s="1"/>
  <c r="T30" i="13"/>
  <c r="V30" i="13"/>
  <c r="W30" i="13" s="1"/>
  <c r="E10" i="4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" i="3"/>
  <c r="J10" i="16" l="1"/>
  <c r="K10" i="16" s="1"/>
  <c r="J7" i="16"/>
  <c r="D8" i="6"/>
  <c r="E11" i="4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D9" i="6" l="1"/>
  <c r="E12" i="4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G27" i="4" l="1"/>
  <c r="H27" i="4" s="1"/>
  <c r="I27" i="4" s="1"/>
  <c r="J27" i="4" s="1"/>
  <c r="K27" i="4" s="1"/>
  <c r="L27" i="4" s="1"/>
  <c r="M27" i="4" s="1"/>
  <c r="N27" i="4" s="1"/>
  <c r="O27" i="4" s="1"/>
  <c r="P27" i="4" s="1"/>
  <c r="Q27" i="4" s="1"/>
  <c r="R27" i="4" s="1"/>
  <c r="G29" i="4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G30" i="4"/>
  <c r="H30" i="4" s="1"/>
  <c r="I30" i="4" s="1"/>
  <c r="J30" i="4" s="1"/>
  <c r="K30" i="4" s="1"/>
  <c r="L30" i="4" s="1"/>
  <c r="M30" i="4" s="1"/>
  <c r="N30" i="4" s="1"/>
  <c r="O30" i="4" s="1"/>
  <c r="P30" i="4" s="1"/>
  <c r="Q30" i="4" s="1"/>
  <c r="R30" i="4" s="1"/>
  <c r="G26" i="4"/>
  <c r="H26" i="4" s="1"/>
  <c r="I26" i="4" s="1"/>
  <c r="J26" i="4" s="1"/>
  <c r="K26" i="4" s="1"/>
  <c r="L26" i="4" s="1"/>
  <c r="M26" i="4" s="1"/>
  <c r="N26" i="4" s="1"/>
  <c r="O26" i="4" s="1"/>
  <c r="P26" i="4" s="1"/>
  <c r="Q26" i="4" s="1"/>
  <c r="R26" i="4" s="1"/>
  <c r="G28" i="4"/>
  <c r="H28" i="4" s="1"/>
  <c r="I28" i="4" s="1"/>
  <c r="J28" i="4" s="1"/>
  <c r="K28" i="4" s="1"/>
  <c r="L28" i="4" s="1"/>
  <c r="M28" i="4" s="1"/>
  <c r="N28" i="4" s="1"/>
  <c r="O28" i="4" s="1"/>
  <c r="P28" i="4" s="1"/>
  <c r="Q28" i="4" s="1"/>
  <c r="R28" i="4" s="1"/>
  <c r="G11" i="4"/>
  <c r="G13" i="4"/>
  <c r="G12" i="4"/>
  <c r="D10" i="6"/>
  <c r="E13" i="4"/>
  <c r="F20" i="6" l="1"/>
  <c r="D11" i="6"/>
  <c r="F10" i="6"/>
  <c r="H12" i="4"/>
  <c r="F11" i="6"/>
  <c r="H13" i="4"/>
  <c r="F9" i="6"/>
  <c r="H11" i="4"/>
  <c r="E14" i="4"/>
  <c r="G20" i="6" l="1"/>
  <c r="G9" i="6"/>
  <c r="I11" i="4"/>
  <c r="I12" i="4"/>
  <c r="G10" i="6"/>
  <c r="D12" i="6"/>
  <c r="I13" i="4"/>
  <c r="G11" i="6"/>
  <c r="E15" i="4"/>
  <c r="H20" i="6" l="1"/>
  <c r="J11" i="4"/>
  <c r="H9" i="6"/>
  <c r="J13" i="4"/>
  <c r="H11" i="6"/>
  <c r="J12" i="4"/>
  <c r="H10" i="6"/>
  <c r="D13" i="6"/>
  <c r="E16" i="4"/>
  <c r="I20" i="6" l="1"/>
  <c r="K12" i="4"/>
  <c r="I10" i="6"/>
  <c r="D14" i="6"/>
  <c r="K13" i="4"/>
  <c r="I11" i="6"/>
  <c r="K11" i="4"/>
  <c r="I9" i="6"/>
  <c r="E17" i="4"/>
  <c r="J20" i="6" l="1"/>
  <c r="L11" i="4"/>
  <c r="J9" i="6"/>
  <c r="D15" i="6"/>
  <c r="L13" i="4"/>
  <c r="J11" i="6"/>
  <c r="L12" i="4"/>
  <c r="J10" i="6"/>
  <c r="E18" i="4"/>
  <c r="K20" i="6" l="1"/>
  <c r="M13" i="4"/>
  <c r="K11" i="6"/>
  <c r="D16" i="6"/>
  <c r="M12" i="4"/>
  <c r="K10" i="6"/>
  <c r="M11" i="4"/>
  <c r="K9" i="6"/>
  <c r="E19" i="4"/>
  <c r="L20" i="6" l="1"/>
  <c r="N11" i="4"/>
  <c r="L9" i="6"/>
  <c r="D17" i="6"/>
  <c r="N12" i="4"/>
  <c r="L10" i="6"/>
  <c r="N13" i="4"/>
  <c r="L11" i="6"/>
  <c r="E20" i="4"/>
  <c r="M20" i="6" l="1"/>
  <c r="D18" i="6"/>
  <c r="O13" i="4"/>
  <c r="M11" i="6"/>
  <c r="O12" i="4"/>
  <c r="M10" i="6"/>
  <c r="O11" i="4"/>
  <c r="M9" i="6"/>
  <c r="E21" i="4"/>
  <c r="N20" i="6" l="1"/>
  <c r="E22" i="4"/>
  <c r="D19" i="6"/>
  <c r="P11" i="4"/>
  <c r="N9" i="6"/>
  <c r="P13" i="4"/>
  <c r="N11" i="6"/>
  <c r="P12" i="4"/>
  <c r="N10" i="6"/>
  <c r="O20" i="6" l="1"/>
  <c r="E23" i="4"/>
  <c r="D20" i="6"/>
  <c r="Q13" i="4"/>
  <c r="O11" i="6"/>
  <c r="Q12" i="4"/>
  <c r="O10" i="6"/>
  <c r="Q11" i="4"/>
  <c r="O9" i="6"/>
  <c r="E24" i="4" l="1"/>
  <c r="D21" i="6"/>
  <c r="Q20" i="6"/>
  <c r="P20" i="6"/>
  <c r="R11" i="4"/>
  <c r="P9" i="6"/>
  <c r="R13" i="4"/>
  <c r="P11" i="6"/>
  <c r="R12" i="4"/>
  <c r="P10" i="6"/>
  <c r="E25" i="4" l="1"/>
  <c r="D22" i="6"/>
  <c r="J13" i="16"/>
  <c r="Q10" i="6"/>
  <c r="Q11" i="6"/>
  <c r="Q9" i="6"/>
  <c r="E26" i="4" l="1"/>
  <c r="E27" i="4" s="1"/>
  <c r="E28" i="4" s="1"/>
  <c r="E29" i="4" s="1"/>
  <c r="E30" i="4" s="1"/>
  <c r="D23" i="6"/>
  <c r="G15" i="4"/>
  <c r="G14" i="4"/>
  <c r="F12" i="6" l="1"/>
  <c r="F13" i="6"/>
  <c r="H14" i="4"/>
  <c r="H15" i="4"/>
  <c r="G17" i="4"/>
  <c r="G13" i="6" l="1"/>
  <c r="I15" i="4"/>
  <c r="I14" i="4"/>
  <c r="G12" i="6"/>
  <c r="F15" i="6"/>
  <c r="H17" i="4"/>
  <c r="G16" i="4"/>
  <c r="F14" i="6" l="1"/>
  <c r="I17" i="4"/>
  <c r="G15" i="6"/>
  <c r="J15" i="4"/>
  <c r="H13" i="6"/>
  <c r="J14" i="4"/>
  <c r="H12" i="6"/>
  <c r="H16" i="4"/>
  <c r="G18" i="4"/>
  <c r="G19" i="4"/>
  <c r="H19" i="4" l="1"/>
  <c r="F17" i="6"/>
  <c r="I16" i="4"/>
  <c r="G14" i="6"/>
  <c r="K14" i="4"/>
  <c r="I12" i="6"/>
  <c r="H18" i="4"/>
  <c r="F16" i="6"/>
  <c r="J17" i="4"/>
  <c r="H15" i="6"/>
  <c r="K15" i="4"/>
  <c r="I13" i="6"/>
  <c r="L15" i="4" l="1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L17" i="4" l="1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K19" i="4" l="1"/>
  <c r="I17" i="6"/>
  <c r="I21" i="4"/>
  <c r="G19" i="6"/>
  <c r="K18" i="4"/>
  <c r="I16" i="6"/>
  <c r="I20" i="4"/>
  <c r="G18" i="6"/>
  <c r="N15" i="4"/>
  <c r="L13" i="6"/>
  <c r="N14" i="4"/>
  <c r="L12" i="6"/>
  <c r="L16" i="4"/>
  <c r="J14" i="6"/>
  <c r="M17" i="4"/>
  <c r="K15" i="6"/>
  <c r="O14" i="4" l="1"/>
  <c r="M12" i="6"/>
  <c r="J20" i="4"/>
  <c r="H18" i="6"/>
  <c r="J21" i="4"/>
  <c r="H19" i="6"/>
  <c r="N17" i="4"/>
  <c r="L15" i="6"/>
  <c r="M16" i="4"/>
  <c r="K14" i="6"/>
  <c r="O15" i="4"/>
  <c r="M13" i="6"/>
  <c r="L18" i="4"/>
  <c r="J16" i="6"/>
  <c r="L19" i="4"/>
  <c r="J17" i="6"/>
  <c r="M18" i="4" l="1"/>
  <c r="K16" i="6"/>
  <c r="N16" i="4"/>
  <c r="L14" i="6"/>
  <c r="O17" i="4"/>
  <c r="M15" i="6"/>
  <c r="K20" i="4"/>
  <c r="I18" i="6"/>
  <c r="M19" i="4"/>
  <c r="K17" i="6"/>
  <c r="P15" i="4"/>
  <c r="N13" i="6"/>
  <c r="K21" i="4"/>
  <c r="L21" i="4" s="1"/>
  <c r="I19" i="6"/>
  <c r="P14" i="4"/>
  <c r="N12" i="6"/>
  <c r="Q14" i="4" l="1"/>
  <c r="O12" i="6"/>
  <c r="O16" i="4"/>
  <c r="M14" i="6"/>
  <c r="Q15" i="4"/>
  <c r="O13" i="6"/>
  <c r="L20" i="4"/>
  <c r="J18" i="6"/>
  <c r="J19" i="6"/>
  <c r="N19" i="4"/>
  <c r="L17" i="6"/>
  <c r="P17" i="4"/>
  <c r="N15" i="6"/>
  <c r="N18" i="4"/>
  <c r="L16" i="6"/>
  <c r="M20" i="4" l="1"/>
  <c r="K18" i="6"/>
  <c r="O18" i="4"/>
  <c r="M16" i="6"/>
  <c r="O19" i="4"/>
  <c r="M17" i="6"/>
  <c r="P16" i="4"/>
  <c r="N14" i="6"/>
  <c r="M21" i="4"/>
  <c r="K19" i="6"/>
  <c r="Q17" i="4"/>
  <c r="O15" i="6"/>
  <c r="R15" i="4"/>
  <c r="P13" i="6"/>
  <c r="R14" i="4"/>
  <c r="P12" i="6"/>
  <c r="Q13" i="6" l="1"/>
  <c r="N21" i="4"/>
  <c r="L19" i="6"/>
  <c r="P19" i="4"/>
  <c r="N17" i="6"/>
  <c r="N20" i="4"/>
  <c r="L18" i="6"/>
  <c r="Q12" i="6"/>
  <c r="R17" i="4"/>
  <c r="P15" i="6"/>
  <c r="Q16" i="4"/>
  <c r="O14" i="6"/>
  <c r="P18" i="4"/>
  <c r="N16" i="6"/>
  <c r="R16" i="4" l="1"/>
  <c r="P14" i="6"/>
  <c r="O20" i="4"/>
  <c r="M18" i="6"/>
  <c r="O21" i="4"/>
  <c r="M19" i="6"/>
  <c r="Q18" i="4"/>
  <c r="O16" i="6"/>
  <c r="Q19" i="4"/>
  <c r="O17" i="6"/>
  <c r="Q15" i="6"/>
  <c r="Q14" i="6" l="1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Q18" i="6" l="1"/>
  <c r="I10" i="4"/>
  <c r="G8" i="6"/>
  <c r="Q19" i="6"/>
  <c r="J10" i="4" l="1"/>
  <c r="H8" i="6"/>
  <c r="K10" i="4" l="1"/>
  <c r="I8" i="6"/>
  <c r="L10" i="4" l="1"/>
  <c r="J8" i="6"/>
  <c r="M10" i="4" l="1"/>
  <c r="K8" i="6"/>
  <c r="N10" i="4" l="1"/>
  <c r="L8" i="6"/>
  <c r="O10" i="4" l="1"/>
  <c r="M8" i="6"/>
  <c r="P10" i="4" l="1"/>
  <c r="N8" i="6"/>
  <c r="Q10" i="4" l="1"/>
  <c r="O8" i="6"/>
  <c r="R10" i="4" l="1"/>
  <c r="P8" i="6"/>
  <c r="Q8" i="6" l="1"/>
  <c r="C7" i="16" s="1"/>
  <c r="M7" i="16" l="1"/>
  <c r="M13" i="16" s="1"/>
  <c r="K7" i="16"/>
  <c r="I7" i="16"/>
  <c r="C13" i="16"/>
</calcChain>
</file>

<file path=xl/sharedStrings.xml><?xml version="1.0" encoding="utf-8"?>
<sst xmlns="http://schemas.openxmlformats.org/spreadsheetml/2006/main" count="1272" uniqueCount="194">
  <si>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</si>
  <si>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</si>
  <si>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</si>
  <si>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</si>
  <si>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</si>
  <si>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</si>
  <si>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</si>
  <si>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</si>
  <si>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</si>
  <si>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</si>
  <si>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</si>
  <si>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</si>
  <si>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</si>
  <si>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</si>
  <si>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</si>
  <si>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</si>
  <si>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</si>
  <si>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</si>
  <si>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</si>
  <si>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</si>
  <si>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Tipo</t>
  </si>
  <si>
    <t>Quantidade</t>
  </si>
  <si>
    <t>Peso Cru</t>
  </si>
  <si>
    <t>Cliente</t>
  </si>
  <si>
    <t>Quantidade por pacote</t>
  </si>
  <si>
    <t>AUSTRALIANO</t>
  </si>
  <si>
    <t>HD</t>
  </si>
  <si>
    <t>CASEIRINHO</t>
  </si>
  <si>
    <t>PH VINHEDO</t>
  </si>
  <si>
    <t>PH</t>
  </si>
  <si>
    <t>P. AO LEVAIN</t>
  </si>
  <si>
    <t>BAG</t>
  </si>
  <si>
    <t>TRI.GO - AV. SÃO PAULO</t>
  </si>
  <si>
    <t>P. AZEITE RUST.</t>
  </si>
  <si>
    <t>BRIOCHE MARGARINA</t>
  </si>
  <si>
    <t>TRANÇA</t>
  </si>
  <si>
    <t>VINHEDO RUST.</t>
  </si>
  <si>
    <t>BAG P</t>
  </si>
  <si>
    <t>PF INTEGRAL</t>
  </si>
  <si>
    <t>PF</t>
  </si>
  <si>
    <t>AMANTEIGADO</t>
  </si>
  <si>
    <t>BAG. PRIMAS</t>
  </si>
  <si>
    <t>TRI.GO - WAGNER WEY</t>
  </si>
  <si>
    <t>CIAB</t>
  </si>
  <si>
    <t>BREZEL</t>
  </si>
  <si>
    <t>HD FORMA</t>
  </si>
  <si>
    <t xml:space="preserve"> BIG JEFF</t>
  </si>
  <si>
    <t>PH BETERRADA</t>
  </si>
  <si>
    <t>PH MALTE AROMA CARAMEL CACAU</t>
  </si>
  <si>
    <t>BRIOCHE MARGARINA 50% AÇUCAR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</si>
  <si>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</si>
  <si>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</si>
  <si>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</si>
  <si>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</si>
  <si>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</si>
  <si>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</si>
  <si>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</si>
  <si>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</si>
  <si>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</si>
  <si>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</si>
  <si>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</si>
  <si>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</si>
  <si>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</si>
  <si>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</si>
  <si>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</si>
  <si>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</si>
  <si>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</si>
  <si>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</si>
  <si>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</si>
  <si>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</si>
  <si>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</si>
  <si>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</si>
  <si>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</si>
  <si>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</si>
  <si>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</si>
  <si>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</si>
  <si>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</si>
  <si>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</si>
  <si>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</si>
  <si>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</si>
  <si>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</si>
  <si>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SOURDOUGHT</t>
  </si>
  <si>
    <t>STOLLEN</t>
  </si>
  <si>
    <t>SWEET PEPPER BREAD</t>
  </si>
  <si>
    <t>CUSTO TOTAL</t>
  </si>
  <si>
    <t>ordem</t>
  </si>
  <si>
    <t>tempo de indecisão</t>
  </si>
  <si>
    <t>RELISH DE PEPINO</t>
  </si>
  <si>
    <t>POTE</t>
  </si>
  <si>
    <t>LOJA SABADIN</t>
  </si>
  <si>
    <t>BATARD</t>
  </si>
  <si>
    <t>CUSTO/KG</t>
  </si>
  <si>
    <t>CSP</t>
  </si>
  <si>
    <t>MC</t>
  </si>
  <si>
    <t>MARGEM SOBRE CMV PURO</t>
  </si>
  <si>
    <t>TITA COCINA</t>
  </si>
  <si>
    <t>AMERICAN GRAFFITI</t>
  </si>
  <si>
    <t>Ordem</t>
  </si>
  <si>
    <t>Produto</t>
  </si>
  <si>
    <t>Kg</t>
  </si>
  <si>
    <t>OPEN BAR</t>
  </si>
  <si>
    <t>FAZENDA SANTA LUZIA</t>
  </si>
  <si>
    <t>CONE</t>
  </si>
  <si>
    <t>CHARCUTARIA DO PIRATA</t>
  </si>
  <si>
    <t>MADISON</t>
  </si>
  <si>
    <t>BIG BEN</t>
  </si>
  <si>
    <t>DINASTIA</t>
  </si>
  <si>
    <t>CUCA</t>
  </si>
  <si>
    <t>Bag P</t>
  </si>
  <si>
    <t>OUI!CHOCOLAT</t>
  </si>
  <si>
    <t>MH EMPÓRIO</t>
  </si>
  <si>
    <t>BONIFICAÇÃOTHUG</t>
  </si>
  <si>
    <t>BONIFICAÇÃOTHUGIGUATEMI</t>
  </si>
  <si>
    <t>BROOKS SOROCABA</t>
  </si>
  <si>
    <t>Manuel</t>
  </si>
  <si>
    <t>CAFE DO POSTO BURGUER &amp; FITNESS</t>
  </si>
  <si>
    <t>BAMBURGUER</t>
  </si>
  <si>
    <t>BAG G</t>
  </si>
  <si>
    <t>SALLUM BURGUER</t>
  </si>
  <si>
    <t>PÃO BAIANO</t>
  </si>
  <si>
    <t>ESTOQUE</t>
  </si>
  <si>
    <t>COLUMBIA BURGUER</t>
  </si>
  <si>
    <t>Total</t>
  </si>
  <si>
    <t>Preço</t>
  </si>
  <si>
    <t>INC_BATIMENTO</t>
  </si>
  <si>
    <t>FIM_BATIMENTO</t>
  </si>
  <si>
    <t>INC_EMBALAGEM</t>
  </si>
  <si>
    <t>FIM_EMBALAGEM</t>
  </si>
  <si>
    <t>Data de entrega</t>
  </si>
  <si>
    <t>NUTRIFAM</t>
  </si>
  <si>
    <t>COALHADA BURGUER</t>
  </si>
  <si>
    <t>BAG M</t>
  </si>
  <si>
    <t>PRIMO SOROCABA</t>
  </si>
  <si>
    <t>BAGEL</t>
  </si>
  <si>
    <t>PEPITO</t>
  </si>
  <si>
    <t>Fabrizio Fazano</t>
  </si>
  <si>
    <t>THUG BURGER</t>
  </si>
  <si>
    <t>JACK PUB</t>
  </si>
  <si>
    <t>THUG BURGER IGUATEMI</t>
  </si>
  <si>
    <t>DINI'S BURGER</t>
  </si>
  <si>
    <t>upburger</t>
  </si>
  <si>
    <t>Yoou Geek</t>
  </si>
  <si>
    <t>GLÜCK</t>
  </si>
  <si>
    <t>RUST. RED.</t>
  </si>
  <si>
    <t>KAISER</t>
  </si>
  <si>
    <t>QUARK</t>
  </si>
  <si>
    <t>PIZZARIA DO GORDO</t>
  </si>
  <si>
    <t>Amostras</t>
  </si>
  <si>
    <t>WHITE LION</t>
  </si>
  <si>
    <t>CONTEINER FIT EIRELI  ME</t>
  </si>
  <si>
    <t>ESPLANADA LANCHES</t>
  </si>
  <si>
    <t>MISTURA MATARAZZO</t>
  </si>
  <si>
    <t>BALTAZAR BURGER</t>
  </si>
  <si>
    <t>EDSON LANCHES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</si>
  <si>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</si>
  <si>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</si>
  <si>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</si>
  <si>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</si>
  <si>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</si>
  <si>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</si>
  <si>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</si>
  <si>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</si>
  <si>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</si>
  <si>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</si>
  <si>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</si>
  <si>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</si>
  <si>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</si>
  <si>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Produção</t>
  </si>
  <si>
    <t>Direto</t>
  </si>
  <si>
    <t>Rústico</t>
  </si>
  <si>
    <t>Croissant</t>
  </si>
  <si>
    <t>Panetone</t>
  </si>
  <si>
    <t>Data de produção</t>
  </si>
  <si>
    <t>Custo da produção</t>
  </si>
  <si>
    <t>CSP - R$/KG</t>
  </si>
  <si>
    <t>CSP/receita</t>
  </si>
  <si>
    <t>CMV - R$/Kg</t>
  </si>
  <si>
    <t>CT - R$/Kg</t>
  </si>
  <si>
    <t>Custo total - Receita</t>
  </si>
  <si>
    <t>GARAGEM BURGER</t>
  </si>
  <si>
    <t>bonicolumbia</t>
  </si>
  <si>
    <t>bonibigjeff</t>
  </si>
  <si>
    <t xml:space="preserve">HEAVY BURGUER </t>
  </si>
  <si>
    <t>AMANTEIGADO BETERRABA</t>
  </si>
  <si>
    <t>BARBADOS</t>
  </si>
  <si>
    <t>AMANTEIGADO MALTE DARK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</si>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</sst>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4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9" borderId="0" xfId="0" applyFill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0" xfId="0" applyNumberFormat="1"/>
    <xf numFmtId="0" fontId="0" fillId="12" borderId="0" xfId="0" applyFill="1" applyAlignment="1">
      <alignment horizontal="center" vertical="center" wrapText="1"/>
    </xf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  <xf numFmtId="14" fontId="0" fillId="13" borderId="0" xfId="0" applyNumberFormat="1" applyFill="1"/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20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597.1859072822532</c:v>
                </c:pt>
                <c:pt idx="1">
                  <c:v>418.99840343383255</c:v>
                </c:pt>
                <c:pt idx="2">
                  <c:v>595.38356692033062</c:v>
                </c:pt>
                <c:pt idx="3">
                  <c:v>613.09875004805986</c:v>
                </c:pt>
                <c:pt idx="4">
                  <c:v>886.43615669681662</c:v>
                </c:pt>
                <c:pt idx="5">
                  <c:v>841.65407261415214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1949.1800000000003</c:v>
                </c:pt>
                <c:pt idx="1">
                  <c:v>1482.8500000000001</c:v>
                </c:pt>
                <c:pt idx="2">
                  <c:v>2408.8399999999997</c:v>
                </c:pt>
                <c:pt idx="3">
                  <c:v>2459.2499999999991</c:v>
                </c:pt>
                <c:pt idx="4">
                  <c:v>5061.33</c:v>
                </c:pt>
                <c:pt idx="5">
                  <c:v>3564.2800000000007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</a:t>
            </a:r>
            <a:r>
              <a:rPr lang="pt-BR" baseline="0"/>
              <a:t>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50.32465510805504</c:v>
                </c:pt>
                <c:pt idx="2">
                  <c:v>39.740601021229764</c:v>
                </c:pt>
                <c:pt idx="3">
                  <c:v>51.578131699710987</c:v>
                </c:pt>
                <c:pt idx="4">
                  <c:v>53.938306455841044</c:v>
                </c:pt>
                <c:pt idx="5">
                  <c:v>76.241641917730746</c:v>
                </c:pt>
                <c:pt idx="6">
                  <c:v>76.793254800561314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164.25674157303374</c:v>
                </c:pt>
                <c:pt idx="2">
                  <c:v>140.64337654125831</c:v>
                </c:pt>
                <c:pt idx="3">
                  <c:v>208.67802483395891</c:v>
                </c:pt>
                <c:pt idx="4">
                  <c:v>216.35630498533715</c:v>
                </c:pt>
                <c:pt idx="5">
                  <c:v>435.32081422018325</c:v>
                </c:pt>
                <c:pt idx="6">
                  <c:v>325.20802919708029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12.748314606741573</c:v>
                </c:pt>
                <c:pt idx="2">
                  <c:v>9.7417009168510873</c:v>
                </c:pt>
                <c:pt idx="3">
                  <c:v>13.088940225238227</c:v>
                </c:pt>
                <c:pt idx="4">
                  <c:v>16.102346041055714</c:v>
                </c:pt>
                <c:pt idx="5">
                  <c:v>32.046158256880723</c:v>
                </c:pt>
                <c:pt idx="6">
                  <c:v>20.337591240875909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474D53B3-59E1-42EB-A519-4E7C1B1E549F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336759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212E379-F11D-46D1-BECA-6F0B1D5DF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6</xdr:col>
      <xdr:colOff>18743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7CC3FA21-EF11-4098-932E-A122A8CDF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375138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3D8AE7-6C74-4BAE-BFA9-B4EFED589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422033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90EC53-302B-44AB-AD73-D878BAAC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269873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42DDA1-60F8-48AD-BB69-F15D78BF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14</xdr:row>
      <xdr:rowOff>49530</xdr:rowOff>
    </xdr:from>
    <xdr:to>
      <xdr:col>4</xdr:col>
      <xdr:colOff>228600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D0765B67-CEA6-4871-A593-E7E4BB60A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502920</xdr:colOff>
      <xdr:row>14</xdr:row>
      <xdr:rowOff>49530</xdr:rowOff>
    </xdr:from>
    <xdr:to>
      <xdr:col>9</xdr:col>
      <xdr:colOff>769620</xdr:colOff>
      <xdr:row>29</xdr:row>
      <xdr:rowOff>49530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8A5117-D0F6-4298-B8F5-B0EA2A96D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266700</xdr:colOff>
      <xdr:row>0</xdr:row>
      <xdr:rowOff>30480</xdr:rowOff>
    </xdr:from>
    <xdr:to>
      <xdr:col>16</xdr:col>
      <xdr:colOff>338418</xdr:colOff>
      <xdr:row>3</xdr:row>
      <xdr:rowOff>163158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F119CA-CBE2-40F7-AEAF-4D5720673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616940" y="3048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C07BBA1-3F70-43F1-8DB3-6F7A98D5916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2A1A84A8-F171-4FD1-A0B1-7C990D9B8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50F0E3BA-5DE3-4569-944B-178B4E211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92C9FE-241B-4602-A482-92B8B6573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3D91BC-7DA6-4DA9-ACE0-B7CB8364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3F1D2B2-4A78-4DD6-8D3E-9457D8CA1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47E685A-8E39-4B3A-A3DD-DAAA0D380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99C7046-4F5A-4E4D-9023-36D232E65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4DDE7AA1-8660-4A50-88BA-4726A9DB82F1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97919C91-3B74-4AE6-95D0-ADEB65717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EE4CF24F-C092-4560-A34C-F371EADA5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0C45393-56B4-4548-8589-54ED1FADB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6A422F4-8203-4B2B-BCDF-172DBDE6C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E6640CA-E20C-4CC1-9C66-39435A58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94490-59A5-4B8D-A162-34BD4D9B8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BCE163-3243-4556-931D-86B16F8E2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ECAE4E99-CE80-4AC3-85F2-8DFD2922BB22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5FF3F48-49D0-4245-860D-C963A58C7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8484D3E3-F35D-4FD7-A8D6-0E4C0C4D0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165179E-A8F1-465A-99CB-6A2A4FD2B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3D6CFD-A2CF-4CBE-9F4F-6AF67EDC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40F0537-6601-4F96-B51C-E967C36D5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24AB042-72F8-45B3-B3F6-DCCE03983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2582D02-8E7F-4A98-BE87-16C8AC5AB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81BE1262-C542-4885-B6BE-B8C23CBD8CF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A57C0939-337E-495D-BC3C-CBC2F4EB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27B4E72F-3AEF-4327-AC8C-C15A69BE2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7FF741-C32D-4B00-90D5-EC038CF49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CABAC36-5589-4399-9F26-22BC5F858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A7EC1F-0CCD-4216-A681-4946FB4E8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0C7A30-4AD9-44E5-9D08-3F3B738C6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AD6E261-1FC7-4E3A-AB37-19A50E17C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953F9F04-EB33-4769-B0CC-E77A14EB1135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CF288FA9-BDFB-460D-B889-5DE886FF6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55700985-B2D1-40B0-8EAF-F90871B2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B7B2725-DA4C-4836-9F44-C3FC0ADCC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12</xdr:col>
      <xdr:colOff>1021977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138138-84AA-4729-8137-1BF19B19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2B04065-0DA3-42B6-B093-49297C239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9552A0F-AFE4-46BA-AC60-27F5A2ED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C62DBB6-3650-43E0-AA09-8D893D2ED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104AB198-8A5F-4DBC-88C6-CEAC2E13E4A8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15:26:54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60EFCF90-1D97-4265-B79B-BAC4BF114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4F4A081A-6376-43A1-A365-5CA9FEB1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600635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6570B4-9DC2-431F-8F39-9B2CAA762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F1DEE31-6227-4D45-92CB-0EDACB882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436D67D-F5E6-4DF1-881D-6F75EF3CB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F0F2736-9957-404E-83B8-E0A9BE414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D2C8DCD-58B2-487E-B30C-87CC413C6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99189-7164-484A-9EF6-11A530A97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226A83-F663-427E-817A-64F8BAC8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DE9F78-4656-4FC5-9530-83C0E635F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93BF5E-8242-484C-806B-E04ADEC95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0457B5-F160-4F9E-B9C1-E760E41F4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174C70-FFA6-4741-91AD-7CBD42884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48FF5-BA27-4D8F-A339-3563BA0B1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32196-65A2-4DF9-94C6-C3541614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O20"/>
  <sheetViews>
    <sheetView showGridLines="0" tabSelected="1" topLeftCell="C3" zoomScaleNormal="100" workbookViewId="0">
      <selection activeCell="E15" sqref="E15"/>
    </sheetView>
  </sheetViews>
  <sheetFormatPr defaultRowHeight="14.4" x14ac:dyDescent="0.3"/>
  <cols>
    <col min="1" max="1" width="10.77734375" bestFit="1" customWidth="1"/>
    <col min="2" max="2" width="12.21875" bestFit="1" customWidth="1"/>
    <col min="3" max="3" width="18.77734375" bestFit="1" customWidth="1"/>
    <col min="4" max="5" width="11.109375" bestFit="1" customWidth="1"/>
    <col min="6" max="7" width="9.44140625" bestFit="1" customWidth="1"/>
    <col min="8" max="8" width="12.5546875" bestFit="1" customWidth="1"/>
    <col min="9" max="9" width="13.109375" bestFit="1" customWidth="1"/>
    <col min="10" max="10" width="16.44140625" bestFit="1" customWidth="1"/>
    <col min="11" max="11" width="16.44140625" customWidth="1"/>
    <col min="12" max="12" width="12.88671875" bestFit="1" customWidth="1"/>
    <col min="13" max="13" width="14.21875" bestFit="1" customWidth="1"/>
    <col min="14" max="14" width="11.88671875" bestFit="1" customWidth="1"/>
  </cols>
  <sheetData>
    <row r="1" spans="1:15" x14ac:dyDescent="0.3">
      <c r="B1" s="44">
        <v>0.64368055555555559</v>
      </c>
    </row>
    <row r="4" spans="1:15" ht="16.8" x14ac:dyDescent="0.4">
      <c r="E4" s="43"/>
    </row>
    <row r="5" spans="1:15" s="26" customFormat="1" x14ac:dyDescent="0.3">
      <c r="A5" s="70" t="s">
        <v>191</v>
      </c>
      <c r="B5" s="70" t="s">
        <v>192</v>
      </c>
      <c r="C5" s="69" t="s">
        <v>162</v>
      </c>
      <c r="D5" s="70" t="s">
        <v>167</v>
      </c>
      <c r="E5" s="70"/>
      <c r="F5" s="70"/>
      <c r="G5" s="70"/>
      <c r="H5" s="69" t="s">
        <v>122</v>
      </c>
      <c r="I5" s="69" t="s">
        <v>186</v>
      </c>
      <c r="J5" s="69" t="s">
        <v>173</v>
      </c>
      <c r="K5" s="69" t="s">
        <v>188</v>
      </c>
      <c r="L5" s="69" t="s">
        <v>189</v>
      </c>
      <c r="M5" s="69" t="s">
        <v>190</v>
      </c>
    </row>
    <row r="6" spans="1:15" s="22" customFormat="1" ht="30" customHeight="1" thickBot="1" x14ac:dyDescent="0.35">
      <c r="A6" s="70"/>
      <c r="B6" s="70"/>
      <c r="C6" s="69"/>
      <c r="D6" s="52" t="s">
        <v>168</v>
      </c>
      <c r="E6" s="52" t="s">
        <v>169</v>
      </c>
      <c r="F6" s="52" t="s">
        <v>170</v>
      </c>
      <c r="G6" s="52" t="s">
        <v>171</v>
      </c>
      <c r="H6" s="69"/>
      <c r="I6" s="69"/>
      <c r="J6" s="69"/>
      <c r="K6" s="69"/>
      <c r="L6" s="69"/>
      <c r="M6" s="69"/>
    </row>
    <row r="7" spans="1:15" ht="15.6" thickTop="1" thickBot="1" x14ac:dyDescent="0.35">
      <c r="A7" s="53">
        <v>43234</v>
      </c>
      <c r="B7" s="65" t="s">
        <v>156</v>
      </c>
      <c r="C7" s="54">
        <f>MAX(Crono_Seg!Q:Q)-MIN(Crono_Seg!D:D)</f>
        <v>0.49444444444444446</v>
      </c>
      <c r="D7" s="55">
        <f>SUMIFS(ENCOMENDA!$K:$K,ENCOMENDA!$M:$M,D$6,ENCOMENDA!$L:$L,"seg")</f>
        <v>106.94000000000001</v>
      </c>
      <c r="E7" s="55">
        <f>SUMIFS(ENCOMENDA!$K:$K,ENCOMENDA!$M:$M,E$6,ENCOMENDA!$L:$L,"seg")</f>
        <v>41.94</v>
      </c>
      <c r="F7" s="55">
        <f>SUMIFS(ENCOMENDA!$K:$K,ENCOMENDA!$M:$M,F$6,ENCOMENDA!$L:$L,"seg")</f>
        <v>2.4000000000000004</v>
      </c>
      <c r="G7" s="55">
        <f>SUMIFS(ENCOMENDA!$K:$K,ENCOMENDA!$M:$M,G$6,ENCOMENDA!$L:$L,"seg")</f>
        <v>0</v>
      </c>
      <c r="H7" s="55">
        <f>SUM(D7:G7)</f>
        <v>151.28</v>
      </c>
      <c r="I7" s="56">
        <f>IFERROR(H7/(C7*24),"")</f>
        <v>12.748314606741573</v>
      </c>
      <c r="J7" s="57">
        <f>SUM(AP_CRONO_SEG!W:W)</f>
        <v>597.1859072822532</v>
      </c>
      <c r="K7" s="58">
        <f t="shared" ref="K7:K12" si="0">IFERROR(J7/(C7*24),"")</f>
        <v>50.32465510805504</v>
      </c>
      <c r="L7" s="57">
        <f>SUMIFS(ENCOMENDA!I:I,ENCOMENDA!$L:$L,"seg")</f>
        <v>1949.1800000000003</v>
      </c>
      <c r="M7" s="58">
        <f>IFERROR(L7/(C7*24),"")</f>
        <v>164.25674157303374</v>
      </c>
      <c r="N7" s="45">
        <f>L7-J7</f>
        <v>1351.9940927177472</v>
      </c>
      <c r="O7" s="20">
        <f>N7/L7</f>
        <v>0.69362198089337412</v>
      </c>
    </row>
    <row r="8" spans="1:15" ht="15.6" thickTop="1" thickBot="1" x14ac:dyDescent="0.35">
      <c r="A8" s="53">
        <f>A7+1</f>
        <v>43235</v>
      </c>
      <c r="B8" s="65" t="s">
        <v>157</v>
      </c>
      <c r="C8" s="54">
        <f>MAX(Crono_Ter!Q:Q)-MIN(Crono_Ter!D:D)</f>
        <v>0.43930555555555562</v>
      </c>
      <c r="D8" s="55">
        <f>SUMIFS(ENCOMENDA!$K:$K,ENCOMENDA!$M:$M,D$6,ENCOMENDA!$L:$L,"ter")</f>
        <v>94.399999999999977</v>
      </c>
      <c r="E8" s="55">
        <f>SUMIFS(ENCOMENDA!$K:$K,ENCOMENDA!$M:$M,E$6,ENCOMENDA!$L:$L,"ter")</f>
        <v>8.31</v>
      </c>
      <c r="F8" s="55">
        <f>SUMIFS(ENCOMENDA!$K:$K,ENCOMENDA!$M:$M,F$6,ENCOMENDA!$L:$L,"ter")</f>
        <v>0</v>
      </c>
      <c r="G8" s="55">
        <f>SUMIFS(ENCOMENDA!$K:$K,ENCOMENDA!$M:$M,G$6,ENCOMENDA!$L:$L,"ter")</f>
        <v>0</v>
      </c>
      <c r="H8" s="55">
        <f t="shared" ref="H8:H12" si="1">SUM(D8:G8)</f>
        <v>102.70999999999998</v>
      </c>
      <c r="I8" s="56">
        <f t="shared" ref="I8:I12" si="2">IFERROR(H8/(C8*24),"")</f>
        <v>9.7417009168510873</v>
      </c>
      <c r="J8" s="57">
        <f>SUM(AP_CRONO_TER!W:W)</f>
        <v>418.99840343383255</v>
      </c>
      <c r="K8" s="58">
        <f t="shared" si="0"/>
        <v>39.740601021229764</v>
      </c>
      <c r="L8" s="57">
        <f>SUMIFS(ENCOMENDA!I:I,ENCOMENDA!L:L,"ter")</f>
        <v>1482.8500000000001</v>
      </c>
      <c r="M8" s="58">
        <f t="shared" ref="M8:M12" si="3">IFERROR(L8/(C8*24),"")</f>
        <v>140.64337654125831</v>
      </c>
      <c r="N8" s="45">
        <f t="shared" ref="N8:N12" si="4">L8-J8</f>
        <v>1063.8515965661677</v>
      </c>
      <c r="O8" s="20">
        <f t="shared" ref="O8:O12" si="5">N8/L8</f>
        <v>0.71743709516550402</v>
      </c>
    </row>
    <row r="9" spans="1:15" ht="15.6" thickTop="1" thickBot="1" x14ac:dyDescent="0.35">
      <c r="A9" s="53">
        <f t="shared" ref="A9:A12" si="6">A8+1</f>
        <v>43236</v>
      </c>
      <c r="B9" s="65" t="s">
        <v>158</v>
      </c>
      <c r="C9" s="54">
        <f>MAX(Crono_Qua!Q:Q)-MIN(Crono_Qua!D:D)</f>
        <v>0.48097222222222236</v>
      </c>
      <c r="D9" s="55">
        <f>SUMIFS(ENCOMENDA!$K:$K,ENCOMENDA!$M:$M,D$6,ENCOMENDA!$L:$L,"qua")</f>
        <v>133.44999999999999</v>
      </c>
      <c r="E9" s="55">
        <f>SUMIFS(ENCOMENDA!$K:$K,ENCOMENDA!$M:$M,E$6,ENCOMENDA!$L:$L,"qua")</f>
        <v>17.64</v>
      </c>
      <c r="F9" s="55">
        <f>SUMIFS(ENCOMENDA!$K:$K,ENCOMENDA!$M:$M,F$6,ENCOMENDA!$L:$L,"qua")</f>
        <v>0</v>
      </c>
      <c r="G9" s="55">
        <f>SUMIFS(ENCOMENDA!$K:$K,ENCOMENDA!$M:$M,G$6,ENCOMENDA!$L:$L,"qua")</f>
        <v>0</v>
      </c>
      <c r="H9" s="55">
        <f t="shared" si="1"/>
        <v>151.08999999999997</v>
      </c>
      <c r="I9" s="56">
        <f t="shared" si="2"/>
        <v>13.088940225238227</v>
      </c>
      <c r="J9" s="57">
        <f>SUM(AP_CRONO_qua!W:W)</f>
        <v>595.38356692033062</v>
      </c>
      <c r="K9" s="58">
        <f t="shared" si="0"/>
        <v>51.578131699710987</v>
      </c>
      <c r="L9" s="57">
        <f>SUMIFS(ENCOMENDA!I:I,ENCOMENDA!L:L,"qua")</f>
        <v>2408.8399999999997</v>
      </c>
      <c r="M9" s="58">
        <f t="shared" si="3"/>
        <v>208.67802483395891</v>
      </c>
      <c r="N9" s="45">
        <f t="shared" si="4"/>
        <v>1813.4564330796691</v>
      </c>
      <c r="O9" s="20">
        <f t="shared" si="5"/>
        <v>0.75283390888546742</v>
      </c>
    </row>
    <row r="10" spans="1:15" ht="15.6" thickTop="1" thickBot="1" x14ac:dyDescent="0.35">
      <c r="A10" s="53">
        <f t="shared" si="6"/>
        <v>43237</v>
      </c>
      <c r="B10" s="65" t="s">
        <v>159</v>
      </c>
      <c r="C10" s="54">
        <f>MAX(Crono_Qui!Q:Q)-MIN(Crono_Qui!D:D)</f>
        <v>0.47361111111111109</v>
      </c>
      <c r="D10" s="55">
        <f>SUMIFS(ENCOMENDA!$K:$K,ENCOMENDA!$M:$M,D$6,ENCOMENDA!$L:$L,"qui")</f>
        <v>147.47999999999996</v>
      </c>
      <c r="E10" s="55">
        <f>SUMIFS(ENCOMENDA!$K:$K,ENCOMENDA!$M:$M,E$6,ENCOMENDA!$L:$L,"qui")</f>
        <v>35.549999999999997</v>
      </c>
      <c r="F10" s="55">
        <f>SUMIFS(ENCOMENDA!$K:$K,ENCOMENDA!$M:$M,F$6,ENCOMENDA!$L:$L,"qui")</f>
        <v>0</v>
      </c>
      <c r="G10" s="55">
        <f>SUMIFS(ENCOMENDA!$K:$K,ENCOMENDA!$M:$M,G$6,ENCOMENDA!$L:$L,"qui")</f>
        <v>0</v>
      </c>
      <c r="H10" s="55">
        <f t="shared" si="1"/>
        <v>183.02999999999997</v>
      </c>
      <c r="I10" s="56">
        <f t="shared" si="2"/>
        <v>16.102346041055714</v>
      </c>
      <c r="J10" s="57">
        <f>SUM(AP_CRONO_Qui!W:W)</f>
        <v>613.09875004805986</v>
      </c>
      <c r="K10" s="58">
        <f t="shared" si="0"/>
        <v>53.938306455841044</v>
      </c>
      <c r="L10" s="57">
        <f>SUMIFS(ENCOMENDA!I:I,ENCOMENDA!L:L,"qui")</f>
        <v>2459.2499999999991</v>
      </c>
      <c r="M10" s="58">
        <f t="shared" si="3"/>
        <v>216.35630498533715</v>
      </c>
      <c r="N10" s="45">
        <f t="shared" si="4"/>
        <v>1846.1512499519392</v>
      </c>
      <c r="O10" s="20">
        <f t="shared" si="5"/>
        <v>0.7506968587788716</v>
      </c>
    </row>
    <row r="11" spans="1:15" ht="15.6" thickTop="1" thickBot="1" x14ac:dyDescent="0.35">
      <c r="A11" s="53">
        <f t="shared" si="6"/>
        <v>43238</v>
      </c>
      <c r="B11" s="65" t="s">
        <v>160</v>
      </c>
      <c r="C11" s="54">
        <f>MAX(Crono_Sex!Q:Q)-MIN(Crono_Sex!D:D)</f>
        <v>0.48444444444444468</v>
      </c>
      <c r="D11" s="55">
        <f>SUMIFS(ENCOMENDA!$K:$K,ENCOMENDA!$M:$M,D$6,ENCOMENDA!$L:$L,"sex")</f>
        <v>277.31</v>
      </c>
      <c r="E11" s="55">
        <f>SUMIFS(ENCOMENDA!$K:$K,ENCOMENDA!$M:$M,E$6,ENCOMENDA!$L:$L,"sex")</f>
        <v>94.679999999999993</v>
      </c>
      <c r="F11" s="55">
        <f>SUMIFS(ENCOMENDA!$K:$K,ENCOMENDA!$M:$M,F$6,ENCOMENDA!$L:$L,"sex")</f>
        <v>0.60000000000000009</v>
      </c>
      <c r="G11" s="55">
        <f>SUMIFS(ENCOMENDA!$K:$K,ENCOMENDA!$M:$M,G$6,ENCOMENDA!$L:$L,"sex")</f>
        <v>0</v>
      </c>
      <c r="H11" s="55">
        <f t="shared" si="1"/>
        <v>372.59000000000003</v>
      </c>
      <c r="I11" s="56">
        <f t="shared" si="2"/>
        <v>32.046158256880723</v>
      </c>
      <c r="J11" s="57">
        <f>SUM(AP_CRONO_Sex!W:W)</f>
        <v>886.43615669681662</v>
      </c>
      <c r="K11" s="58">
        <f t="shared" si="0"/>
        <v>76.241641917730746</v>
      </c>
      <c r="L11" s="57">
        <f>SUMIFS(ENCOMENDA!I:I,ENCOMENDA!L:L,"sex")</f>
        <v>5061.33</v>
      </c>
      <c r="M11" s="58">
        <f t="shared" si="3"/>
        <v>435.32081422018325</v>
      </c>
      <c r="N11" s="45">
        <f t="shared" si="4"/>
        <v>4174.8938433031835</v>
      </c>
      <c r="O11" s="20">
        <f t="shared" si="5"/>
        <v>0.82486102334824707</v>
      </c>
    </row>
    <row r="12" spans="1:15" ht="15.6" thickTop="1" thickBot="1" x14ac:dyDescent="0.35">
      <c r="A12" s="53">
        <f t="shared" si="6"/>
        <v>43239</v>
      </c>
      <c r="B12" s="65" t="s">
        <v>161</v>
      </c>
      <c r="C12" s="54">
        <f>MAX(Crono_Sab!Q:Q)-MIN(Crono_Sab!D:D)</f>
        <v>0.45666666666666678</v>
      </c>
      <c r="D12" s="55">
        <f>SUMIFS(ENCOMENDA!$K:$K,ENCOMENDA!$M:$M,D$6,ENCOMENDA!$L:$L,"Sáb")</f>
        <v>211.80000000000004</v>
      </c>
      <c r="E12" s="55">
        <f>SUMIFS(ENCOMENDA!$K:$K,ENCOMENDA!$M:$M,E$6,ENCOMENDA!$L:$L,"Sáb")</f>
        <v>11.1</v>
      </c>
      <c r="F12" s="55">
        <f>SUMIFS(ENCOMENDA!$K:$K,ENCOMENDA!$M:$M,F$6,ENCOMENDA!$L:$L,"Sáb")</f>
        <v>0</v>
      </c>
      <c r="G12" s="55">
        <f>SUMIFS(ENCOMENDA!$K:$K,ENCOMENDA!$M:$M,G$6,ENCOMENDA!$L:$L,"Sáb")</f>
        <v>0</v>
      </c>
      <c r="H12" s="55">
        <f t="shared" si="1"/>
        <v>222.90000000000003</v>
      </c>
      <c r="I12" s="56">
        <f t="shared" si="2"/>
        <v>20.337591240875909</v>
      </c>
      <c r="J12" s="57">
        <f>SUM(AP_CRONO_Sab!W:W)</f>
        <v>841.65407261415214</v>
      </c>
      <c r="K12" s="58">
        <f t="shared" si="0"/>
        <v>76.793254800561314</v>
      </c>
      <c r="L12" s="57">
        <f>SUMIFS(ENCOMENDA!I:I,ENCOMENDA!L:L,"sáb")</f>
        <v>3564.2800000000007</v>
      </c>
      <c r="M12" s="58">
        <f t="shared" si="3"/>
        <v>325.20802919708029</v>
      </c>
      <c r="N12" s="45">
        <f t="shared" si="4"/>
        <v>2722.6259273858486</v>
      </c>
      <c r="O12" s="20">
        <f t="shared" si="5"/>
        <v>0.76386421027131657</v>
      </c>
    </row>
    <row r="13" spans="1:15" s="26" customFormat="1" ht="15" thickTop="1" x14ac:dyDescent="0.3">
      <c r="A13" s="59"/>
      <c r="B13" s="59" t="s">
        <v>122</v>
      </c>
      <c r="C13" s="60">
        <f>SUM(C7:C12)</f>
        <v>2.8294444444444453</v>
      </c>
      <c r="D13" s="61">
        <f t="shared" ref="D13:L13" si="7">SUM(D7:D12)</f>
        <v>971.38</v>
      </c>
      <c r="E13" s="61">
        <f t="shared" si="7"/>
        <v>209.22</v>
      </c>
      <c r="F13" s="61">
        <f t="shared" si="7"/>
        <v>3.0000000000000004</v>
      </c>
      <c r="G13" s="61">
        <f t="shared" si="7"/>
        <v>0</v>
      </c>
      <c r="H13" s="61">
        <f t="shared" si="7"/>
        <v>1183.5999999999999</v>
      </c>
      <c r="I13" s="62">
        <f>AVERAGE(I7:I12)</f>
        <v>17.344175214607208</v>
      </c>
      <c r="J13" s="63">
        <f t="shared" si="7"/>
        <v>3952.7568569954447</v>
      </c>
      <c r="K13" s="64">
        <f>AVERAGE(K7:K12)</f>
        <v>58.102765167188153</v>
      </c>
      <c r="L13" s="63">
        <f t="shared" si="7"/>
        <v>16925.73</v>
      </c>
      <c r="M13" s="64">
        <f>AVERAGE(M7:M12)</f>
        <v>248.41054855847528</v>
      </c>
    </row>
    <row r="17" spans="11:11" ht="18.600000000000001" thickBot="1" x14ac:dyDescent="0.35">
      <c r="K17" s="66" t="s">
        <v>193</v>
      </c>
    </row>
    <row r="18" spans="11:11" ht="19.2" thickTop="1" thickBot="1" x14ac:dyDescent="0.4">
      <c r="K18" s="67">
        <f>(L13-J13)</f>
        <v>12972.973143004554</v>
      </c>
    </row>
    <row r="19" spans="11:11" ht="19.2" thickTop="1" thickBot="1" x14ac:dyDescent="0.4">
      <c r="K19" s="68">
        <f>K18/L13</f>
        <v>0.76646461588389714</v>
      </c>
    </row>
    <row r="20" spans="11:11" ht="15" thickTop="1" x14ac:dyDescent="0.3"/>
  </sheetData>
  <mergeCells count="10">
    <mergeCell ref="L5:L6"/>
    <mergeCell ref="M5:M6"/>
    <mergeCell ref="A5:A6"/>
    <mergeCell ref="B5:B6"/>
    <mergeCell ref="D5:G5"/>
    <mergeCell ref="C5:C6"/>
    <mergeCell ref="H5:H6"/>
    <mergeCell ref="I5:I6"/>
    <mergeCell ref="J5:J6"/>
    <mergeCell ref="K5:K6"/>
  </mergeCells>
  <conditionalFormatting sqref="A1:XFD4 A5:D5 D6:G6 N6:XFD6 H5:XFD5 A20:XFD1048576 A17:J19 L17:XFD19 A7:XFD16">
    <cfRule type="cellIs" dxfId="19" priority="2" operator="equal">
      <formula>0</formula>
    </cfRule>
  </conditionalFormatting>
  <conditionalFormatting sqref="K17:K19">
    <cfRule type="cellIs" dxfId="18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</hyperlinks>
  <pageMargins left="0.511811024" right="0.511811024" top="0.78740157499999996" bottom="0.78740157499999996" header="0.31496062000000002" footer="0.31496062000000002"/>
  <cellWatches>
    <cellWatch r="C7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R496"/>
  <sheetViews>
    <sheetView zoomScaleNormal="100" workbookViewId="0">
      <selection activeCell="F2" sqref="F2:F40"/>
    </sheetView>
  </sheetViews>
  <sheetFormatPr defaultRowHeight="14.4" x14ac:dyDescent="0.3"/>
  <cols>
    <col min="1" max="1" width="31.33203125" bestFit="1" customWidth="1"/>
    <col min="5" max="5" width="32.109375" bestFit="1" customWidth="1"/>
    <col min="6" max="6" width="14.109375" bestFit="1" customWidth="1"/>
    <col min="10" max="10" width="14.109375" bestFit="1" customWidth="1"/>
    <col min="11" max="14" width="8.88671875" style="48"/>
    <col min="15" max="15" width="14.109375" bestFit="1" customWidth="1"/>
  </cols>
  <sheetData>
    <row r="1" spans="1:18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128</v>
      </c>
      <c r="G1" t="s">
        <v>24</v>
      </c>
      <c r="H1" t="s">
        <v>123</v>
      </c>
      <c r="I1" t="s">
        <v>122</v>
      </c>
      <c r="J1" t="s">
        <v>128</v>
      </c>
      <c r="O1" s="47" t="s">
        <v>172</v>
      </c>
      <c r="R1" t="s">
        <v>25</v>
      </c>
    </row>
    <row r="2" spans="1:18" x14ac:dyDescent="0.3">
      <c r="A2" t="s">
        <v>25</v>
      </c>
      <c r="B2" t="s">
        <v>26</v>
      </c>
      <c r="C2">
        <v>10</v>
      </c>
      <c r="D2">
        <v>0.16</v>
      </c>
      <c r="E2" t="s">
        <v>129</v>
      </c>
      <c r="F2" s="35">
        <v>43234</v>
      </c>
      <c r="G2">
        <v>4</v>
      </c>
      <c r="H2">
        <v>10.64</v>
      </c>
      <c r="I2">
        <v>106.4</v>
      </c>
      <c r="J2" s="73">
        <v>43234</v>
      </c>
      <c r="K2" s="48">
        <f>G2*D2*C2</f>
        <v>6.4</v>
      </c>
      <c r="L2" s="48" t="str">
        <f>IF(F2=0,"",TEXT(F2,"DDD"))</f>
        <v>seg</v>
      </c>
      <c r="M2" s="48" t="str">
        <f>IFERROR(VLOOKUP(A2,RECEITAS!A:B,2,FALSE),"")</f>
        <v>DIRETO</v>
      </c>
      <c r="N2" s="48" t="str">
        <f>IF(J2=0,"",TEXT(J2,"ddd"))</f>
        <v>seg</v>
      </c>
      <c r="O2" s="35">
        <v>43234</v>
      </c>
      <c r="R2" t="s">
        <v>27</v>
      </c>
    </row>
    <row r="3" spans="1:18" x14ac:dyDescent="0.3">
      <c r="A3" t="s">
        <v>27</v>
      </c>
      <c r="B3" t="s">
        <v>26</v>
      </c>
      <c r="C3">
        <v>7</v>
      </c>
      <c r="D3">
        <v>0.16</v>
      </c>
      <c r="E3" t="s">
        <v>129</v>
      </c>
      <c r="F3" s="35">
        <v>43234</v>
      </c>
      <c r="G3">
        <v>4</v>
      </c>
      <c r="H3">
        <v>9.52</v>
      </c>
      <c r="I3">
        <v>66.64</v>
      </c>
      <c r="J3" s="73">
        <v>43234</v>
      </c>
      <c r="K3" s="48">
        <f t="shared" ref="K3:K66" si="0">G3*D3*C3</f>
        <v>4.4800000000000004</v>
      </c>
      <c r="L3" s="48" t="str">
        <f t="shared" ref="L3:L66" si="1">IF(F3=0,"",TEXT(F3,"DDD"))</f>
        <v>seg</v>
      </c>
      <c r="M3" s="48" t="str">
        <f>VLOOKUP(A3,RECEITAS!A:B,2,FALSE)</f>
        <v>DIRETO</v>
      </c>
      <c r="N3" s="48" t="str">
        <f t="shared" ref="N3:N66" si="2">IF(J3=0,"",TEXT(J3,"ddd"))</f>
        <v>seg</v>
      </c>
      <c r="O3" s="35">
        <v>43234</v>
      </c>
      <c r="R3" t="s">
        <v>28</v>
      </c>
    </row>
    <row r="4" spans="1:18" x14ac:dyDescent="0.3">
      <c r="A4" t="s">
        <v>28</v>
      </c>
      <c r="B4" t="s">
        <v>26</v>
      </c>
      <c r="C4">
        <v>3</v>
      </c>
      <c r="D4">
        <v>0.16</v>
      </c>
      <c r="E4" t="s">
        <v>129</v>
      </c>
      <c r="F4" s="35">
        <v>43234</v>
      </c>
      <c r="G4">
        <v>4</v>
      </c>
      <c r="H4">
        <v>11.2</v>
      </c>
      <c r="I4">
        <v>33.6</v>
      </c>
      <c r="J4" s="73">
        <v>43234</v>
      </c>
      <c r="K4" s="48">
        <f t="shared" si="0"/>
        <v>1.92</v>
      </c>
      <c r="L4" s="48" t="str">
        <f t="shared" si="1"/>
        <v>seg</v>
      </c>
      <c r="M4" s="48" t="str">
        <f>VLOOKUP(A4,RECEITAS!A:B,2,FALSE)</f>
        <v>DIRETO</v>
      </c>
      <c r="N4" s="48" t="str">
        <f t="shared" si="2"/>
        <v>seg</v>
      </c>
      <c r="O4" s="35">
        <v>43234</v>
      </c>
      <c r="R4" t="s">
        <v>30</v>
      </c>
    </row>
    <row r="5" spans="1:18" x14ac:dyDescent="0.3">
      <c r="A5" t="s">
        <v>25</v>
      </c>
      <c r="B5" t="s">
        <v>29</v>
      </c>
      <c r="C5">
        <v>3</v>
      </c>
      <c r="D5">
        <v>0.1</v>
      </c>
      <c r="E5" t="s">
        <v>121</v>
      </c>
      <c r="F5" s="35">
        <v>43234</v>
      </c>
      <c r="G5">
        <v>6</v>
      </c>
      <c r="H5">
        <v>9.7200000000000006</v>
      </c>
      <c r="I5">
        <v>29.16</v>
      </c>
      <c r="J5" s="73">
        <v>43234</v>
      </c>
      <c r="K5" s="48">
        <f t="shared" si="0"/>
        <v>1.8000000000000003</v>
      </c>
      <c r="L5" s="48" t="str">
        <f t="shared" si="1"/>
        <v>seg</v>
      </c>
      <c r="M5" s="48" t="str">
        <f>VLOOKUP(A5,RECEITAS!A:B,2,FALSE)</f>
        <v>DIRETO</v>
      </c>
      <c r="N5" s="48" t="str">
        <f t="shared" si="2"/>
        <v>seg</v>
      </c>
      <c r="O5" s="35">
        <v>43234</v>
      </c>
      <c r="R5" t="s">
        <v>33</v>
      </c>
    </row>
    <row r="6" spans="1:18" x14ac:dyDescent="0.3">
      <c r="A6" t="s">
        <v>27</v>
      </c>
      <c r="B6" t="s">
        <v>29</v>
      </c>
      <c r="C6">
        <v>20</v>
      </c>
      <c r="D6">
        <v>0.1</v>
      </c>
      <c r="E6" t="s">
        <v>121</v>
      </c>
      <c r="F6" s="35">
        <v>43234</v>
      </c>
      <c r="G6">
        <v>6</v>
      </c>
      <c r="H6">
        <v>8.76</v>
      </c>
      <c r="I6">
        <v>175.2</v>
      </c>
      <c r="J6" s="73">
        <v>43234</v>
      </c>
      <c r="K6" s="48">
        <f t="shared" si="0"/>
        <v>12.000000000000002</v>
      </c>
      <c r="L6" s="48" t="str">
        <f t="shared" si="1"/>
        <v>seg</v>
      </c>
      <c r="M6" s="48" t="str">
        <f>VLOOKUP(A6,RECEITAS!A:B,2,FALSE)</f>
        <v>DIRETO</v>
      </c>
      <c r="N6" s="48" t="str">
        <f t="shared" si="2"/>
        <v>seg</v>
      </c>
      <c r="O6" s="35">
        <v>43234</v>
      </c>
      <c r="R6" t="s">
        <v>34</v>
      </c>
    </row>
    <row r="7" spans="1:18" x14ac:dyDescent="0.3">
      <c r="A7" t="s">
        <v>25</v>
      </c>
      <c r="B7" t="s">
        <v>29</v>
      </c>
      <c r="C7">
        <v>4</v>
      </c>
      <c r="D7">
        <v>0.1</v>
      </c>
      <c r="E7" t="s">
        <v>130</v>
      </c>
      <c r="F7" s="35">
        <v>43234</v>
      </c>
      <c r="G7">
        <v>6</v>
      </c>
      <c r="H7">
        <v>9.7200000000000006</v>
      </c>
      <c r="I7">
        <v>38.880000000000003</v>
      </c>
      <c r="J7" s="73">
        <v>43234</v>
      </c>
      <c r="K7" s="48">
        <f t="shared" si="0"/>
        <v>2.4000000000000004</v>
      </c>
      <c r="L7" s="48" t="str">
        <f t="shared" si="1"/>
        <v>seg</v>
      </c>
      <c r="M7" s="48" t="str">
        <f>VLOOKUP(A7,RECEITAS!A:B,2,FALSE)</f>
        <v>DIRETO</v>
      </c>
      <c r="N7" s="48" t="str">
        <f t="shared" si="2"/>
        <v>seg</v>
      </c>
      <c r="O7" s="35">
        <v>43234</v>
      </c>
      <c r="R7" t="s">
        <v>36</v>
      </c>
    </row>
    <row r="8" spans="1:18" x14ac:dyDescent="0.3">
      <c r="A8" t="s">
        <v>27</v>
      </c>
      <c r="B8" t="s">
        <v>29</v>
      </c>
      <c r="C8">
        <v>10</v>
      </c>
      <c r="D8">
        <v>0.1</v>
      </c>
      <c r="E8" t="s">
        <v>130</v>
      </c>
      <c r="F8" s="35">
        <v>43234</v>
      </c>
      <c r="G8">
        <v>6</v>
      </c>
      <c r="H8">
        <v>8.76</v>
      </c>
      <c r="I8">
        <v>87.6</v>
      </c>
      <c r="J8" s="73">
        <v>43234</v>
      </c>
      <c r="K8" s="48">
        <f t="shared" si="0"/>
        <v>6.0000000000000009</v>
      </c>
      <c r="L8" s="48" t="str">
        <f t="shared" si="1"/>
        <v>seg</v>
      </c>
      <c r="M8" s="48" t="str">
        <f>VLOOKUP(A8,RECEITAS!A:B,2,FALSE)</f>
        <v>DIRETO</v>
      </c>
      <c r="N8" s="48" t="str">
        <f t="shared" si="2"/>
        <v>seg</v>
      </c>
      <c r="O8" s="35">
        <v>43234</v>
      </c>
      <c r="R8" t="s">
        <v>38</v>
      </c>
    </row>
    <row r="9" spans="1:18" x14ac:dyDescent="0.3">
      <c r="A9" t="s">
        <v>28</v>
      </c>
      <c r="B9" t="s">
        <v>29</v>
      </c>
      <c r="C9">
        <v>7</v>
      </c>
      <c r="D9">
        <v>0.1</v>
      </c>
      <c r="E9" t="s">
        <v>130</v>
      </c>
      <c r="F9" s="35">
        <v>43234</v>
      </c>
      <c r="G9">
        <v>6</v>
      </c>
      <c r="H9">
        <v>10.8</v>
      </c>
      <c r="I9">
        <v>75.599999999999994</v>
      </c>
      <c r="J9" s="73">
        <v>43234</v>
      </c>
      <c r="K9" s="48">
        <f t="shared" si="0"/>
        <v>4.2000000000000011</v>
      </c>
      <c r="L9" s="48" t="str">
        <f t="shared" si="1"/>
        <v>seg</v>
      </c>
      <c r="M9" s="48" t="str">
        <f>VLOOKUP(A9,RECEITAS!A:B,2,FALSE)</f>
        <v>DIRETO</v>
      </c>
      <c r="N9" s="48" t="str">
        <f t="shared" si="2"/>
        <v>seg</v>
      </c>
      <c r="O9" s="35">
        <v>43234</v>
      </c>
      <c r="R9" t="s">
        <v>40</v>
      </c>
    </row>
    <row r="10" spans="1:18" x14ac:dyDescent="0.3">
      <c r="A10" t="s">
        <v>30</v>
      </c>
      <c r="B10" t="s">
        <v>31</v>
      </c>
      <c r="C10">
        <v>2</v>
      </c>
      <c r="D10">
        <v>0.35</v>
      </c>
      <c r="E10" t="s">
        <v>32</v>
      </c>
      <c r="F10" s="35">
        <v>43234</v>
      </c>
      <c r="G10">
        <v>5</v>
      </c>
      <c r="H10">
        <v>18.3</v>
      </c>
      <c r="I10">
        <v>36.6</v>
      </c>
      <c r="J10" s="35">
        <v>43235</v>
      </c>
      <c r="K10" s="48">
        <f t="shared" si="0"/>
        <v>3.5</v>
      </c>
      <c r="L10" s="48" t="str">
        <f t="shared" si="1"/>
        <v>seg</v>
      </c>
      <c r="M10" s="48" t="str">
        <f>VLOOKUP(A10,RECEITAS!A:B,2,FALSE)</f>
        <v>RÚSTICO</v>
      </c>
      <c r="N10" s="48" t="str">
        <f t="shared" si="2"/>
        <v>ter</v>
      </c>
      <c r="O10" s="35">
        <v>43234</v>
      </c>
      <c r="R10" t="s">
        <v>41</v>
      </c>
    </row>
    <row r="11" spans="1:18" x14ac:dyDescent="0.3">
      <c r="A11" t="s">
        <v>33</v>
      </c>
      <c r="B11" t="s">
        <v>31</v>
      </c>
      <c r="C11">
        <v>2</v>
      </c>
      <c r="D11">
        <v>0.25</v>
      </c>
      <c r="E11" t="s">
        <v>32</v>
      </c>
      <c r="F11" s="35">
        <v>43234</v>
      </c>
      <c r="G11">
        <v>5</v>
      </c>
      <c r="H11">
        <v>12.8</v>
      </c>
      <c r="I11">
        <v>25.6</v>
      </c>
      <c r="J11" s="35">
        <v>43235</v>
      </c>
      <c r="K11" s="48">
        <f t="shared" si="0"/>
        <v>2.5</v>
      </c>
      <c r="L11" s="48" t="str">
        <f t="shared" si="1"/>
        <v>seg</v>
      </c>
      <c r="M11" s="48" t="str">
        <f>VLOOKUP(A11,RECEITAS!A:B,2,FALSE)</f>
        <v>RÚSTICO</v>
      </c>
      <c r="N11" s="48" t="str">
        <f t="shared" si="2"/>
        <v>ter</v>
      </c>
      <c r="O11" s="35">
        <v>43234</v>
      </c>
      <c r="R11" t="s">
        <v>44</v>
      </c>
    </row>
    <row r="12" spans="1:18" x14ac:dyDescent="0.3">
      <c r="A12" t="s">
        <v>34</v>
      </c>
      <c r="B12" t="s">
        <v>35</v>
      </c>
      <c r="C12">
        <v>4</v>
      </c>
      <c r="D12">
        <v>0.27</v>
      </c>
      <c r="E12" t="s">
        <v>32</v>
      </c>
      <c r="F12" s="35">
        <v>43234</v>
      </c>
      <c r="G12">
        <v>3</v>
      </c>
      <c r="H12">
        <v>12.72</v>
      </c>
      <c r="I12">
        <v>50.88</v>
      </c>
      <c r="J12" s="35">
        <v>43235</v>
      </c>
      <c r="K12" s="48">
        <f t="shared" si="0"/>
        <v>3.24</v>
      </c>
      <c r="L12" s="48" t="str">
        <f t="shared" si="1"/>
        <v>seg</v>
      </c>
      <c r="M12" s="48" t="str">
        <f>VLOOKUP(A12,RECEITAS!A:B,2,FALSE)</f>
        <v>DIRETO</v>
      </c>
      <c r="N12" s="48" t="str">
        <f t="shared" si="2"/>
        <v>ter</v>
      </c>
      <c r="O12" s="35">
        <v>43234</v>
      </c>
      <c r="R12" t="s">
        <v>17</v>
      </c>
    </row>
    <row r="13" spans="1:18" x14ac:dyDescent="0.3">
      <c r="A13" t="s">
        <v>25</v>
      </c>
      <c r="B13" t="s">
        <v>26</v>
      </c>
      <c r="C13">
        <v>4</v>
      </c>
      <c r="D13">
        <v>0.1</v>
      </c>
      <c r="E13" t="s">
        <v>32</v>
      </c>
      <c r="F13" s="35">
        <v>43234</v>
      </c>
      <c r="G13">
        <v>6</v>
      </c>
      <c r="H13">
        <v>6.06</v>
      </c>
      <c r="I13">
        <v>24.24</v>
      </c>
      <c r="J13" s="35">
        <v>43235</v>
      </c>
      <c r="K13" s="48">
        <f t="shared" si="0"/>
        <v>2.4000000000000004</v>
      </c>
      <c r="L13" s="48" t="str">
        <f t="shared" si="1"/>
        <v>seg</v>
      </c>
      <c r="M13" s="48" t="str">
        <f>VLOOKUP(A13,RECEITAS!A:B,2,FALSE)</f>
        <v>DIRETO</v>
      </c>
      <c r="N13" s="48" t="str">
        <f t="shared" si="2"/>
        <v>ter</v>
      </c>
      <c r="O13" s="35">
        <v>43234</v>
      </c>
      <c r="R13" t="s">
        <v>49</v>
      </c>
    </row>
    <row r="14" spans="1:18" x14ac:dyDescent="0.3">
      <c r="A14" t="s">
        <v>36</v>
      </c>
      <c r="B14" t="s">
        <v>37</v>
      </c>
      <c r="C14">
        <v>3</v>
      </c>
      <c r="D14">
        <v>0.13</v>
      </c>
      <c r="E14" t="s">
        <v>32</v>
      </c>
      <c r="F14" s="35">
        <v>43234</v>
      </c>
      <c r="G14">
        <v>6</v>
      </c>
      <c r="H14">
        <v>7.44</v>
      </c>
      <c r="I14">
        <v>22.32</v>
      </c>
      <c r="J14" s="35">
        <v>43235</v>
      </c>
      <c r="K14" s="48">
        <f t="shared" si="0"/>
        <v>2.34</v>
      </c>
      <c r="L14" s="48" t="str">
        <f t="shared" si="1"/>
        <v>seg</v>
      </c>
      <c r="M14" s="48" t="str">
        <f>VLOOKUP(A14,RECEITAS!A:B,2,FALSE)</f>
        <v>RÚSTICO</v>
      </c>
      <c r="N14" s="48" t="str">
        <f t="shared" si="2"/>
        <v>ter</v>
      </c>
      <c r="O14" s="35">
        <v>43234</v>
      </c>
      <c r="R14" t="s">
        <v>50</v>
      </c>
    </row>
    <row r="15" spans="1:18" x14ac:dyDescent="0.3">
      <c r="A15" t="s">
        <v>27</v>
      </c>
      <c r="B15" t="s">
        <v>26</v>
      </c>
      <c r="C15">
        <v>2</v>
      </c>
      <c r="D15">
        <v>0.1</v>
      </c>
      <c r="E15" t="s">
        <v>32</v>
      </c>
      <c r="F15" s="35">
        <v>43234</v>
      </c>
      <c r="G15">
        <v>4</v>
      </c>
      <c r="H15">
        <v>2.6</v>
      </c>
      <c r="I15">
        <v>5.2</v>
      </c>
      <c r="J15" s="35">
        <v>43235</v>
      </c>
      <c r="K15" s="48">
        <f t="shared" si="0"/>
        <v>0.8</v>
      </c>
      <c r="L15" s="48" t="str">
        <f t="shared" si="1"/>
        <v>seg</v>
      </c>
      <c r="M15" s="48" t="str">
        <f>VLOOKUP(A15,RECEITAS!A:B,2,FALSE)</f>
        <v>DIRETO</v>
      </c>
      <c r="N15" s="48" t="str">
        <f t="shared" si="2"/>
        <v>ter</v>
      </c>
      <c r="O15" s="35">
        <v>43234</v>
      </c>
      <c r="R15" t="s">
        <v>52</v>
      </c>
    </row>
    <row r="16" spans="1:18" x14ac:dyDescent="0.3">
      <c r="A16" t="s">
        <v>38</v>
      </c>
      <c r="B16" t="s">
        <v>39</v>
      </c>
      <c r="C16">
        <v>3</v>
      </c>
      <c r="D16">
        <v>0.45</v>
      </c>
      <c r="E16" t="s">
        <v>32</v>
      </c>
      <c r="F16" s="35">
        <v>43234</v>
      </c>
      <c r="G16">
        <v>1</v>
      </c>
      <c r="H16">
        <v>4.08</v>
      </c>
      <c r="I16">
        <v>12.24</v>
      </c>
      <c r="J16" s="35">
        <v>43235</v>
      </c>
      <c r="K16" s="48">
        <f t="shared" si="0"/>
        <v>1.35</v>
      </c>
      <c r="L16" s="48" t="str">
        <f t="shared" si="1"/>
        <v>seg</v>
      </c>
      <c r="M16" s="48" t="str">
        <f>VLOOKUP(A16,RECEITAS!A:B,2,FALSE)</f>
        <v>DIRETO</v>
      </c>
      <c r="N16" s="48" t="str">
        <f t="shared" si="2"/>
        <v>ter</v>
      </c>
      <c r="O16" s="35">
        <v>43234</v>
      </c>
      <c r="R16" t="s">
        <v>48</v>
      </c>
    </row>
    <row r="17" spans="1:15" x14ac:dyDescent="0.3">
      <c r="A17" t="s">
        <v>27</v>
      </c>
      <c r="B17" t="s">
        <v>39</v>
      </c>
      <c r="C17">
        <v>3</v>
      </c>
      <c r="D17">
        <v>0.4</v>
      </c>
      <c r="E17" t="s">
        <v>32</v>
      </c>
      <c r="F17" s="35">
        <v>43234</v>
      </c>
      <c r="G17">
        <v>1</v>
      </c>
      <c r="H17">
        <v>3.45</v>
      </c>
      <c r="I17">
        <v>10.35</v>
      </c>
      <c r="J17" s="35">
        <v>43235</v>
      </c>
      <c r="K17" s="48">
        <f t="shared" si="0"/>
        <v>1.2000000000000002</v>
      </c>
      <c r="L17" s="48" t="str">
        <f t="shared" si="1"/>
        <v>seg</v>
      </c>
      <c r="M17" s="48" t="str">
        <f>VLOOKUP(A17,RECEITAS!A:B,2,FALSE)</f>
        <v>DIRETO</v>
      </c>
      <c r="N17" s="48" t="str">
        <f t="shared" si="2"/>
        <v>ter</v>
      </c>
      <c r="O17" s="35">
        <v>43234</v>
      </c>
    </row>
    <row r="18" spans="1:15" x14ac:dyDescent="0.3">
      <c r="A18" t="s">
        <v>25</v>
      </c>
      <c r="B18" t="s">
        <v>29</v>
      </c>
      <c r="C18">
        <v>3</v>
      </c>
      <c r="D18">
        <v>0.08</v>
      </c>
      <c r="E18" t="s">
        <v>32</v>
      </c>
      <c r="F18" s="35">
        <v>43234</v>
      </c>
      <c r="G18">
        <v>4</v>
      </c>
      <c r="H18">
        <v>3</v>
      </c>
      <c r="I18">
        <v>9</v>
      </c>
      <c r="J18" s="35">
        <v>43235</v>
      </c>
      <c r="K18" s="48">
        <f t="shared" si="0"/>
        <v>0.96</v>
      </c>
      <c r="L18" s="48" t="str">
        <f t="shared" si="1"/>
        <v>seg</v>
      </c>
      <c r="M18" s="48" t="str">
        <f>VLOOKUP(A18,RECEITAS!A:B,2,FALSE)</f>
        <v>DIRETO</v>
      </c>
      <c r="N18" s="48" t="str">
        <f t="shared" si="2"/>
        <v>ter</v>
      </c>
      <c r="O18" s="35">
        <v>43234</v>
      </c>
    </row>
    <row r="19" spans="1:15" x14ac:dyDescent="0.3">
      <c r="A19" t="s">
        <v>27</v>
      </c>
      <c r="B19" t="s">
        <v>29</v>
      </c>
      <c r="C19">
        <v>3</v>
      </c>
      <c r="D19">
        <v>0.08</v>
      </c>
      <c r="E19" t="s">
        <v>32</v>
      </c>
      <c r="F19" s="35">
        <v>43234</v>
      </c>
      <c r="G19">
        <v>4</v>
      </c>
      <c r="H19">
        <v>2.52</v>
      </c>
      <c r="I19">
        <v>7.56</v>
      </c>
      <c r="J19" s="35">
        <v>43235</v>
      </c>
      <c r="K19" s="48">
        <f t="shared" si="0"/>
        <v>0.96</v>
      </c>
      <c r="L19" s="48" t="str">
        <f t="shared" si="1"/>
        <v>seg</v>
      </c>
      <c r="M19" s="48" t="str">
        <f>VLOOKUP(A19,RECEITAS!A:B,2,FALSE)</f>
        <v>DIRETO</v>
      </c>
      <c r="N19" s="48" t="str">
        <f t="shared" si="2"/>
        <v>ter</v>
      </c>
      <c r="O19" s="35">
        <v>43234</v>
      </c>
    </row>
    <row r="20" spans="1:15" x14ac:dyDescent="0.3">
      <c r="A20" t="s">
        <v>34</v>
      </c>
      <c r="B20" t="s">
        <v>29</v>
      </c>
      <c r="C20">
        <v>4</v>
      </c>
      <c r="D20">
        <v>0.11</v>
      </c>
      <c r="E20" t="s">
        <v>113</v>
      </c>
      <c r="F20" s="35">
        <v>43234</v>
      </c>
      <c r="G20">
        <v>6</v>
      </c>
      <c r="H20">
        <v>10.8</v>
      </c>
      <c r="I20">
        <v>43.2</v>
      </c>
      <c r="J20" s="35">
        <v>43235</v>
      </c>
      <c r="K20" s="48">
        <f t="shared" si="0"/>
        <v>2.64</v>
      </c>
      <c r="L20" s="48" t="str">
        <f t="shared" si="1"/>
        <v>seg</v>
      </c>
      <c r="M20" s="48" t="str">
        <f>VLOOKUP(A20,RECEITAS!A:B,2,FALSE)</f>
        <v>DIRETO</v>
      </c>
      <c r="N20" s="48" t="str">
        <f t="shared" si="2"/>
        <v>ter</v>
      </c>
      <c r="O20" s="35">
        <v>43234</v>
      </c>
    </row>
    <row r="21" spans="1:15" x14ac:dyDescent="0.3">
      <c r="A21" t="s">
        <v>27</v>
      </c>
      <c r="B21" t="s">
        <v>29</v>
      </c>
      <c r="C21">
        <v>5</v>
      </c>
      <c r="D21">
        <v>0.1</v>
      </c>
      <c r="E21" t="s">
        <v>113</v>
      </c>
      <c r="F21" s="35">
        <v>43234</v>
      </c>
      <c r="G21">
        <v>6</v>
      </c>
      <c r="H21">
        <v>10.8</v>
      </c>
      <c r="I21">
        <v>54</v>
      </c>
      <c r="J21" s="35">
        <v>43235</v>
      </c>
      <c r="K21" s="48">
        <f t="shared" si="0"/>
        <v>3.0000000000000004</v>
      </c>
      <c r="L21" s="48" t="str">
        <f t="shared" si="1"/>
        <v>seg</v>
      </c>
      <c r="M21" s="48" t="str">
        <f>VLOOKUP(A21,RECEITAS!A:B,2,FALSE)</f>
        <v>DIRETO</v>
      </c>
      <c r="N21" s="48" t="str">
        <f t="shared" si="2"/>
        <v>ter</v>
      </c>
      <c r="O21" s="35">
        <v>43234</v>
      </c>
    </row>
    <row r="22" spans="1:15" x14ac:dyDescent="0.3">
      <c r="A22" t="s">
        <v>27</v>
      </c>
      <c r="B22" t="s">
        <v>29</v>
      </c>
      <c r="C22">
        <v>2</v>
      </c>
      <c r="D22">
        <v>0.06</v>
      </c>
      <c r="E22" t="s">
        <v>113</v>
      </c>
      <c r="F22" s="35">
        <v>43234</v>
      </c>
      <c r="G22">
        <v>8</v>
      </c>
      <c r="H22">
        <v>5.49</v>
      </c>
      <c r="I22">
        <v>10.98</v>
      </c>
      <c r="J22" s="35">
        <v>43235</v>
      </c>
      <c r="K22" s="48">
        <f t="shared" si="0"/>
        <v>0.96</v>
      </c>
      <c r="L22" s="48" t="str">
        <f t="shared" si="1"/>
        <v>seg</v>
      </c>
      <c r="M22" s="48" t="str">
        <f>VLOOKUP(A22,RECEITAS!A:B,2,FALSE)</f>
        <v>DIRETO</v>
      </c>
      <c r="N22" s="48" t="str">
        <f t="shared" si="2"/>
        <v>ter</v>
      </c>
      <c r="O22" s="35">
        <v>43234</v>
      </c>
    </row>
    <row r="23" spans="1:15" x14ac:dyDescent="0.3">
      <c r="A23" t="s">
        <v>25</v>
      </c>
      <c r="B23" t="s">
        <v>29</v>
      </c>
      <c r="C23">
        <v>4</v>
      </c>
      <c r="D23">
        <v>0.1</v>
      </c>
      <c r="E23" t="s">
        <v>113</v>
      </c>
      <c r="F23" s="35">
        <v>43234</v>
      </c>
      <c r="G23">
        <v>6</v>
      </c>
      <c r="H23">
        <v>9.7200000000000006</v>
      </c>
      <c r="I23">
        <v>38.880000000000003</v>
      </c>
      <c r="J23" s="35">
        <v>43235</v>
      </c>
      <c r="K23" s="48">
        <f t="shared" si="0"/>
        <v>2.4000000000000004</v>
      </c>
      <c r="L23" s="48" t="str">
        <f t="shared" si="1"/>
        <v>seg</v>
      </c>
      <c r="M23" s="48" t="str">
        <f>VLOOKUP(A23,RECEITAS!A:B,2,FALSE)</f>
        <v>DIRETO</v>
      </c>
      <c r="N23" s="48" t="str">
        <f t="shared" si="2"/>
        <v>ter</v>
      </c>
      <c r="O23" s="35">
        <v>43234</v>
      </c>
    </row>
    <row r="24" spans="1:15" x14ac:dyDescent="0.3">
      <c r="A24" t="s">
        <v>27</v>
      </c>
      <c r="B24" t="s">
        <v>29</v>
      </c>
      <c r="C24">
        <v>4</v>
      </c>
      <c r="D24">
        <v>0.1</v>
      </c>
      <c r="E24" t="s">
        <v>113</v>
      </c>
      <c r="F24" s="35">
        <v>43234</v>
      </c>
      <c r="G24">
        <v>6</v>
      </c>
      <c r="H24">
        <v>8.76</v>
      </c>
      <c r="I24">
        <v>35.04</v>
      </c>
      <c r="J24" s="35">
        <v>43235</v>
      </c>
      <c r="K24" s="48">
        <f t="shared" si="0"/>
        <v>2.4000000000000004</v>
      </c>
      <c r="L24" s="48" t="str">
        <f t="shared" si="1"/>
        <v>seg</v>
      </c>
      <c r="M24" s="48" t="str">
        <f>VLOOKUP(A24,RECEITAS!A:B,2,FALSE)</f>
        <v>DIRETO</v>
      </c>
      <c r="N24" s="48" t="str">
        <f t="shared" si="2"/>
        <v>ter</v>
      </c>
      <c r="O24" s="35">
        <v>43234</v>
      </c>
    </row>
    <row r="25" spans="1:15" x14ac:dyDescent="0.3">
      <c r="A25" t="s">
        <v>40</v>
      </c>
      <c r="B25" t="s">
        <v>29</v>
      </c>
      <c r="C25">
        <v>1</v>
      </c>
      <c r="D25">
        <v>0.1</v>
      </c>
      <c r="E25" t="s">
        <v>113</v>
      </c>
      <c r="F25" s="35">
        <v>43234</v>
      </c>
      <c r="G25">
        <v>6</v>
      </c>
      <c r="H25">
        <v>7.68</v>
      </c>
      <c r="I25">
        <v>7.68</v>
      </c>
      <c r="J25" s="35">
        <v>43235</v>
      </c>
      <c r="K25" s="48">
        <f t="shared" si="0"/>
        <v>0.60000000000000009</v>
      </c>
      <c r="L25" s="48" t="str">
        <f t="shared" si="1"/>
        <v>seg</v>
      </c>
      <c r="M25" s="48" t="str">
        <f>VLOOKUP(A25,RECEITAS!A:B,2,FALSE)</f>
        <v>DIRETO</v>
      </c>
      <c r="N25" s="48" t="str">
        <f t="shared" si="2"/>
        <v>ter</v>
      </c>
      <c r="O25" s="35">
        <v>43234</v>
      </c>
    </row>
    <row r="26" spans="1:15" x14ac:dyDescent="0.3">
      <c r="A26" t="s">
        <v>41</v>
      </c>
      <c r="B26" t="s">
        <v>131</v>
      </c>
      <c r="C26">
        <v>8</v>
      </c>
      <c r="D26">
        <v>0.37</v>
      </c>
      <c r="E26" t="s">
        <v>132</v>
      </c>
      <c r="F26" s="35">
        <v>43234</v>
      </c>
      <c r="G26">
        <v>5</v>
      </c>
      <c r="H26">
        <v>16</v>
      </c>
      <c r="I26">
        <v>128</v>
      </c>
      <c r="J26" s="35">
        <v>43235</v>
      </c>
      <c r="K26" s="48">
        <f t="shared" si="0"/>
        <v>14.8</v>
      </c>
      <c r="L26" s="48" t="str">
        <f t="shared" si="1"/>
        <v>seg</v>
      </c>
      <c r="M26" s="48" t="str">
        <f>VLOOKUP(A26,RECEITAS!A:B,2,FALSE)</f>
        <v>RÚSTICO</v>
      </c>
      <c r="N26" s="48" t="str">
        <f t="shared" si="2"/>
        <v>ter</v>
      </c>
      <c r="O26" s="35">
        <v>43234</v>
      </c>
    </row>
    <row r="27" spans="1:15" x14ac:dyDescent="0.3">
      <c r="A27" t="s">
        <v>30</v>
      </c>
      <c r="B27" t="s">
        <v>31</v>
      </c>
      <c r="C27">
        <v>3</v>
      </c>
      <c r="D27">
        <v>0.35</v>
      </c>
      <c r="E27" t="s">
        <v>42</v>
      </c>
      <c r="F27" s="35">
        <v>43234</v>
      </c>
      <c r="G27">
        <v>5</v>
      </c>
      <c r="H27">
        <v>18.3</v>
      </c>
      <c r="I27">
        <v>54.9</v>
      </c>
      <c r="J27" s="35">
        <v>43235</v>
      </c>
      <c r="K27" s="48">
        <f t="shared" si="0"/>
        <v>5.25</v>
      </c>
      <c r="L27" s="48" t="str">
        <f t="shared" si="1"/>
        <v>seg</v>
      </c>
      <c r="M27" s="48" t="str">
        <f>VLOOKUP(A27,RECEITAS!A:B,2,FALSE)</f>
        <v>RÚSTICO</v>
      </c>
      <c r="N27" s="48" t="str">
        <f t="shared" si="2"/>
        <v>ter</v>
      </c>
      <c r="O27" s="35">
        <v>43234</v>
      </c>
    </row>
    <row r="28" spans="1:15" x14ac:dyDescent="0.3">
      <c r="A28" t="s">
        <v>33</v>
      </c>
      <c r="B28" t="s">
        <v>31</v>
      </c>
      <c r="C28">
        <v>5</v>
      </c>
      <c r="D28">
        <v>0.25</v>
      </c>
      <c r="E28" t="s">
        <v>42</v>
      </c>
      <c r="F28" s="35">
        <v>43234</v>
      </c>
      <c r="G28">
        <v>5</v>
      </c>
      <c r="H28">
        <v>12.8</v>
      </c>
      <c r="I28">
        <v>64</v>
      </c>
      <c r="J28" s="35">
        <v>43235</v>
      </c>
      <c r="K28" s="48">
        <f t="shared" si="0"/>
        <v>6.25</v>
      </c>
      <c r="L28" s="48" t="str">
        <f t="shared" si="1"/>
        <v>seg</v>
      </c>
      <c r="M28" s="48" t="str">
        <f>VLOOKUP(A28,RECEITAS!A:B,2,FALSE)</f>
        <v>RÚSTICO</v>
      </c>
      <c r="N28" s="48" t="str">
        <f t="shared" si="2"/>
        <v>ter</v>
      </c>
      <c r="O28" s="35">
        <v>43234</v>
      </c>
    </row>
    <row r="29" spans="1:15" x14ac:dyDescent="0.3">
      <c r="A29" t="s">
        <v>34</v>
      </c>
      <c r="B29" t="s">
        <v>35</v>
      </c>
      <c r="C29">
        <v>3</v>
      </c>
      <c r="D29">
        <v>0.27</v>
      </c>
      <c r="E29" t="s">
        <v>42</v>
      </c>
      <c r="F29" s="35">
        <v>43234</v>
      </c>
      <c r="G29">
        <v>3</v>
      </c>
      <c r="H29">
        <v>12.72</v>
      </c>
      <c r="I29">
        <v>38.159999999999997</v>
      </c>
      <c r="J29" s="35">
        <v>43235</v>
      </c>
      <c r="K29" s="48">
        <f t="shared" si="0"/>
        <v>2.4300000000000002</v>
      </c>
      <c r="L29" s="48" t="str">
        <f t="shared" si="1"/>
        <v>seg</v>
      </c>
      <c r="M29" s="48" t="str">
        <f>VLOOKUP(A29,RECEITAS!A:B,2,FALSE)</f>
        <v>DIRETO</v>
      </c>
      <c r="N29" s="48" t="str">
        <f t="shared" si="2"/>
        <v>ter</v>
      </c>
      <c r="O29" s="35">
        <v>43234</v>
      </c>
    </row>
    <row r="30" spans="1:15" x14ac:dyDescent="0.3">
      <c r="A30" t="s">
        <v>25</v>
      </c>
      <c r="B30" t="s">
        <v>26</v>
      </c>
      <c r="C30">
        <v>10</v>
      </c>
      <c r="D30">
        <v>0.1</v>
      </c>
      <c r="E30" t="s">
        <v>42</v>
      </c>
      <c r="F30" s="35">
        <v>43234</v>
      </c>
      <c r="G30">
        <v>6</v>
      </c>
      <c r="H30">
        <v>6.06</v>
      </c>
      <c r="I30">
        <v>60.6</v>
      </c>
      <c r="J30" s="35">
        <v>43235</v>
      </c>
      <c r="K30" s="48">
        <f t="shared" si="0"/>
        <v>6.0000000000000009</v>
      </c>
      <c r="L30" s="48" t="str">
        <f t="shared" si="1"/>
        <v>seg</v>
      </c>
      <c r="M30" s="48" t="str">
        <f>VLOOKUP(A30,RECEITAS!A:B,2,FALSE)</f>
        <v>DIRETO</v>
      </c>
      <c r="N30" s="48" t="str">
        <f t="shared" si="2"/>
        <v>ter</v>
      </c>
      <c r="O30" s="35">
        <v>43234</v>
      </c>
    </row>
    <row r="31" spans="1:15" x14ac:dyDescent="0.3">
      <c r="A31" t="s">
        <v>36</v>
      </c>
      <c r="B31" t="s">
        <v>37</v>
      </c>
      <c r="C31">
        <v>5</v>
      </c>
      <c r="D31">
        <v>0.13</v>
      </c>
      <c r="E31" t="s">
        <v>42</v>
      </c>
      <c r="F31" s="35">
        <v>43234</v>
      </c>
      <c r="G31">
        <v>6</v>
      </c>
      <c r="H31">
        <v>7.44</v>
      </c>
      <c r="I31">
        <v>37.200000000000003</v>
      </c>
      <c r="J31" s="35">
        <v>43235</v>
      </c>
      <c r="K31" s="48">
        <f t="shared" si="0"/>
        <v>3.9000000000000004</v>
      </c>
      <c r="L31" s="48" t="str">
        <f t="shared" si="1"/>
        <v>seg</v>
      </c>
      <c r="M31" s="48" t="str">
        <f>VLOOKUP(A31,RECEITAS!A:B,2,FALSE)</f>
        <v>RÚSTICO</v>
      </c>
      <c r="N31" s="48" t="str">
        <f t="shared" si="2"/>
        <v>ter</v>
      </c>
      <c r="O31" s="35">
        <v>43234</v>
      </c>
    </row>
    <row r="32" spans="1:15" x14ac:dyDescent="0.3">
      <c r="A32" t="s">
        <v>27</v>
      </c>
      <c r="B32" t="s">
        <v>26</v>
      </c>
      <c r="C32">
        <v>5</v>
      </c>
      <c r="D32">
        <v>0.1</v>
      </c>
      <c r="E32" t="s">
        <v>42</v>
      </c>
      <c r="F32" s="35">
        <v>43234</v>
      </c>
      <c r="G32">
        <v>4</v>
      </c>
      <c r="H32">
        <v>2.6</v>
      </c>
      <c r="I32">
        <v>13</v>
      </c>
      <c r="J32" s="35">
        <v>43235</v>
      </c>
      <c r="K32" s="48">
        <f t="shared" si="0"/>
        <v>2</v>
      </c>
      <c r="L32" s="48" t="str">
        <f t="shared" si="1"/>
        <v>seg</v>
      </c>
      <c r="M32" s="48" t="str">
        <f>VLOOKUP(A32,RECEITAS!A:B,2,FALSE)</f>
        <v>DIRETO</v>
      </c>
      <c r="N32" s="48" t="str">
        <f t="shared" si="2"/>
        <v>ter</v>
      </c>
      <c r="O32" s="35">
        <v>43234</v>
      </c>
    </row>
    <row r="33" spans="1:15" x14ac:dyDescent="0.3">
      <c r="A33" t="s">
        <v>38</v>
      </c>
      <c r="B33" t="s">
        <v>39</v>
      </c>
      <c r="C33">
        <v>8</v>
      </c>
      <c r="D33">
        <v>0.45</v>
      </c>
      <c r="E33" t="s">
        <v>42</v>
      </c>
      <c r="F33" s="35">
        <v>43234</v>
      </c>
      <c r="G33">
        <v>1</v>
      </c>
      <c r="H33">
        <v>4.08</v>
      </c>
      <c r="I33">
        <v>32.64</v>
      </c>
      <c r="J33" s="35">
        <v>43235</v>
      </c>
      <c r="K33" s="48">
        <f t="shared" si="0"/>
        <v>3.6</v>
      </c>
      <c r="L33" s="48" t="str">
        <f t="shared" si="1"/>
        <v>seg</v>
      </c>
      <c r="M33" s="48" t="str">
        <f>VLOOKUP(A33,RECEITAS!A:B,2,FALSE)</f>
        <v>DIRETO</v>
      </c>
      <c r="N33" s="48" t="str">
        <f t="shared" si="2"/>
        <v>ter</v>
      </c>
      <c r="O33" s="35">
        <v>43234</v>
      </c>
    </row>
    <row r="34" spans="1:15" x14ac:dyDescent="0.3">
      <c r="A34" t="s">
        <v>27</v>
      </c>
      <c r="B34" t="s">
        <v>39</v>
      </c>
      <c r="C34">
        <v>3</v>
      </c>
      <c r="D34">
        <v>0.4</v>
      </c>
      <c r="E34" t="s">
        <v>42</v>
      </c>
      <c r="F34" s="35">
        <v>43234</v>
      </c>
      <c r="G34">
        <v>1</v>
      </c>
      <c r="H34">
        <v>3.45</v>
      </c>
      <c r="I34">
        <v>10.35</v>
      </c>
      <c r="J34" s="35">
        <v>43235</v>
      </c>
      <c r="K34" s="48">
        <f t="shared" si="0"/>
        <v>1.2000000000000002</v>
      </c>
      <c r="L34" s="48" t="str">
        <f t="shared" si="1"/>
        <v>seg</v>
      </c>
      <c r="M34" s="48" t="str">
        <f>VLOOKUP(A34,RECEITAS!A:B,2,FALSE)</f>
        <v>DIRETO</v>
      </c>
      <c r="N34" s="48" t="str">
        <f t="shared" si="2"/>
        <v>ter</v>
      </c>
      <c r="O34" s="35">
        <v>43234</v>
      </c>
    </row>
    <row r="35" spans="1:15" x14ac:dyDescent="0.3">
      <c r="A35" t="s">
        <v>25</v>
      </c>
      <c r="B35" t="s">
        <v>29</v>
      </c>
      <c r="C35">
        <v>6</v>
      </c>
      <c r="D35">
        <v>0.08</v>
      </c>
      <c r="E35" t="s">
        <v>42</v>
      </c>
      <c r="F35" s="35">
        <v>43234</v>
      </c>
      <c r="G35">
        <v>4</v>
      </c>
      <c r="H35">
        <v>3</v>
      </c>
      <c r="I35">
        <v>18</v>
      </c>
      <c r="J35" s="35">
        <v>43235</v>
      </c>
      <c r="K35" s="48">
        <f t="shared" si="0"/>
        <v>1.92</v>
      </c>
      <c r="L35" s="48" t="str">
        <f t="shared" si="1"/>
        <v>seg</v>
      </c>
      <c r="M35" s="48" t="str">
        <f>VLOOKUP(A35,RECEITAS!A:B,2,FALSE)</f>
        <v>DIRETO</v>
      </c>
      <c r="N35" s="48" t="str">
        <f t="shared" si="2"/>
        <v>ter</v>
      </c>
      <c r="O35" s="35">
        <v>43234</v>
      </c>
    </row>
    <row r="36" spans="1:15" x14ac:dyDescent="0.3">
      <c r="A36" t="s">
        <v>27</v>
      </c>
      <c r="B36" t="s">
        <v>29</v>
      </c>
      <c r="C36">
        <v>4</v>
      </c>
      <c r="D36">
        <v>0.08</v>
      </c>
      <c r="E36" t="s">
        <v>42</v>
      </c>
      <c r="F36" s="35">
        <v>43234</v>
      </c>
      <c r="G36">
        <v>4</v>
      </c>
      <c r="H36">
        <v>2.52</v>
      </c>
      <c r="I36">
        <v>10.08</v>
      </c>
      <c r="J36" s="35">
        <v>43235</v>
      </c>
      <c r="K36" s="48">
        <f t="shared" si="0"/>
        <v>1.28</v>
      </c>
      <c r="L36" s="48" t="str">
        <f t="shared" si="1"/>
        <v>seg</v>
      </c>
      <c r="M36" s="48" t="str">
        <f>VLOOKUP(A36,RECEITAS!A:B,2,FALSE)</f>
        <v>DIRETO</v>
      </c>
      <c r="N36" s="48" t="str">
        <f t="shared" si="2"/>
        <v>ter</v>
      </c>
      <c r="O36" s="35">
        <v>43234</v>
      </c>
    </row>
    <row r="37" spans="1:15" x14ac:dyDescent="0.3">
      <c r="A37" t="s">
        <v>30</v>
      </c>
      <c r="B37" t="s">
        <v>43</v>
      </c>
      <c r="C37">
        <v>4</v>
      </c>
      <c r="D37">
        <v>0.15</v>
      </c>
      <c r="E37" t="s">
        <v>95</v>
      </c>
      <c r="F37" s="35">
        <v>43234</v>
      </c>
      <c r="G37">
        <v>3</v>
      </c>
      <c r="H37">
        <v>6.3</v>
      </c>
      <c r="I37">
        <v>25.2</v>
      </c>
      <c r="J37" s="35">
        <v>43235</v>
      </c>
      <c r="K37" s="48">
        <f t="shared" si="0"/>
        <v>1.7999999999999998</v>
      </c>
      <c r="L37" s="48" t="str">
        <f t="shared" si="1"/>
        <v>seg</v>
      </c>
      <c r="M37" s="48" t="str">
        <f>VLOOKUP(A37,RECEITAS!A:B,2,FALSE)</f>
        <v>RÚSTICO</v>
      </c>
      <c r="N37" s="48" t="str">
        <f t="shared" si="2"/>
        <v>ter</v>
      </c>
      <c r="O37" s="35">
        <v>43234</v>
      </c>
    </row>
    <row r="38" spans="1:15" x14ac:dyDescent="0.3">
      <c r="A38" t="s">
        <v>44</v>
      </c>
      <c r="B38" t="s">
        <v>133</v>
      </c>
      <c r="C38">
        <v>1</v>
      </c>
      <c r="D38">
        <v>0.1</v>
      </c>
      <c r="E38" t="s">
        <v>95</v>
      </c>
      <c r="F38" s="35">
        <v>43234</v>
      </c>
      <c r="G38">
        <v>10</v>
      </c>
      <c r="H38">
        <v>17</v>
      </c>
      <c r="I38">
        <v>17</v>
      </c>
      <c r="J38" s="35">
        <v>43235</v>
      </c>
      <c r="K38" s="48">
        <f t="shared" si="0"/>
        <v>1</v>
      </c>
      <c r="L38" s="48" t="str">
        <f t="shared" si="1"/>
        <v>seg</v>
      </c>
      <c r="M38" s="48" t="str">
        <f>VLOOKUP(A38,RECEITAS!A:B,2,FALSE)</f>
        <v>RÚSTICO</v>
      </c>
      <c r="N38" s="48" t="str">
        <f t="shared" si="2"/>
        <v>ter</v>
      </c>
      <c r="O38" s="35">
        <v>43234</v>
      </c>
    </row>
    <row r="39" spans="1:15" x14ac:dyDescent="0.3">
      <c r="A39" t="s">
        <v>17</v>
      </c>
      <c r="B39" t="s">
        <v>17</v>
      </c>
      <c r="C39">
        <v>6</v>
      </c>
      <c r="D39">
        <v>0.1</v>
      </c>
      <c r="E39" t="s">
        <v>95</v>
      </c>
      <c r="F39" s="35">
        <v>43234</v>
      </c>
      <c r="G39">
        <v>1</v>
      </c>
      <c r="H39">
        <v>4</v>
      </c>
      <c r="I39">
        <v>24</v>
      </c>
      <c r="J39" s="35">
        <v>43235</v>
      </c>
      <c r="K39" s="48">
        <f t="shared" si="0"/>
        <v>0.60000000000000009</v>
      </c>
      <c r="L39" s="48" t="str">
        <f t="shared" si="1"/>
        <v>seg</v>
      </c>
      <c r="M39" s="48" t="str">
        <f>VLOOKUP(A39,RECEITAS!A:B,2,FALSE)</f>
        <v>CROISSANT</v>
      </c>
      <c r="N39" s="48" t="str">
        <f t="shared" si="2"/>
        <v>ter</v>
      </c>
      <c r="O39" s="35">
        <v>43234</v>
      </c>
    </row>
    <row r="40" spans="1:15" x14ac:dyDescent="0.3">
      <c r="A40" t="s">
        <v>17</v>
      </c>
      <c r="B40" t="s">
        <v>17</v>
      </c>
      <c r="C40">
        <v>6</v>
      </c>
      <c r="D40">
        <v>0.1</v>
      </c>
      <c r="E40" t="s">
        <v>95</v>
      </c>
      <c r="F40" s="35">
        <v>43234</v>
      </c>
      <c r="G40">
        <v>3</v>
      </c>
      <c r="H40">
        <v>9</v>
      </c>
      <c r="I40">
        <v>54</v>
      </c>
      <c r="J40" s="35">
        <v>43235</v>
      </c>
      <c r="K40" s="48">
        <f t="shared" si="0"/>
        <v>1.8000000000000003</v>
      </c>
      <c r="L40" s="48" t="str">
        <f t="shared" si="1"/>
        <v>seg</v>
      </c>
      <c r="M40" s="48" t="str">
        <f>VLOOKUP(A40,RECEITAS!A:B,2,FALSE)</f>
        <v>CROISSANT</v>
      </c>
      <c r="N40" s="48" t="str">
        <f t="shared" si="2"/>
        <v>ter</v>
      </c>
      <c r="O40" s="35">
        <v>43234</v>
      </c>
    </row>
    <row r="41" spans="1:15" x14ac:dyDescent="0.3">
      <c r="A41" t="s">
        <v>40</v>
      </c>
      <c r="B41" t="s">
        <v>45</v>
      </c>
      <c r="C41">
        <v>10</v>
      </c>
      <c r="D41">
        <v>0.08</v>
      </c>
      <c r="E41" t="s">
        <v>95</v>
      </c>
      <c r="F41" s="35">
        <v>43234</v>
      </c>
      <c r="G41">
        <v>6</v>
      </c>
      <c r="H41">
        <v>2.4</v>
      </c>
      <c r="I41">
        <v>24</v>
      </c>
      <c r="J41" s="35">
        <v>43235</v>
      </c>
      <c r="K41" s="48">
        <f t="shared" si="0"/>
        <v>4.8</v>
      </c>
      <c r="L41" s="48" t="str">
        <f t="shared" si="1"/>
        <v>seg</v>
      </c>
      <c r="M41" s="48" t="str">
        <f>VLOOKUP(A41,RECEITAS!A:B,2,FALSE)</f>
        <v>DIRETO</v>
      </c>
      <c r="N41" s="48" t="str">
        <f t="shared" si="2"/>
        <v>ter</v>
      </c>
      <c r="O41" s="35">
        <v>43234</v>
      </c>
    </row>
    <row r="42" spans="1:15" x14ac:dyDescent="0.3">
      <c r="A42" t="s">
        <v>27</v>
      </c>
      <c r="B42" t="s">
        <v>29</v>
      </c>
      <c r="C42">
        <v>10</v>
      </c>
      <c r="D42">
        <v>0.1</v>
      </c>
      <c r="E42" t="s">
        <v>134</v>
      </c>
      <c r="F42" s="35">
        <v>43235</v>
      </c>
      <c r="G42">
        <v>6</v>
      </c>
      <c r="H42">
        <v>8.76</v>
      </c>
      <c r="I42">
        <v>87.6</v>
      </c>
      <c r="J42" s="35">
        <v>43235</v>
      </c>
      <c r="K42" s="48">
        <f t="shared" si="0"/>
        <v>6.0000000000000009</v>
      </c>
      <c r="L42" s="48" t="str">
        <f t="shared" si="1"/>
        <v>ter</v>
      </c>
      <c r="M42" s="48" t="str">
        <f>VLOOKUP(A42,RECEITAS!A:B,2,FALSE)</f>
        <v>DIRETO</v>
      </c>
      <c r="N42" s="48" t="str">
        <f t="shared" si="2"/>
        <v>ter</v>
      </c>
      <c r="O42" s="35">
        <v>43235</v>
      </c>
    </row>
    <row r="43" spans="1:15" x14ac:dyDescent="0.3">
      <c r="A43" t="s">
        <v>25</v>
      </c>
      <c r="B43" t="s">
        <v>29</v>
      </c>
      <c r="C43">
        <v>5</v>
      </c>
      <c r="D43">
        <v>0.1</v>
      </c>
      <c r="E43" t="s">
        <v>46</v>
      </c>
      <c r="F43" s="35">
        <v>43235</v>
      </c>
      <c r="G43">
        <v>6</v>
      </c>
      <c r="H43">
        <v>9.7200000000000006</v>
      </c>
      <c r="I43">
        <v>48.6</v>
      </c>
      <c r="J43" s="35">
        <v>43235</v>
      </c>
      <c r="K43" s="48">
        <f t="shared" si="0"/>
        <v>3.0000000000000004</v>
      </c>
      <c r="L43" s="48" t="str">
        <f t="shared" si="1"/>
        <v>ter</v>
      </c>
      <c r="M43" s="48" t="str">
        <f>VLOOKUP(A43,RECEITAS!A:B,2,FALSE)</f>
        <v>DIRETO</v>
      </c>
      <c r="N43" s="48" t="str">
        <f t="shared" si="2"/>
        <v>ter</v>
      </c>
      <c r="O43" s="35">
        <v>43235</v>
      </c>
    </row>
    <row r="44" spans="1:15" x14ac:dyDescent="0.3">
      <c r="A44" t="s">
        <v>27</v>
      </c>
      <c r="B44" t="s">
        <v>29</v>
      </c>
      <c r="C44">
        <v>17</v>
      </c>
      <c r="D44">
        <v>0.1</v>
      </c>
      <c r="E44" t="s">
        <v>46</v>
      </c>
      <c r="F44" s="35">
        <v>43235</v>
      </c>
      <c r="G44">
        <v>6</v>
      </c>
      <c r="H44">
        <v>8.76</v>
      </c>
      <c r="I44">
        <v>148.91999999999999</v>
      </c>
      <c r="J44" s="35">
        <v>43235</v>
      </c>
      <c r="K44" s="48">
        <f t="shared" si="0"/>
        <v>10.200000000000001</v>
      </c>
      <c r="L44" s="48" t="str">
        <f t="shared" si="1"/>
        <v>ter</v>
      </c>
      <c r="M44" s="48" t="str">
        <f>VLOOKUP(A44,RECEITAS!A:B,2,FALSE)</f>
        <v>DIRETO</v>
      </c>
      <c r="N44" s="48" t="str">
        <f t="shared" si="2"/>
        <v>ter</v>
      </c>
      <c r="O44" s="35">
        <v>43235</v>
      </c>
    </row>
    <row r="45" spans="1:15" x14ac:dyDescent="0.3">
      <c r="A45" t="s">
        <v>27</v>
      </c>
      <c r="B45" t="s">
        <v>29</v>
      </c>
      <c r="C45">
        <v>2</v>
      </c>
      <c r="D45">
        <v>0.06</v>
      </c>
      <c r="E45" t="s">
        <v>46</v>
      </c>
      <c r="F45" s="35">
        <v>43235</v>
      </c>
      <c r="G45">
        <v>8</v>
      </c>
      <c r="H45">
        <v>5.36</v>
      </c>
      <c r="I45">
        <v>10.72</v>
      </c>
      <c r="J45" s="35">
        <v>43235</v>
      </c>
      <c r="K45" s="48">
        <f t="shared" si="0"/>
        <v>0.96</v>
      </c>
      <c r="L45" s="48" t="str">
        <f t="shared" si="1"/>
        <v>ter</v>
      </c>
      <c r="M45" s="48" t="str">
        <f>VLOOKUP(A45,RECEITAS!A:B,2,FALSE)</f>
        <v>DIRETO</v>
      </c>
      <c r="N45" s="48" t="str">
        <f t="shared" si="2"/>
        <v>ter</v>
      </c>
      <c r="O45" s="35">
        <v>43235</v>
      </c>
    </row>
    <row r="46" spans="1:15" x14ac:dyDescent="0.3">
      <c r="A46" t="s">
        <v>28</v>
      </c>
      <c r="B46" t="s">
        <v>29</v>
      </c>
      <c r="C46">
        <v>2</v>
      </c>
      <c r="D46">
        <v>0.1</v>
      </c>
      <c r="E46" t="s">
        <v>46</v>
      </c>
      <c r="F46" s="35">
        <v>43235</v>
      </c>
      <c r="G46">
        <v>6</v>
      </c>
      <c r="H46">
        <v>10.8</v>
      </c>
      <c r="I46">
        <v>21.6</v>
      </c>
      <c r="J46" s="35">
        <v>43235</v>
      </c>
      <c r="K46" s="48">
        <f t="shared" si="0"/>
        <v>1.2000000000000002</v>
      </c>
      <c r="L46" s="48" t="str">
        <f t="shared" si="1"/>
        <v>ter</v>
      </c>
      <c r="M46" s="48" t="str">
        <f>VLOOKUP(A46,RECEITAS!A:B,2,FALSE)</f>
        <v>DIRETO</v>
      </c>
      <c r="N46" s="48" t="str">
        <f t="shared" si="2"/>
        <v>ter</v>
      </c>
      <c r="O46" s="35">
        <v>43235</v>
      </c>
    </row>
    <row r="47" spans="1:15" x14ac:dyDescent="0.3">
      <c r="A47" t="s">
        <v>25</v>
      </c>
      <c r="B47" t="s">
        <v>26</v>
      </c>
      <c r="C47">
        <v>4</v>
      </c>
      <c r="D47">
        <v>0.14000000000000001</v>
      </c>
      <c r="E47" t="s">
        <v>135</v>
      </c>
      <c r="F47" s="35">
        <v>43235</v>
      </c>
      <c r="G47">
        <v>4</v>
      </c>
      <c r="H47">
        <v>8.4</v>
      </c>
      <c r="I47">
        <v>33.6</v>
      </c>
      <c r="J47" s="35">
        <v>43235</v>
      </c>
      <c r="K47" s="48">
        <f t="shared" si="0"/>
        <v>2.2400000000000002</v>
      </c>
      <c r="L47" s="48" t="str">
        <f t="shared" si="1"/>
        <v>ter</v>
      </c>
      <c r="M47" s="48" t="str">
        <f>VLOOKUP(A47,RECEITAS!A:B,2,FALSE)</f>
        <v>DIRETO</v>
      </c>
      <c r="N47" s="48" t="str">
        <f t="shared" si="2"/>
        <v>ter</v>
      </c>
      <c r="O47" s="35">
        <v>43235</v>
      </c>
    </row>
    <row r="48" spans="1:15" x14ac:dyDescent="0.3">
      <c r="A48" t="s">
        <v>47</v>
      </c>
      <c r="B48" t="s">
        <v>26</v>
      </c>
      <c r="C48">
        <v>3</v>
      </c>
      <c r="D48">
        <v>0.14000000000000001</v>
      </c>
      <c r="E48" t="s">
        <v>135</v>
      </c>
      <c r="F48" s="35">
        <v>43235</v>
      </c>
      <c r="G48">
        <v>4</v>
      </c>
      <c r="H48">
        <v>10</v>
      </c>
      <c r="I48">
        <v>30</v>
      </c>
      <c r="J48" s="35">
        <v>43235</v>
      </c>
      <c r="K48" s="48">
        <f t="shared" si="0"/>
        <v>1.6800000000000002</v>
      </c>
      <c r="L48" s="48" t="str">
        <f t="shared" si="1"/>
        <v>ter</v>
      </c>
      <c r="M48" s="48" t="str">
        <f>VLOOKUP(A48,RECEITAS!A:B,2,FALSE)</f>
        <v>DIRETO</v>
      </c>
      <c r="N48" s="48" t="str">
        <f t="shared" si="2"/>
        <v>ter</v>
      </c>
      <c r="O48" s="35">
        <v>43235</v>
      </c>
    </row>
    <row r="49" spans="1:15" x14ac:dyDescent="0.3">
      <c r="A49" t="s">
        <v>48</v>
      </c>
      <c r="B49" t="s">
        <v>26</v>
      </c>
      <c r="C49">
        <v>3</v>
      </c>
      <c r="D49">
        <v>0.14000000000000001</v>
      </c>
      <c r="E49" t="s">
        <v>135</v>
      </c>
      <c r="F49" s="35">
        <v>43235</v>
      </c>
      <c r="G49">
        <v>4</v>
      </c>
      <c r="H49">
        <v>7.5</v>
      </c>
      <c r="I49">
        <v>22.5</v>
      </c>
      <c r="J49" s="35">
        <v>43235</v>
      </c>
      <c r="K49" s="48">
        <f t="shared" si="0"/>
        <v>1.6800000000000002</v>
      </c>
      <c r="L49" s="48" t="str">
        <f t="shared" si="1"/>
        <v>ter</v>
      </c>
      <c r="M49" s="48" t="str">
        <f>VLOOKUP(A49,RECEITAS!A:B,2,FALSE)</f>
        <v>DIRETO</v>
      </c>
      <c r="N49" s="48" t="str">
        <f t="shared" si="2"/>
        <v>ter</v>
      </c>
      <c r="O49" s="35">
        <v>43235</v>
      </c>
    </row>
    <row r="50" spans="1:15" x14ac:dyDescent="0.3">
      <c r="A50" t="s">
        <v>28</v>
      </c>
      <c r="B50" t="s">
        <v>26</v>
      </c>
      <c r="C50">
        <v>3</v>
      </c>
      <c r="D50">
        <v>0.14000000000000001</v>
      </c>
      <c r="E50" t="s">
        <v>135</v>
      </c>
      <c r="F50" s="35">
        <v>43235</v>
      </c>
      <c r="G50">
        <v>4</v>
      </c>
      <c r="H50">
        <v>10.32</v>
      </c>
      <c r="I50">
        <v>30.96</v>
      </c>
      <c r="J50" s="35">
        <v>43235</v>
      </c>
      <c r="K50" s="48">
        <f t="shared" si="0"/>
        <v>1.6800000000000002</v>
      </c>
      <c r="L50" s="48" t="str">
        <f t="shared" si="1"/>
        <v>ter</v>
      </c>
      <c r="M50" s="48" t="str">
        <f>VLOOKUP(A50,RECEITAS!A:B,2,FALSE)</f>
        <v>DIRETO</v>
      </c>
      <c r="N50" s="48" t="str">
        <f t="shared" si="2"/>
        <v>ter</v>
      </c>
      <c r="O50" s="35">
        <v>43235</v>
      </c>
    </row>
    <row r="51" spans="1:15" x14ac:dyDescent="0.3">
      <c r="A51" t="s">
        <v>49</v>
      </c>
      <c r="B51" t="s">
        <v>29</v>
      </c>
      <c r="C51">
        <v>22</v>
      </c>
      <c r="D51">
        <v>0.1</v>
      </c>
      <c r="E51" t="s">
        <v>136</v>
      </c>
      <c r="F51" s="35">
        <v>43234</v>
      </c>
      <c r="G51">
        <v>6</v>
      </c>
      <c r="H51">
        <v>9</v>
      </c>
      <c r="I51">
        <v>198</v>
      </c>
      <c r="J51" s="35">
        <v>43235</v>
      </c>
      <c r="K51" s="48">
        <f t="shared" si="0"/>
        <v>13.200000000000003</v>
      </c>
      <c r="L51" s="48" t="str">
        <f t="shared" si="1"/>
        <v>seg</v>
      </c>
      <c r="M51" s="48" t="str">
        <f>VLOOKUP(A51,RECEITAS!A:B,2,FALSE)</f>
        <v>DIRETO</v>
      </c>
      <c r="N51" s="48" t="str">
        <f t="shared" si="2"/>
        <v>ter</v>
      </c>
      <c r="O51" s="35">
        <v>43234</v>
      </c>
    </row>
    <row r="52" spans="1:15" x14ac:dyDescent="0.3">
      <c r="A52" t="s">
        <v>50</v>
      </c>
      <c r="B52" t="s">
        <v>29</v>
      </c>
      <c r="C52">
        <v>1</v>
      </c>
      <c r="D52">
        <v>0.1</v>
      </c>
      <c r="E52" t="s">
        <v>136</v>
      </c>
      <c r="F52" s="35">
        <v>43234</v>
      </c>
      <c r="G52">
        <v>6</v>
      </c>
      <c r="H52">
        <v>7.2</v>
      </c>
      <c r="I52">
        <v>7.2</v>
      </c>
      <c r="J52" s="35">
        <v>43235</v>
      </c>
      <c r="K52" s="48">
        <f t="shared" si="0"/>
        <v>0.60000000000000009</v>
      </c>
      <c r="L52" s="48" t="str">
        <f t="shared" si="1"/>
        <v>seg</v>
      </c>
      <c r="M52" s="48" t="str">
        <f>VLOOKUP(A52,RECEITAS!A:B,2,FALSE)</f>
        <v>RÚSTICO</v>
      </c>
      <c r="N52" s="48" t="str">
        <f t="shared" si="2"/>
        <v>ter</v>
      </c>
      <c r="O52" s="35">
        <v>43234</v>
      </c>
    </row>
    <row r="53" spans="1:15" x14ac:dyDescent="0.3">
      <c r="A53" t="s">
        <v>25</v>
      </c>
      <c r="B53" t="s">
        <v>29</v>
      </c>
      <c r="C53">
        <v>4</v>
      </c>
      <c r="D53">
        <v>0.04</v>
      </c>
      <c r="E53" t="s">
        <v>137</v>
      </c>
      <c r="F53" s="35">
        <v>43235</v>
      </c>
      <c r="G53">
        <v>15</v>
      </c>
      <c r="H53">
        <v>10.199999999999999</v>
      </c>
      <c r="I53">
        <v>40.799999999999997</v>
      </c>
      <c r="J53" s="35">
        <v>43235</v>
      </c>
      <c r="K53" s="48">
        <f t="shared" si="0"/>
        <v>2.4</v>
      </c>
      <c r="L53" s="48" t="str">
        <f t="shared" si="1"/>
        <v>ter</v>
      </c>
      <c r="M53" s="48" t="str">
        <f>VLOOKUP(A53,RECEITAS!A:B,2,FALSE)</f>
        <v>DIRETO</v>
      </c>
      <c r="N53" s="48" t="str">
        <f t="shared" si="2"/>
        <v>ter</v>
      </c>
      <c r="O53" s="35">
        <v>43235</v>
      </c>
    </row>
    <row r="54" spans="1:15" x14ac:dyDescent="0.3">
      <c r="A54" t="s">
        <v>51</v>
      </c>
      <c r="B54" t="s">
        <v>29</v>
      </c>
      <c r="C54">
        <v>20</v>
      </c>
      <c r="D54">
        <v>0.04</v>
      </c>
      <c r="E54" t="s">
        <v>137</v>
      </c>
      <c r="F54" s="35">
        <v>43235</v>
      </c>
      <c r="G54">
        <v>15</v>
      </c>
      <c r="H54">
        <v>8.25</v>
      </c>
      <c r="I54">
        <v>165</v>
      </c>
      <c r="J54" s="35">
        <v>43235</v>
      </c>
      <c r="K54" s="48">
        <f t="shared" si="0"/>
        <v>12</v>
      </c>
      <c r="L54" s="48" t="str">
        <f t="shared" si="1"/>
        <v>ter</v>
      </c>
      <c r="M54" s="48" t="str">
        <f>VLOOKUP(A54,RECEITAS!A:B,2,FALSE)</f>
        <v>DIRETO</v>
      </c>
      <c r="N54" s="48" t="str">
        <f t="shared" si="2"/>
        <v>ter</v>
      </c>
      <c r="O54" s="35">
        <v>43235</v>
      </c>
    </row>
    <row r="55" spans="1:15" x14ac:dyDescent="0.3">
      <c r="A55" t="s">
        <v>49</v>
      </c>
      <c r="B55" t="s">
        <v>29</v>
      </c>
      <c r="C55">
        <v>5</v>
      </c>
      <c r="D55">
        <v>0.1</v>
      </c>
      <c r="E55" t="s">
        <v>138</v>
      </c>
      <c r="F55" s="35">
        <v>43234</v>
      </c>
      <c r="G55">
        <v>6</v>
      </c>
      <c r="H55">
        <v>9</v>
      </c>
      <c r="I55">
        <v>45</v>
      </c>
      <c r="J55" s="35">
        <v>43235</v>
      </c>
      <c r="K55" s="48">
        <f t="shared" si="0"/>
        <v>3.0000000000000004</v>
      </c>
      <c r="L55" s="48" t="str">
        <f t="shared" si="1"/>
        <v>seg</v>
      </c>
      <c r="M55" s="48" t="str">
        <f>VLOOKUP(A55,RECEITAS!A:B,2,FALSE)</f>
        <v>DIRETO</v>
      </c>
      <c r="N55" s="48" t="str">
        <f t="shared" si="2"/>
        <v>ter</v>
      </c>
      <c r="O55" s="35">
        <v>43234</v>
      </c>
    </row>
    <row r="56" spans="1:15" x14ac:dyDescent="0.3">
      <c r="A56" t="s">
        <v>52</v>
      </c>
      <c r="B56" t="s">
        <v>29</v>
      </c>
      <c r="C56">
        <v>5</v>
      </c>
      <c r="D56">
        <v>0.1</v>
      </c>
      <c r="E56" t="s">
        <v>138</v>
      </c>
      <c r="F56" s="35">
        <v>43234</v>
      </c>
      <c r="G56">
        <v>6</v>
      </c>
      <c r="H56">
        <v>9</v>
      </c>
      <c r="I56">
        <v>45</v>
      </c>
      <c r="J56" s="35">
        <v>43235</v>
      </c>
      <c r="K56" s="48">
        <f t="shared" si="0"/>
        <v>3.0000000000000004</v>
      </c>
      <c r="L56" s="48" t="str">
        <f t="shared" si="1"/>
        <v>seg</v>
      </c>
      <c r="M56" s="48" t="str">
        <f>VLOOKUP(A56,RECEITAS!A:B,2,FALSE)</f>
        <v>DIRETO</v>
      </c>
      <c r="N56" s="48" t="str">
        <f t="shared" si="2"/>
        <v>ter</v>
      </c>
      <c r="O56" s="35">
        <v>43234</v>
      </c>
    </row>
    <row r="57" spans="1:15" x14ac:dyDescent="0.3">
      <c r="A57" t="s">
        <v>48</v>
      </c>
      <c r="B57" t="s">
        <v>29</v>
      </c>
      <c r="C57">
        <v>4</v>
      </c>
      <c r="D57">
        <v>0.1</v>
      </c>
      <c r="E57" t="s">
        <v>138</v>
      </c>
      <c r="F57" s="35">
        <v>43234</v>
      </c>
      <c r="G57">
        <v>6</v>
      </c>
      <c r="H57">
        <v>9</v>
      </c>
      <c r="I57">
        <v>36</v>
      </c>
      <c r="J57" s="35">
        <v>43235</v>
      </c>
      <c r="K57" s="48">
        <f t="shared" si="0"/>
        <v>2.4000000000000004</v>
      </c>
      <c r="L57" s="48" t="str">
        <f t="shared" si="1"/>
        <v>seg</v>
      </c>
      <c r="M57" s="48" t="str">
        <f>VLOOKUP(A57,RECEITAS!A:B,2,FALSE)</f>
        <v>DIRETO</v>
      </c>
      <c r="N57" s="48" t="str">
        <f t="shared" si="2"/>
        <v>ter</v>
      </c>
      <c r="O57" s="35">
        <v>43234</v>
      </c>
    </row>
    <row r="58" spans="1:15" x14ac:dyDescent="0.3">
      <c r="A58" t="s">
        <v>30</v>
      </c>
      <c r="B58" t="s">
        <v>43</v>
      </c>
      <c r="C58">
        <v>3</v>
      </c>
      <c r="D58">
        <v>0.15</v>
      </c>
      <c r="E58" t="s">
        <v>89</v>
      </c>
      <c r="F58" s="35">
        <v>43235</v>
      </c>
      <c r="G58">
        <v>3</v>
      </c>
      <c r="H58">
        <v>6.3</v>
      </c>
      <c r="I58">
        <v>18.899999999999999</v>
      </c>
      <c r="J58" s="35">
        <v>43235</v>
      </c>
      <c r="K58" s="48">
        <f t="shared" si="0"/>
        <v>1.3499999999999999</v>
      </c>
      <c r="L58" s="48" t="str">
        <f t="shared" si="1"/>
        <v>ter</v>
      </c>
      <c r="M58" s="48" t="str">
        <f>VLOOKUP(A58,RECEITAS!A:B,2,FALSE)</f>
        <v>RÚSTICO</v>
      </c>
      <c r="N58" s="48" t="str">
        <f t="shared" si="2"/>
        <v>ter</v>
      </c>
      <c r="O58" s="35">
        <v>43235</v>
      </c>
    </row>
    <row r="59" spans="1:15" x14ac:dyDescent="0.3">
      <c r="A59" t="s">
        <v>30</v>
      </c>
      <c r="B59" t="s">
        <v>43</v>
      </c>
      <c r="C59">
        <v>3</v>
      </c>
      <c r="D59">
        <v>0.13</v>
      </c>
      <c r="E59" t="s">
        <v>89</v>
      </c>
      <c r="F59" s="35">
        <v>43235</v>
      </c>
      <c r="G59">
        <v>2</v>
      </c>
      <c r="H59">
        <v>2.7</v>
      </c>
      <c r="I59">
        <v>8.1</v>
      </c>
      <c r="J59" s="35">
        <v>43235</v>
      </c>
      <c r="K59" s="48">
        <f t="shared" si="0"/>
        <v>0.78</v>
      </c>
      <c r="L59" s="48" t="str">
        <f t="shared" si="1"/>
        <v>ter</v>
      </c>
      <c r="M59" s="48" t="str">
        <f>VLOOKUP(A59,RECEITAS!A:B,2,FALSE)</f>
        <v>RÚSTICO</v>
      </c>
      <c r="N59" s="48" t="str">
        <f t="shared" si="2"/>
        <v>ter</v>
      </c>
      <c r="O59" s="35">
        <v>43235</v>
      </c>
    </row>
    <row r="60" spans="1:15" x14ac:dyDescent="0.3">
      <c r="A60" t="s">
        <v>72</v>
      </c>
      <c r="B60" t="s">
        <v>90</v>
      </c>
      <c r="C60">
        <v>5</v>
      </c>
      <c r="D60">
        <v>0.6</v>
      </c>
      <c r="E60" t="s">
        <v>89</v>
      </c>
      <c r="F60" s="35">
        <v>43235</v>
      </c>
      <c r="G60">
        <v>1</v>
      </c>
      <c r="H60">
        <v>5.9</v>
      </c>
      <c r="I60">
        <v>29.5</v>
      </c>
      <c r="J60" s="35">
        <v>43235</v>
      </c>
      <c r="K60" s="48">
        <f t="shared" si="0"/>
        <v>3</v>
      </c>
      <c r="L60" s="48" t="str">
        <f t="shared" si="1"/>
        <v>ter</v>
      </c>
      <c r="M60" s="48" t="str">
        <f>VLOOKUP(A60,RECEITAS!A:B,2,FALSE)</f>
        <v>RÚSTICO</v>
      </c>
      <c r="N60" s="48" t="str">
        <f t="shared" si="2"/>
        <v>ter</v>
      </c>
      <c r="O60" s="35">
        <v>43235</v>
      </c>
    </row>
    <row r="61" spans="1:15" x14ac:dyDescent="0.3">
      <c r="A61" t="s">
        <v>36</v>
      </c>
      <c r="B61" t="s">
        <v>37</v>
      </c>
      <c r="C61">
        <v>2</v>
      </c>
      <c r="D61">
        <v>0.13</v>
      </c>
      <c r="E61" t="s">
        <v>89</v>
      </c>
      <c r="F61" s="35">
        <v>43235</v>
      </c>
      <c r="G61">
        <v>3</v>
      </c>
      <c r="H61">
        <v>7.5</v>
      </c>
      <c r="I61">
        <v>15</v>
      </c>
      <c r="J61" s="35">
        <v>43235</v>
      </c>
      <c r="K61" s="48">
        <f t="shared" si="0"/>
        <v>0.78</v>
      </c>
      <c r="L61" s="48" t="str">
        <f t="shared" si="1"/>
        <v>ter</v>
      </c>
      <c r="M61" s="48" t="str">
        <f>VLOOKUP(A61,RECEITAS!A:B,2,FALSE)</f>
        <v>RÚSTICO</v>
      </c>
      <c r="N61" s="48" t="str">
        <f t="shared" si="2"/>
        <v>ter</v>
      </c>
      <c r="O61" s="35">
        <v>43235</v>
      </c>
    </row>
    <row r="62" spans="1:15" x14ac:dyDescent="0.3">
      <c r="A62" t="s">
        <v>27</v>
      </c>
      <c r="B62" t="s">
        <v>26</v>
      </c>
      <c r="C62">
        <v>2</v>
      </c>
      <c r="D62">
        <v>0.1</v>
      </c>
      <c r="E62" t="s">
        <v>89</v>
      </c>
      <c r="F62" s="35">
        <v>43235</v>
      </c>
      <c r="G62">
        <v>4</v>
      </c>
      <c r="H62">
        <v>8</v>
      </c>
      <c r="I62">
        <v>16</v>
      </c>
      <c r="J62" s="35">
        <v>43235</v>
      </c>
      <c r="K62" s="48">
        <f t="shared" si="0"/>
        <v>0.8</v>
      </c>
      <c r="L62" s="48" t="str">
        <f t="shared" si="1"/>
        <v>ter</v>
      </c>
      <c r="M62" s="48" t="str">
        <f>VLOOKUP(A62,RECEITAS!A:B,2,FALSE)</f>
        <v>DIRETO</v>
      </c>
      <c r="N62" s="48" t="str">
        <f t="shared" si="2"/>
        <v>ter</v>
      </c>
      <c r="O62" s="35">
        <v>43235</v>
      </c>
    </row>
    <row r="63" spans="1:15" x14ac:dyDescent="0.3">
      <c r="A63" t="s">
        <v>72</v>
      </c>
      <c r="B63" t="s">
        <v>90</v>
      </c>
      <c r="C63">
        <v>4</v>
      </c>
      <c r="D63">
        <v>0.6</v>
      </c>
      <c r="E63" t="s">
        <v>89</v>
      </c>
      <c r="F63" s="35">
        <v>43235</v>
      </c>
      <c r="G63">
        <v>1</v>
      </c>
      <c r="H63">
        <v>5.9</v>
      </c>
      <c r="I63">
        <v>23.6</v>
      </c>
      <c r="J63" s="35">
        <v>43235</v>
      </c>
      <c r="K63" s="48">
        <f t="shared" si="0"/>
        <v>2.4</v>
      </c>
      <c r="L63" s="48" t="str">
        <f t="shared" si="1"/>
        <v>ter</v>
      </c>
      <c r="M63" s="48" t="str">
        <f>VLOOKUP(A63,RECEITAS!A:B,2,FALSE)</f>
        <v>RÚSTICO</v>
      </c>
      <c r="N63" s="48" t="str">
        <f t="shared" si="2"/>
        <v>ter</v>
      </c>
      <c r="O63" s="35">
        <v>43235</v>
      </c>
    </row>
    <row r="64" spans="1:15" x14ac:dyDescent="0.3">
      <c r="A64" t="s">
        <v>38</v>
      </c>
      <c r="B64" t="s">
        <v>39</v>
      </c>
      <c r="C64">
        <v>4</v>
      </c>
      <c r="D64">
        <v>0.45</v>
      </c>
      <c r="E64" t="s">
        <v>89</v>
      </c>
      <c r="F64" s="35">
        <v>43235</v>
      </c>
      <c r="G64">
        <v>1</v>
      </c>
      <c r="H64">
        <v>4.08</v>
      </c>
      <c r="I64">
        <v>16.32</v>
      </c>
      <c r="J64" s="35">
        <v>43235</v>
      </c>
      <c r="K64" s="48">
        <f t="shared" si="0"/>
        <v>1.8</v>
      </c>
      <c r="L64" s="48" t="str">
        <f t="shared" si="1"/>
        <v>ter</v>
      </c>
      <c r="M64" s="48" t="str">
        <f>VLOOKUP(A64,RECEITAS!A:B,2,FALSE)</f>
        <v>DIRETO</v>
      </c>
      <c r="N64" s="48" t="str">
        <f t="shared" si="2"/>
        <v>ter</v>
      </c>
      <c r="O64" s="35">
        <v>43235</v>
      </c>
    </row>
    <row r="65" spans="1:15" x14ac:dyDescent="0.3">
      <c r="A65" t="s">
        <v>27</v>
      </c>
      <c r="B65" t="s">
        <v>39</v>
      </c>
      <c r="C65">
        <v>3</v>
      </c>
      <c r="D65">
        <v>0.4</v>
      </c>
      <c r="E65" t="s">
        <v>89</v>
      </c>
      <c r="F65" s="35">
        <v>43235</v>
      </c>
      <c r="G65">
        <v>1</v>
      </c>
      <c r="H65">
        <v>3.45</v>
      </c>
      <c r="I65">
        <v>10.35</v>
      </c>
      <c r="J65" s="35">
        <v>43235</v>
      </c>
      <c r="K65" s="48">
        <f t="shared" si="0"/>
        <v>1.2000000000000002</v>
      </c>
      <c r="L65" s="48" t="str">
        <f t="shared" si="1"/>
        <v>ter</v>
      </c>
      <c r="M65" s="48" t="str">
        <f>VLOOKUP(A65,RECEITAS!A:B,2,FALSE)</f>
        <v>DIRETO</v>
      </c>
      <c r="N65" s="48" t="str">
        <f t="shared" si="2"/>
        <v>ter</v>
      </c>
      <c r="O65" s="35">
        <v>43235</v>
      </c>
    </row>
    <row r="66" spans="1:15" x14ac:dyDescent="0.3">
      <c r="A66" t="s">
        <v>34</v>
      </c>
      <c r="B66" t="s">
        <v>29</v>
      </c>
      <c r="C66">
        <v>5</v>
      </c>
      <c r="D66">
        <v>0.1</v>
      </c>
      <c r="E66" t="s">
        <v>96</v>
      </c>
      <c r="F66" s="35">
        <v>43235</v>
      </c>
      <c r="G66">
        <v>6</v>
      </c>
      <c r="H66">
        <v>10.8</v>
      </c>
      <c r="I66">
        <v>54</v>
      </c>
      <c r="J66" s="35">
        <v>43235</v>
      </c>
      <c r="K66" s="48">
        <f t="shared" si="0"/>
        <v>3.0000000000000004</v>
      </c>
      <c r="L66" s="48" t="str">
        <f t="shared" si="1"/>
        <v>ter</v>
      </c>
      <c r="M66" s="48" t="str">
        <f>VLOOKUP(A66,RECEITAS!A:B,2,FALSE)</f>
        <v>DIRETO</v>
      </c>
      <c r="N66" s="48" t="str">
        <f t="shared" si="2"/>
        <v>ter</v>
      </c>
      <c r="O66" s="35">
        <v>43235</v>
      </c>
    </row>
    <row r="67" spans="1:15" x14ac:dyDescent="0.3">
      <c r="A67" t="s">
        <v>27</v>
      </c>
      <c r="B67" t="s">
        <v>29</v>
      </c>
      <c r="C67">
        <v>5</v>
      </c>
      <c r="D67">
        <v>0.1</v>
      </c>
      <c r="E67" t="s">
        <v>96</v>
      </c>
      <c r="F67" s="35">
        <v>43235</v>
      </c>
      <c r="G67">
        <v>6</v>
      </c>
      <c r="H67">
        <v>8.76</v>
      </c>
      <c r="I67">
        <v>43.8</v>
      </c>
      <c r="J67" s="35">
        <v>43235</v>
      </c>
      <c r="K67" s="48">
        <f t="shared" ref="K67:K130" si="3">G67*D67*C67</f>
        <v>3.0000000000000004</v>
      </c>
      <c r="L67" s="48" t="str">
        <f t="shared" ref="L67:L130" si="4">IF(F67=0,"",TEXT(F67,"DDD"))</f>
        <v>ter</v>
      </c>
      <c r="M67" s="48" t="str">
        <f>VLOOKUP(A67,RECEITAS!A:B,2,FALSE)</f>
        <v>DIRETO</v>
      </c>
      <c r="N67" s="48" t="str">
        <f t="shared" ref="N67:N130" si="5">IF(J67=0,"",TEXT(J67,"ddd"))</f>
        <v>ter</v>
      </c>
      <c r="O67" s="35">
        <v>43235</v>
      </c>
    </row>
    <row r="68" spans="1:15" x14ac:dyDescent="0.3">
      <c r="A68" t="s">
        <v>27</v>
      </c>
      <c r="B68" t="s">
        <v>26</v>
      </c>
      <c r="C68">
        <v>5</v>
      </c>
      <c r="D68">
        <v>0.1</v>
      </c>
      <c r="E68" t="s">
        <v>110</v>
      </c>
      <c r="F68" s="35">
        <v>43235</v>
      </c>
      <c r="G68">
        <v>6</v>
      </c>
      <c r="H68">
        <v>9.42</v>
      </c>
      <c r="I68">
        <v>47.1</v>
      </c>
      <c r="J68" s="35">
        <v>43235</v>
      </c>
      <c r="K68" s="48">
        <f t="shared" si="3"/>
        <v>3.0000000000000004</v>
      </c>
      <c r="L68" s="48" t="str">
        <f t="shared" si="4"/>
        <v>ter</v>
      </c>
      <c r="M68" s="48" t="str">
        <f>VLOOKUP(A68,RECEITAS!A:B,2,FALSE)</f>
        <v>DIRETO</v>
      </c>
      <c r="N68" s="48" t="str">
        <f t="shared" si="5"/>
        <v>ter</v>
      </c>
      <c r="O68" s="35">
        <v>43235</v>
      </c>
    </row>
    <row r="69" spans="1:15" x14ac:dyDescent="0.3">
      <c r="A69" t="s">
        <v>27</v>
      </c>
      <c r="B69" t="s">
        <v>29</v>
      </c>
      <c r="C69">
        <v>10</v>
      </c>
      <c r="D69">
        <v>0.1</v>
      </c>
      <c r="E69" t="s">
        <v>110</v>
      </c>
      <c r="F69" s="35">
        <v>43235</v>
      </c>
      <c r="G69">
        <v>6</v>
      </c>
      <c r="H69">
        <v>8.76</v>
      </c>
      <c r="I69">
        <v>87.6</v>
      </c>
      <c r="J69" s="35">
        <v>43235</v>
      </c>
      <c r="K69" s="48">
        <f t="shared" si="3"/>
        <v>6.0000000000000009</v>
      </c>
      <c r="L69" s="48" t="str">
        <f t="shared" si="4"/>
        <v>ter</v>
      </c>
      <c r="M69" s="48" t="str">
        <f>VLOOKUP(A69,RECEITAS!A:B,2,FALSE)</f>
        <v>DIRETO</v>
      </c>
      <c r="N69" s="48" t="str">
        <f t="shared" si="5"/>
        <v>ter</v>
      </c>
      <c r="O69" s="35">
        <v>43235</v>
      </c>
    </row>
    <row r="70" spans="1:15" x14ac:dyDescent="0.3">
      <c r="A70" t="s">
        <v>65</v>
      </c>
      <c r="B70" t="s">
        <v>29</v>
      </c>
      <c r="C70">
        <v>3</v>
      </c>
      <c r="D70">
        <v>0.08</v>
      </c>
      <c r="E70" t="s">
        <v>139</v>
      </c>
      <c r="F70" s="35">
        <v>43235</v>
      </c>
      <c r="G70">
        <v>6</v>
      </c>
      <c r="H70">
        <v>9.1199999999999992</v>
      </c>
      <c r="I70">
        <v>27.36</v>
      </c>
      <c r="J70" s="35">
        <v>43235</v>
      </c>
      <c r="K70" s="48">
        <f t="shared" si="3"/>
        <v>1.44</v>
      </c>
      <c r="L70" s="48" t="str">
        <f t="shared" si="4"/>
        <v>ter</v>
      </c>
      <c r="M70" s="48" t="str">
        <f>VLOOKUP(A70,RECEITAS!A:B,2,FALSE)</f>
        <v>DIRETO</v>
      </c>
      <c r="N70" s="48" t="str">
        <f t="shared" si="5"/>
        <v>ter</v>
      </c>
      <c r="O70" s="35">
        <v>43235</v>
      </c>
    </row>
    <row r="71" spans="1:15" x14ac:dyDescent="0.3">
      <c r="A71" t="s">
        <v>27</v>
      </c>
      <c r="B71" t="s">
        <v>29</v>
      </c>
      <c r="C71">
        <v>15</v>
      </c>
      <c r="D71">
        <v>0.08</v>
      </c>
      <c r="E71" t="s">
        <v>139</v>
      </c>
      <c r="F71" s="35">
        <v>43235</v>
      </c>
      <c r="G71">
        <v>6</v>
      </c>
      <c r="H71">
        <v>7.38</v>
      </c>
      <c r="I71">
        <v>110.7</v>
      </c>
      <c r="J71" s="35">
        <v>43235</v>
      </c>
      <c r="K71" s="48">
        <f t="shared" si="3"/>
        <v>7.1999999999999993</v>
      </c>
      <c r="L71" s="48" t="str">
        <f t="shared" si="4"/>
        <v>ter</v>
      </c>
      <c r="M71" s="48" t="str">
        <f>VLOOKUP(A71,RECEITAS!A:B,2,FALSE)</f>
        <v>DIRETO</v>
      </c>
      <c r="N71" s="48" t="str">
        <f t="shared" si="5"/>
        <v>ter</v>
      </c>
      <c r="O71" s="35">
        <v>43235</v>
      </c>
    </row>
    <row r="72" spans="1:15" x14ac:dyDescent="0.3">
      <c r="A72" t="s">
        <v>27</v>
      </c>
      <c r="B72" t="s">
        <v>26</v>
      </c>
      <c r="C72">
        <v>5</v>
      </c>
      <c r="D72">
        <v>0.14000000000000001</v>
      </c>
      <c r="E72" t="s">
        <v>140</v>
      </c>
      <c r="F72" s="35">
        <v>43235</v>
      </c>
      <c r="G72">
        <v>4</v>
      </c>
      <c r="H72">
        <v>6.5</v>
      </c>
      <c r="I72">
        <v>32.5</v>
      </c>
      <c r="J72" s="35">
        <v>43235</v>
      </c>
      <c r="K72" s="48">
        <f t="shared" si="3"/>
        <v>2.8000000000000003</v>
      </c>
      <c r="L72" s="48" t="str">
        <f t="shared" si="4"/>
        <v>ter</v>
      </c>
      <c r="M72" s="48" t="str">
        <f>VLOOKUP(A72,RECEITAS!A:B,2,FALSE)</f>
        <v>DIRETO</v>
      </c>
      <c r="N72" s="48" t="str">
        <f t="shared" si="5"/>
        <v>ter</v>
      </c>
      <c r="O72" s="35">
        <v>43235</v>
      </c>
    </row>
    <row r="73" spans="1:15" x14ac:dyDescent="0.3">
      <c r="A73" t="s">
        <v>27</v>
      </c>
      <c r="B73" t="s">
        <v>29</v>
      </c>
      <c r="C73">
        <v>10</v>
      </c>
      <c r="D73">
        <v>0.12</v>
      </c>
      <c r="E73" t="s">
        <v>140</v>
      </c>
      <c r="F73" s="35">
        <v>43235</v>
      </c>
      <c r="G73">
        <v>5</v>
      </c>
      <c r="H73">
        <v>9</v>
      </c>
      <c r="I73">
        <v>90</v>
      </c>
      <c r="J73" s="35">
        <v>43235</v>
      </c>
      <c r="K73" s="48">
        <f t="shared" si="3"/>
        <v>6</v>
      </c>
      <c r="L73" s="48" t="str">
        <f t="shared" si="4"/>
        <v>ter</v>
      </c>
      <c r="M73" s="48" t="str">
        <f>VLOOKUP(A73,RECEITAS!A:B,2,FALSE)</f>
        <v>DIRETO</v>
      </c>
      <c r="N73" s="48" t="str">
        <f t="shared" si="5"/>
        <v>ter</v>
      </c>
      <c r="O73" s="35">
        <v>43235</v>
      </c>
    </row>
    <row r="74" spans="1:15" x14ac:dyDescent="0.3">
      <c r="A74" t="s">
        <v>25</v>
      </c>
      <c r="B74" t="s">
        <v>29</v>
      </c>
      <c r="C74">
        <v>5</v>
      </c>
      <c r="D74">
        <v>0.12</v>
      </c>
      <c r="E74" t="s">
        <v>140</v>
      </c>
      <c r="F74" s="35">
        <v>43235</v>
      </c>
      <c r="G74">
        <v>5</v>
      </c>
      <c r="H74">
        <v>8</v>
      </c>
      <c r="I74">
        <v>40</v>
      </c>
      <c r="J74" s="35">
        <v>43235</v>
      </c>
      <c r="K74" s="48">
        <f t="shared" si="3"/>
        <v>3</v>
      </c>
      <c r="L74" s="48" t="str">
        <f t="shared" si="4"/>
        <v>ter</v>
      </c>
      <c r="M74" s="48" t="str">
        <f>VLOOKUP(A74,RECEITAS!A:B,2,FALSE)</f>
        <v>DIRETO</v>
      </c>
      <c r="N74" s="48" t="str">
        <f t="shared" si="5"/>
        <v>ter</v>
      </c>
      <c r="O74" s="35">
        <v>43235</v>
      </c>
    </row>
    <row r="75" spans="1:15" x14ac:dyDescent="0.3">
      <c r="A75" t="s">
        <v>34</v>
      </c>
      <c r="B75" t="s">
        <v>29</v>
      </c>
      <c r="C75">
        <v>1</v>
      </c>
      <c r="D75">
        <v>0.12</v>
      </c>
      <c r="E75" t="s">
        <v>140</v>
      </c>
      <c r="F75" s="35">
        <v>43235</v>
      </c>
      <c r="G75">
        <v>5</v>
      </c>
      <c r="H75">
        <v>9</v>
      </c>
      <c r="I75">
        <v>9</v>
      </c>
      <c r="J75" s="35">
        <v>43235</v>
      </c>
      <c r="K75" s="48">
        <f t="shared" si="3"/>
        <v>0.6</v>
      </c>
      <c r="L75" s="48" t="str">
        <f t="shared" si="4"/>
        <v>ter</v>
      </c>
      <c r="M75" s="48" t="str">
        <f>VLOOKUP(A75,RECEITAS!A:B,2,FALSE)</f>
        <v>DIRETO</v>
      </c>
      <c r="N75" s="48" t="str">
        <f t="shared" si="5"/>
        <v>ter</v>
      </c>
      <c r="O75" s="35">
        <v>43235</v>
      </c>
    </row>
    <row r="76" spans="1:15" x14ac:dyDescent="0.3">
      <c r="A76" t="s">
        <v>27</v>
      </c>
      <c r="B76" t="s">
        <v>29</v>
      </c>
      <c r="C76">
        <v>2</v>
      </c>
      <c r="D76">
        <v>0.12</v>
      </c>
      <c r="E76" t="s">
        <v>140</v>
      </c>
      <c r="F76" s="35">
        <v>43235</v>
      </c>
      <c r="G76">
        <v>6</v>
      </c>
      <c r="H76">
        <v>8.52</v>
      </c>
      <c r="I76">
        <v>17.04</v>
      </c>
      <c r="J76" s="35">
        <v>43235</v>
      </c>
      <c r="K76" s="48">
        <f t="shared" si="3"/>
        <v>1.44</v>
      </c>
      <c r="L76" s="48" t="str">
        <f t="shared" si="4"/>
        <v>ter</v>
      </c>
      <c r="M76" s="48" t="str">
        <f>VLOOKUP(A76,RECEITAS!A:B,2,FALSE)</f>
        <v>DIRETO</v>
      </c>
      <c r="N76" s="48" t="str">
        <f t="shared" si="5"/>
        <v>ter</v>
      </c>
      <c r="O76" s="35">
        <v>43235</v>
      </c>
    </row>
    <row r="77" spans="1:15" x14ac:dyDescent="0.3">
      <c r="A77" t="s">
        <v>27</v>
      </c>
      <c r="B77" t="s">
        <v>29</v>
      </c>
      <c r="C77">
        <v>1</v>
      </c>
      <c r="D77">
        <v>0.08</v>
      </c>
      <c r="E77" t="s">
        <v>140</v>
      </c>
      <c r="F77" s="35">
        <v>43235</v>
      </c>
      <c r="G77">
        <v>6</v>
      </c>
      <c r="H77">
        <v>6.96</v>
      </c>
      <c r="I77">
        <v>6.96</v>
      </c>
      <c r="J77" s="35">
        <v>43235</v>
      </c>
      <c r="K77" s="48">
        <f t="shared" si="3"/>
        <v>0.48</v>
      </c>
      <c r="L77" s="48" t="str">
        <f t="shared" si="4"/>
        <v>ter</v>
      </c>
      <c r="M77" s="48" t="str">
        <f>VLOOKUP(A77,RECEITAS!A:B,2,FALSE)</f>
        <v>DIRETO</v>
      </c>
      <c r="N77" s="48" t="str">
        <f t="shared" si="5"/>
        <v>ter</v>
      </c>
      <c r="O77" s="35">
        <v>43235</v>
      </c>
    </row>
    <row r="78" spans="1:15" x14ac:dyDescent="0.3">
      <c r="A78" t="s">
        <v>49</v>
      </c>
      <c r="B78" t="s">
        <v>29</v>
      </c>
      <c r="C78">
        <v>5</v>
      </c>
      <c r="D78">
        <v>0.1</v>
      </c>
      <c r="E78" t="s">
        <v>114</v>
      </c>
      <c r="F78" s="35">
        <v>43235</v>
      </c>
      <c r="G78">
        <v>6</v>
      </c>
      <c r="H78">
        <v>9</v>
      </c>
      <c r="I78">
        <v>45</v>
      </c>
      <c r="J78" s="35">
        <v>43235</v>
      </c>
      <c r="K78" s="48">
        <f t="shared" si="3"/>
        <v>3.0000000000000004</v>
      </c>
      <c r="L78" s="48" t="str">
        <f t="shared" si="4"/>
        <v>ter</v>
      </c>
      <c r="M78" s="48" t="str">
        <f>VLOOKUP(A78,RECEITAS!A:B,2,FALSE)</f>
        <v>DIRETO</v>
      </c>
      <c r="N78" s="48" t="str">
        <f t="shared" si="5"/>
        <v>ter</v>
      </c>
      <c r="O78" s="35">
        <v>43235</v>
      </c>
    </row>
    <row r="79" spans="1:15" x14ac:dyDescent="0.3">
      <c r="A79" t="s">
        <v>48</v>
      </c>
      <c r="B79" t="s">
        <v>29</v>
      </c>
      <c r="C79">
        <v>3</v>
      </c>
      <c r="D79">
        <v>0.1</v>
      </c>
      <c r="E79" t="s">
        <v>114</v>
      </c>
      <c r="F79" s="35">
        <v>43235</v>
      </c>
      <c r="G79">
        <v>6</v>
      </c>
      <c r="H79">
        <v>9</v>
      </c>
      <c r="I79">
        <v>27</v>
      </c>
      <c r="J79" s="35">
        <v>43235</v>
      </c>
      <c r="K79" s="48">
        <f t="shared" si="3"/>
        <v>1.8000000000000003</v>
      </c>
      <c r="L79" s="48" t="str">
        <f t="shared" si="4"/>
        <v>ter</v>
      </c>
      <c r="M79" s="48" t="str">
        <f>VLOOKUP(A79,RECEITAS!A:B,2,FALSE)</f>
        <v>DIRETO</v>
      </c>
      <c r="N79" s="48" t="str">
        <f t="shared" si="5"/>
        <v>ter</v>
      </c>
      <c r="O79" s="35">
        <v>43235</v>
      </c>
    </row>
    <row r="80" spans="1:15" x14ac:dyDescent="0.3">
      <c r="A80" t="s">
        <v>25</v>
      </c>
      <c r="B80" t="s">
        <v>26</v>
      </c>
      <c r="C80">
        <v>10</v>
      </c>
      <c r="D80">
        <v>0.16</v>
      </c>
      <c r="E80" t="s">
        <v>129</v>
      </c>
      <c r="F80" s="35">
        <v>43236</v>
      </c>
      <c r="G80">
        <v>4</v>
      </c>
      <c r="H80">
        <v>10.64</v>
      </c>
      <c r="I80">
        <v>106.4</v>
      </c>
      <c r="J80" s="35">
        <v>43236</v>
      </c>
      <c r="K80" s="48">
        <f t="shared" si="3"/>
        <v>6.4</v>
      </c>
      <c r="L80" s="48" t="str">
        <f t="shared" si="4"/>
        <v>qua</v>
      </c>
      <c r="M80" s="48" t="str">
        <f>VLOOKUP(A80,RECEITAS!A:B,2,FALSE)</f>
        <v>DIRETO</v>
      </c>
      <c r="N80" s="48" t="str">
        <f t="shared" si="5"/>
        <v>qua</v>
      </c>
      <c r="O80" s="35">
        <v>43236</v>
      </c>
    </row>
    <row r="81" spans="1:15" x14ac:dyDescent="0.3">
      <c r="A81" t="s">
        <v>28</v>
      </c>
      <c r="B81" t="s">
        <v>26</v>
      </c>
      <c r="C81">
        <v>9</v>
      </c>
      <c r="D81">
        <v>0.16</v>
      </c>
      <c r="E81" t="s">
        <v>129</v>
      </c>
      <c r="F81" s="35">
        <v>43236</v>
      </c>
      <c r="G81">
        <v>4</v>
      </c>
      <c r="H81">
        <v>11.2</v>
      </c>
      <c r="I81">
        <v>100.8</v>
      </c>
      <c r="J81" s="35">
        <v>43236</v>
      </c>
      <c r="K81" s="48">
        <f t="shared" si="3"/>
        <v>5.76</v>
      </c>
      <c r="L81" s="48" t="str">
        <f t="shared" si="4"/>
        <v>qua</v>
      </c>
      <c r="M81" s="48" t="str">
        <f>VLOOKUP(A81,RECEITAS!A:B,2,FALSE)</f>
        <v>DIRETO</v>
      </c>
      <c r="N81" s="48" t="str">
        <f t="shared" si="5"/>
        <v>qua</v>
      </c>
      <c r="O81" s="35">
        <v>43236</v>
      </c>
    </row>
    <row r="82" spans="1:15" x14ac:dyDescent="0.3">
      <c r="A82" t="s">
        <v>25</v>
      </c>
      <c r="B82" t="s">
        <v>29</v>
      </c>
      <c r="C82">
        <v>4</v>
      </c>
      <c r="D82">
        <v>0.1</v>
      </c>
      <c r="E82" t="s">
        <v>141</v>
      </c>
      <c r="F82" s="35">
        <v>43236</v>
      </c>
      <c r="G82">
        <v>6</v>
      </c>
      <c r="H82">
        <v>9.7200000000000006</v>
      </c>
      <c r="I82">
        <v>38.880000000000003</v>
      </c>
      <c r="J82" s="35">
        <v>43236</v>
      </c>
      <c r="K82" s="48">
        <f t="shared" si="3"/>
        <v>2.4000000000000004</v>
      </c>
      <c r="L82" s="48" t="str">
        <f t="shared" si="4"/>
        <v>qua</v>
      </c>
      <c r="M82" s="48" t="str">
        <f>VLOOKUP(A82,RECEITAS!A:B,2,FALSE)</f>
        <v>DIRETO</v>
      </c>
      <c r="N82" s="48" t="str">
        <f t="shared" si="5"/>
        <v>qua</v>
      </c>
      <c r="O82" s="35">
        <v>43236</v>
      </c>
    </row>
    <row r="83" spans="1:15" x14ac:dyDescent="0.3">
      <c r="A83" t="s">
        <v>34</v>
      </c>
      <c r="B83" t="s">
        <v>29</v>
      </c>
      <c r="C83">
        <v>11</v>
      </c>
      <c r="D83">
        <v>0.1</v>
      </c>
      <c r="E83" t="s">
        <v>141</v>
      </c>
      <c r="F83" s="35">
        <v>43236</v>
      </c>
      <c r="G83">
        <v>6</v>
      </c>
      <c r="H83">
        <v>7.5</v>
      </c>
      <c r="I83">
        <v>82.5</v>
      </c>
      <c r="J83" s="35">
        <v>43236</v>
      </c>
      <c r="K83" s="48">
        <f t="shared" si="3"/>
        <v>6.6000000000000014</v>
      </c>
      <c r="L83" s="48" t="str">
        <f t="shared" si="4"/>
        <v>qua</v>
      </c>
      <c r="M83" s="48" t="str">
        <f>VLOOKUP(A83,RECEITAS!A:B,2,FALSE)</f>
        <v>DIRETO</v>
      </c>
      <c r="N83" s="48" t="str">
        <f t="shared" si="5"/>
        <v>qua</v>
      </c>
      <c r="O83" s="35">
        <v>43236</v>
      </c>
    </row>
    <row r="84" spans="1:15" x14ac:dyDescent="0.3">
      <c r="A84" t="s">
        <v>28</v>
      </c>
      <c r="B84" t="s">
        <v>29</v>
      </c>
      <c r="C84">
        <v>2</v>
      </c>
      <c r="D84">
        <v>0.1</v>
      </c>
      <c r="E84" t="s">
        <v>141</v>
      </c>
      <c r="F84" s="35">
        <v>43236</v>
      </c>
      <c r="G84">
        <v>6</v>
      </c>
      <c r="H84">
        <v>10.8</v>
      </c>
      <c r="I84">
        <v>21.6</v>
      </c>
      <c r="J84" s="35">
        <v>43236</v>
      </c>
      <c r="K84" s="48">
        <f t="shared" si="3"/>
        <v>1.2000000000000002</v>
      </c>
      <c r="L84" s="48" t="str">
        <f t="shared" si="4"/>
        <v>qua</v>
      </c>
      <c r="M84" s="48" t="str">
        <f>VLOOKUP(A84,RECEITAS!A:B,2,FALSE)</f>
        <v>DIRETO</v>
      </c>
      <c r="N84" s="48" t="str">
        <f t="shared" si="5"/>
        <v>qua</v>
      </c>
      <c r="O84" s="35">
        <v>43236</v>
      </c>
    </row>
    <row r="85" spans="1:15" x14ac:dyDescent="0.3">
      <c r="A85" t="s">
        <v>25</v>
      </c>
      <c r="B85" t="s">
        <v>29</v>
      </c>
      <c r="C85">
        <v>4</v>
      </c>
      <c r="D85">
        <v>0.08</v>
      </c>
      <c r="E85" t="s">
        <v>89</v>
      </c>
      <c r="F85" s="35">
        <v>43236</v>
      </c>
      <c r="G85">
        <v>6</v>
      </c>
      <c r="H85">
        <v>7.56</v>
      </c>
      <c r="I85">
        <v>30.24</v>
      </c>
      <c r="J85" s="35">
        <v>43236</v>
      </c>
      <c r="K85" s="48">
        <f t="shared" si="3"/>
        <v>1.92</v>
      </c>
      <c r="L85" s="48" t="str">
        <f t="shared" si="4"/>
        <v>qua</v>
      </c>
      <c r="M85" s="48" t="str">
        <f>VLOOKUP(A85,RECEITAS!A:B,2,FALSE)</f>
        <v>DIRETO</v>
      </c>
      <c r="N85" s="48" t="str">
        <f t="shared" si="5"/>
        <v>qua</v>
      </c>
      <c r="O85" s="35">
        <v>43236</v>
      </c>
    </row>
    <row r="86" spans="1:15" x14ac:dyDescent="0.3">
      <c r="A86" t="s">
        <v>27</v>
      </c>
      <c r="B86" t="s">
        <v>29</v>
      </c>
      <c r="C86">
        <v>4</v>
      </c>
      <c r="D86">
        <v>0.08</v>
      </c>
      <c r="E86" t="s">
        <v>89</v>
      </c>
      <c r="F86" s="35">
        <v>43236</v>
      </c>
      <c r="G86">
        <v>6</v>
      </c>
      <c r="H86">
        <v>6.96</v>
      </c>
      <c r="I86">
        <v>27.84</v>
      </c>
      <c r="J86" s="35">
        <v>43236</v>
      </c>
      <c r="K86" s="48">
        <f t="shared" si="3"/>
        <v>1.92</v>
      </c>
      <c r="L86" s="48" t="str">
        <f t="shared" si="4"/>
        <v>qua</v>
      </c>
      <c r="M86" s="48" t="str">
        <f>VLOOKUP(A86,RECEITAS!A:B,2,FALSE)</f>
        <v>DIRETO</v>
      </c>
      <c r="N86" s="48" t="str">
        <f t="shared" si="5"/>
        <v>qua</v>
      </c>
      <c r="O86" s="35">
        <v>43236</v>
      </c>
    </row>
    <row r="87" spans="1:15" x14ac:dyDescent="0.3">
      <c r="A87" t="s">
        <v>28</v>
      </c>
      <c r="B87" t="s">
        <v>29</v>
      </c>
      <c r="C87">
        <v>4</v>
      </c>
      <c r="D87">
        <v>0.08</v>
      </c>
      <c r="E87" t="s">
        <v>89</v>
      </c>
      <c r="F87" s="35">
        <v>43236</v>
      </c>
      <c r="G87">
        <v>6</v>
      </c>
      <c r="H87">
        <v>7.8</v>
      </c>
      <c r="I87">
        <v>31.2</v>
      </c>
      <c r="J87" s="35">
        <v>43236</v>
      </c>
      <c r="K87" s="48">
        <f t="shared" si="3"/>
        <v>1.92</v>
      </c>
      <c r="L87" s="48" t="str">
        <f t="shared" si="4"/>
        <v>qua</v>
      </c>
      <c r="M87" s="48" t="str">
        <f>VLOOKUP(A87,RECEITAS!A:B,2,FALSE)</f>
        <v>DIRETO</v>
      </c>
      <c r="N87" s="48" t="str">
        <f t="shared" si="5"/>
        <v>qua</v>
      </c>
      <c r="O87" s="35">
        <v>43236</v>
      </c>
    </row>
    <row r="88" spans="1:15" x14ac:dyDescent="0.3">
      <c r="A88" t="s">
        <v>44</v>
      </c>
      <c r="B88" t="s">
        <v>26</v>
      </c>
      <c r="C88">
        <v>4</v>
      </c>
      <c r="D88">
        <v>0.11</v>
      </c>
      <c r="E88" t="s">
        <v>142</v>
      </c>
      <c r="F88" s="35">
        <v>43236</v>
      </c>
      <c r="G88">
        <v>6</v>
      </c>
      <c r="H88">
        <v>9</v>
      </c>
      <c r="I88">
        <v>36</v>
      </c>
      <c r="J88" s="35">
        <v>43236</v>
      </c>
      <c r="K88" s="48">
        <f t="shared" si="3"/>
        <v>2.64</v>
      </c>
      <c r="L88" s="48" t="str">
        <f t="shared" si="4"/>
        <v>qua</v>
      </c>
      <c r="M88" s="48" t="str">
        <f>VLOOKUP(A88,RECEITAS!A:B,2,FALSE)</f>
        <v>RÚSTICO</v>
      </c>
      <c r="N88" s="48" t="str">
        <f t="shared" si="5"/>
        <v>qua</v>
      </c>
      <c r="O88" s="35">
        <v>43236</v>
      </c>
    </row>
    <row r="89" spans="1:15" x14ac:dyDescent="0.3">
      <c r="A89" t="s">
        <v>44</v>
      </c>
      <c r="B89" t="s">
        <v>44</v>
      </c>
      <c r="C89">
        <v>3</v>
      </c>
      <c r="D89">
        <v>0.11</v>
      </c>
      <c r="E89" t="s">
        <v>142</v>
      </c>
      <c r="F89" s="35">
        <v>43236</v>
      </c>
      <c r="G89">
        <v>10</v>
      </c>
      <c r="H89">
        <v>20</v>
      </c>
      <c r="I89">
        <v>60</v>
      </c>
      <c r="J89" s="35">
        <v>43236</v>
      </c>
      <c r="K89" s="48">
        <f t="shared" si="3"/>
        <v>3.3000000000000003</v>
      </c>
      <c r="L89" s="48" t="str">
        <f t="shared" si="4"/>
        <v>qua</v>
      </c>
      <c r="M89" s="48" t="str">
        <f>VLOOKUP(A89,RECEITAS!A:B,2,FALSE)</f>
        <v>RÚSTICO</v>
      </c>
      <c r="N89" s="48" t="str">
        <f t="shared" si="5"/>
        <v>qua</v>
      </c>
      <c r="O89" s="35">
        <v>43236</v>
      </c>
    </row>
    <row r="90" spans="1:15" x14ac:dyDescent="0.3">
      <c r="A90" t="s">
        <v>80</v>
      </c>
      <c r="B90" t="s">
        <v>143</v>
      </c>
      <c r="C90">
        <v>7</v>
      </c>
      <c r="D90">
        <v>0.6</v>
      </c>
      <c r="E90" t="s">
        <v>142</v>
      </c>
      <c r="F90" s="35">
        <v>43236</v>
      </c>
      <c r="G90">
        <v>1</v>
      </c>
      <c r="H90">
        <v>5.9</v>
      </c>
      <c r="I90">
        <v>41.3</v>
      </c>
      <c r="J90" s="35">
        <v>43236</v>
      </c>
      <c r="K90" s="48">
        <f t="shared" si="3"/>
        <v>4.2</v>
      </c>
      <c r="L90" s="48" t="str">
        <f t="shared" si="4"/>
        <v>qua</v>
      </c>
      <c r="M90" s="48" t="str">
        <f>VLOOKUP(A90,RECEITAS!A:B,2,FALSE)</f>
        <v>RÚSTICO</v>
      </c>
      <c r="N90" s="48" t="str">
        <f t="shared" si="5"/>
        <v>qua</v>
      </c>
      <c r="O90" s="35">
        <v>43236</v>
      </c>
    </row>
    <row r="91" spans="1:15" x14ac:dyDescent="0.3">
      <c r="A91" t="s">
        <v>63</v>
      </c>
      <c r="B91" t="s">
        <v>144</v>
      </c>
      <c r="C91">
        <v>5</v>
      </c>
      <c r="D91">
        <v>0.11</v>
      </c>
      <c r="E91" t="s">
        <v>142</v>
      </c>
      <c r="F91" s="35">
        <v>43236</v>
      </c>
      <c r="G91">
        <v>6</v>
      </c>
      <c r="H91">
        <v>8.4</v>
      </c>
      <c r="I91">
        <v>42</v>
      </c>
      <c r="J91" s="35">
        <v>43236</v>
      </c>
      <c r="K91" s="48">
        <f t="shared" si="3"/>
        <v>3.3000000000000003</v>
      </c>
      <c r="L91" s="48" t="str">
        <f t="shared" si="4"/>
        <v>qua</v>
      </c>
      <c r="M91" s="48" t="str">
        <f>VLOOKUP(A91,RECEITAS!A:B,2,FALSE)</f>
        <v>RÚSTICO</v>
      </c>
      <c r="N91" s="48" t="str">
        <f t="shared" si="5"/>
        <v>qua</v>
      </c>
      <c r="O91" s="35">
        <v>43236</v>
      </c>
    </row>
    <row r="92" spans="1:15" x14ac:dyDescent="0.3">
      <c r="A92" t="s">
        <v>72</v>
      </c>
      <c r="B92" t="s">
        <v>143</v>
      </c>
      <c r="C92">
        <v>7</v>
      </c>
      <c r="D92">
        <v>0.6</v>
      </c>
      <c r="E92" t="s">
        <v>142</v>
      </c>
      <c r="F92" s="35">
        <v>43236</v>
      </c>
      <c r="G92">
        <v>1</v>
      </c>
      <c r="H92">
        <v>5.9</v>
      </c>
      <c r="I92">
        <v>41.3</v>
      </c>
      <c r="J92" s="35">
        <v>43236</v>
      </c>
      <c r="K92" s="48">
        <f t="shared" si="3"/>
        <v>4.2</v>
      </c>
      <c r="L92" s="48" t="str">
        <f t="shared" si="4"/>
        <v>qua</v>
      </c>
      <c r="M92" s="48" t="str">
        <f>VLOOKUP(A92,RECEITAS!A:B,2,FALSE)</f>
        <v>RÚSTICO</v>
      </c>
      <c r="N92" s="48" t="str">
        <f t="shared" si="5"/>
        <v>qua</v>
      </c>
      <c r="O92" s="35">
        <v>43236</v>
      </c>
    </row>
    <row r="93" spans="1:15" x14ac:dyDescent="0.3">
      <c r="A93" t="s">
        <v>25</v>
      </c>
      <c r="B93" t="s">
        <v>29</v>
      </c>
      <c r="C93">
        <v>6</v>
      </c>
      <c r="D93">
        <v>0.1</v>
      </c>
      <c r="E93" t="s">
        <v>142</v>
      </c>
      <c r="F93" s="35">
        <v>43236</v>
      </c>
      <c r="G93">
        <v>6</v>
      </c>
      <c r="H93">
        <v>9.7200000000000006</v>
      </c>
      <c r="I93">
        <v>58.32</v>
      </c>
      <c r="J93" s="35">
        <v>43236</v>
      </c>
      <c r="K93" s="48">
        <f t="shared" si="3"/>
        <v>3.6000000000000005</v>
      </c>
      <c r="L93" s="48" t="str">
        <f t="shared" si="4"/>
        <v>qua</v>
      </c>
      <c r="M93" s="48" t="str">
        <f>VLOOKUP(A93,RECEITAS!A:B,2,FALSE)</f>
        <v>DIRETO</v>
      </c>
      <c r="N93" s="48" t="str">
        <f t="shared" si="5"/>
        <v>qua</v>
      </c>
      <c r="O93" s="35">
        <v>43236</v>
      </c>
    </row>
    <row r="94" spans="1:15" x14ac:dyDescent="0.3">
      <c r="A94" t="s">
        <v>34</v>
      </c>
      <c r="B94" t="s">
        <v>29</v>
      </c>
      <c r="C94">
        <v>14</v>
      </c>
      <c r="D94">
        <v>0.1</v>
      </c>
      <c r="E94" t="s">
        <v>142</v>
      </c>
      <c r="F94" s="35">
        <v>43236</v>
      </c>
      <c r="G94">
        <v>6</v>
      </c>
      <c r="H94">
        <v>10.8</v>
      </c>
      <c r="I94">
        <v>151.19999999999999</v>
      </c>
      <c r="J94" s="35">
        <v>43236</v>
      </c>
      <c r="K94" s="48">
        <f t="shared" si="3"/>
        <v>8.4000000000000021</v>
      </c>
      <c r="L94" s="48" t="str">
        <f t="shared" si="4"/>
        <v>qua</v>
      </c>
      <c r="M94" s="48" t="str">
        <f>VLOOKUP(A94,RECEITAS!A:B,2,FALSE)</f>
        <v>DIRETO</v>
      </c>
      <c r="N94" s="48" t="str">
        <f t="shared" si="5"/>
        <v>qua</v>
      </c>
      <c r="O94" s="35">
        <v>43236</v>
      </c>
    </row>
    <row r="95" spans="1:15" x14ac:dyDescent="0.3">
      <c r="A95" t="s">
        <v>48</v>
      </c>
      <c r="B95" t="s">
        <v>29</v>
      </c>
      <c r="C95">
        <v>4</v>
      </c>
      <c r="D95">
        <v>0.1</v>
      </c>
      <c r="E95" t="s">
        <v>142</v>
      </c>
      <c r="F95" s="35">
        <v>43236</v>
      </c>
      <c r="G95">
        <v>6</v>
      </c>
      <c r="H95">
        <v>9</v>
      </c>
      <c r="I95">
        <v>36</v>
      </c>
      <c r="J95" s="35">
        <v>43236</v>
      </c>
      <c r="K95" s="48">
        <f t="shared" si="3"/>
        <v>2.4000000000000004</v>
      </c>
      <c r="L95" s="48" t="str">
        <f t="shared" si="4"/>
        <v>qua</v>
      </c>
      <c r="M95" s="48" t="str">
        <f>VLOOKUP(A95,RECEITAS!A:B,2,FALSE)</f>
        <v>DIRETO</v>
      </c>
      <c r="N95" s="48" t="str">
        <f t="shared" si="5"/>
        <v>qua</v>
      </c>
      <c r="O95" s="35">
        <v>43236</v>
      </c>
    </row>
    <row r="96" spans="1:15" x14ac:dyDescent="0.3">
      <c r="A96" t="s">
        <v>145</v>
      </c>
      <c r="B96" t="s">
        <v>88</v>
      </c>
      <c r="C96">
        <v>3</v>
      </c>
      <c r="D96">
        <v>1</v>
      </c>
      <c r="E96" t="s">
        <v>142</v>
      </c>
      <c r="F96" s="35">
        <v>43236</v>
      </c>
      <c r="G96">
        <v>1</v>
      </c>
      <c r="H96">
        <v>22</v>
      </c>
      <c r="I96">
        <v>66</v>
      </c>
      <c r="J96" s="35">
        <v>43236</v>
      </c>
      <c r="K96" s="48">
        <f t="shared" si="3"/>
        <v>3</v>
      </c>
      <c r="L96" s="48" t="str">
        <f t="shared" si="4"/>
        <v>qua</v>
      </c>
      <c r="M96" s="48" t="e">
        <f>VLOOKUP(A96,RECEITAS!A:B,2,FALSE)</f>
        <v>#N/A</v>
      </c>
      <c r="N96" s="48" t="str">
        <f t="shared" si="5"/>
        <v>qua</v>
      </c>
      <c r="O96" s="35">
        <v>43236</v>
      </c>
    </row>
    <row r="97" spans="1:15" x14ac:dyDescent="0.3">
      <c r="A97" t="s">
        <v>87</v>
      </c>
      <c r="B97" t="s">
        <v>88</v>
      </c>
      <c r="C97">
        <v>4</v>
      </c>
      <c r="D97">
        <v>1</v>
      </c>
      <c r="E97" t="s">
        <v>142</v>
      </c>
      <c r="F97" s="35">
        <v>43236</v>
      </c>
      <c r="G97">
        <v>1</v>
      </c>
      <c r="H97">
        <v>22.1</v>
      </c>
      <c r="I97">
        <v>88.4</v>
      </c>
      <c r="J97" s="35">
        <v>43236</v>
      </c>
      <c r="K97" s="48">
        <f t="shared" si="3"/>
        <v>4</v>
      </c>
      <c r="L97" s="48" t="str">
        <f t="shared" si="4"/>
        <v>qua</v>
      </c>
      <c r="M97" s="48" t="e">
        <f>VLOOKUP(A97,RECEITAS!A:B,2,FALSE)</f>
        <v>#N/A</v>
      </c>
      <c r="N97" s="48" t="str">
        <f t="shared" si="5"/>
        <v>qua</v>
      </c>
      <c r="O97" s="35">
        <v>43236</v>
      </c>
    </row>
    <row r="98" spans="1:15" x14ac:dyDescent="0.3">
      <c r="A98" t="s">
        <v>27</v>
      </c>
      <c r="B98" t="s">
        <v>29</v>
      </c>
      <c r="C98">
        <v>22</v>
      </c>
      <c r="D98">
        <v>0.1</v>
      </c>
      <c r="E98" t="s">
        <v>121</v>
      </c>
      <c r="F98" s="35">
        <v>43236</v>
      </c>
      <c r="G98">
        <v>6</v>
      </c>
      <c r="H98">
        <v>8.76</v>
      </c>
      <c r="I98">
        <v>192.72</v>
      </c>
      <c r="J98" s="35">
        <v>43236</v>
      </c>
      <c r="K98" s="48">
        <f t="shared" si="3"/>
        <v>13.200000000000003</v>
      </c>
      <c r="L98" s="48" t="str">
        <f t="shared" si="4"/>
        <v>qua</v>
      </c>
      <c r="M98" s="48" t="str">
        <f>VLOOKUP(A98,RECEITAS!A:B,2,FALSE)</f>
        <v>DIRETO</v>
      </c>
      <c r="N98" s="48" t="str">
        <f t="shared" si="5"/>
        <v>qua</v>
      </c>
      <c r="O98" s="35">
        <v>43236</v>
      </c>
    </row>
    <row r="99" spans="1:15" x14ac:dyDescent="0.3">
      <c r="A99" t="s">
        <v>28</v>
      </c>
      <c r="B99" t="s">
        <v>29</v>
      </c>
      <c r="C99">
        <v>1</v>
      </c>
      <c r="D99">
        <v>0.1</v>
      </c>
      <c r="E99" t="s">
        <v>121</v>
      </c>
      <c r="F99" s="35">
        <v>43236</v>
      </c>
      <c r="G99">
        <v>6</v>
      </c>
      <c r="H99">
        <v>10.8</v>
      </c>
      <c r="I99">
        <v>10.8</v>
      </c>
      <c r="J99" s="35">
        <v>43236</v>
      </c>
      <c r="K99" s="48">
        <f t="shared" si="3"/>
        <v>0.60000000000000009</v>
      </c>
      <c r="L99" s="48" t="str">
        <f t="shared" si="4"/>
        <v>qua</v>
      </c>
      <c r="M99" s="48" t="str">
        <f>VLOOKUP(A99,RECEITAS!A:B,2,FALSE)</f>
        <v>DIRETO</v>
      </c>
      <c r="N99" s="48" t="str">
        <f t="shared" si="5"/>
        <v>qua</v>
      </c>
      <c r="O99" s="35">
        <v>43236</v>
      </c>
    </row>
    <row r="100" spans="1:15" x14ac:dyDescent="0.3">
      <c r="A100" t="s">
        <v>27</v>
      </c>
      <c r="B100" t="s">
        <v>29</v>
      </c>
      <c r="C100">
        <v>8</v>
      </c>
      <c r="D100">
        <v>0.1</v>
      </c>
      <c r="E100" t="s">
        <v>146</v>
      </c>
      <c r="F100" s="35">
        <v>43236</v>
      </c>
      <c r="G100">
        <v>6</v>
      </c>
      <c r="H100">
        <v>8.76</v>
      </c>
      <c r="I100">
        <v>70.08</v>
      </c>
      <c r="J100" s="35">
        <v>43236</v>
      </c>
      <c r="K100" s="48">
        <f t="shared" si="3"/>
        <v>4.8000000000000007</v>
      </c>
      <c r="L100" s="48" t="str">
        <f t="shared" si="4"/>
        <v>qua</v>
      </c>
      <c r="M100" s="48" t="str">
        <f>VLOOKUP(A100,RECEITAS!A:B,2,FALSE)</f>
        <v>DIRETO</v>
      </c>
      <c r="N100" s="48" t="str">
        <f t="shared" si="5"/>
        <v>qua</v>
      </c>
      <c r="O100" s="35">
        <v>43236</v>
      </c>
    </row>
    <row r="101" spans="1:15" x14ac:dyDescent="0.3">
      <c r="A101" t="s">
        <v>27</v>
      </c>
      <c r="B101" t="s">
        <v>29</v>
      </c>
      <c r="C101">
        <v>1</v>
      </c>
      <c r="D101">
        <v>0.1</v>
      </c>
      <c r="E101" t="s">
        <v>147</v>
      </c>
      <c r="F101" s="35">
        <v>43236</v>
      </c>
      <c r="G101">
        <v>6</v>
      </c>
      <c r="H101">
        <v>9.7200000000000006</v>
      </c>
      <c r="I101">
        <v>9.7200000000000006</v>
      </c>
      <c r="J101" s="35">
        <v>43236</v>
      </c>
      <c r="K101" s="48">
        <f t="shared" si="3"/>
        <v>0.60000000000000009</v>
      </c>
      <c r="L101" s="48" t="str">
        <f t="shared" si="4"/>
        <v>qua</v>
      </c>
      <c r="M101" s="48" t="str">
        <f>VLOOKUP(A101,RECEITAS!A:B,2,FALSE)</f>
        <v>DIRETO</v>
      </c>
      <c r="N101" s="48" t="str">
        <f t="shared" si="5"/>
        <v>qua</v>
      </c>
      <c r="O101" s="35">
        <v>43236</v>
      </c>
    </row>
    <row r="102" spans="1:15" x14ac:dyDescent="0.3">
      <c r="A102" t="s">
        <v>25</v>
      </c>
      <c r="B102" t="s">
        <v>29</v>
      </c>
      <c r="C102">
        <v>1</v>
      </c>
      <c r="D102">
        <v>0.1</v>
      </c>
      <c r="E102" t="s">
        <v>147</v>
      </c>
      <c r="F102" s="35">
        <v>43236</v>
      </c>
      <c r="G102">
        <v>6</v>
      </c>
      <c r="H102">
        <v>9.7200000000000006</v>
      </c>
      <c r="I102">
        <v>9.7200000000000006</v>
      </c>
      <c r="J102" s="35">
        <v>43236</v>
      </c>
      <c r="K102" s="48">
        <f t="shared" si="3"/>
        <v>0.60000000000000009</v>
      </c>
      <c r="L102" s="48" t="str">
        <f t="shared" si="4"/>
        <v>qua</v>
      </c>
      <c r="M102" s="48" t="str">
        <f>VLOOKUP(A102,RECEITAS!A:B,2,FALSE)</f>
        <v>DIRETO</v>
      </c>
      <c r="N102" s="48" t="str">
        <f t="shared" si="5"/>
        <v>qua</v>
      </c>
      <c r="O102" s="35">
        <v>43236</v>
      </c>
    </row>
    <row r="103" spans="1:15" x14ac:dyDescent="0.3">
      <c r="A103" t="s">
        <v>74</v>
      </c>
      <c r="B103" t="s">
        <v>29</v>
      </c>
      <c r="C103">
        <v>1</v>
      </c>
      <c r="D103">
        <v>0.1</v>
      </c>
      <c r="E103" t="s">
        <v>147</v>
      </c>
      <c r="F103" s="35">
        <v>43236</v>
      </c>
      <c r="G103">
        <v>6</v>
      </c>
      <c r="H103">
        <v>9.6</v>
      </c>
      <c r="I103">
        <v>9.6</v>
      </c>
      <c r="J103" s="35">
        <v>43236</v>
      </c>
      <c r="K103" s="48">
        <f t="shared" si="3"/>
        <v>0.60000000000000009</v>
      </c>
      <c r="L103" s="48" t="str">
        <f t="shared" si="4"/>
        <v>qua</v>
      </c>
      <c r="M103" s="48" t="str">
        <f>VLOOKUP(A103,RECEITAS!A:B,2,FALSE)</f>
        <v>DIRETO</v>
      </c>
      <c r="N103" s="48" t="str">
        <f t="shared" si="5"/>
        <v>qua</v>
      </c>
      <c r="O103" s="35">
        <v>43236</v>
      </c>
    </row>
    <row r="104" spans="1:15" x14ac:dyDescent="0.3">
      <c r="A104" t="s">
        <v>34</v>
      </c>
      <c r="B104" t="s">
        <v>29</v>
      </c>
      <c r="C104">
        <v>1</v>
      </c>
      <c r="D104">
        <v>0.1</v>
      </c>
      <c r="E104" t="s">
        <v>147</v>
      </c>
      <c r="F104" s="35">
        <v>43236</v>
      </c>
      <c r="G104">
        <v>6</v>
      </c>
      <c r="H104">
        <v>10.8</v>
      </c>
      <c r="I104">
        <v>10.8</v>
      </c>
      <c r="J104" s="35">
        <v>43236</v>
      </c>
      <c r="K104" s="48">
        <f t="shared" si="3"/>
        <v>0.60000000000000009</v>
      </c>
      <c r="L104" s="48" t="str">
        <f t="shared" si="4"/>
        <v>qua</v>
      </c>
      <c r="M104" s="48" t="str">
        <f>VLOOKUP(A104,RECEITAS!A:B,2,FALSE)</f>
        <v>DIRETO</v>
      </c>
      <c r="N104" s="48" t="str">
        <f t="shared" si="5"/>
        <v>qua</v>
      </c>
      <c r="O104" s="35">
        <v>43236</v>
      </c>
    </row>
    <row r="105" spans="1:15" x14ac:dyDescent="0.3">
      <c r="A105" t="s">
        <v>27</v>
      </c>
      <c r="B105" t="s">
        <v>29</v>
      </c>
      <c r="C105">
        <v>1</v>
      </c>
      <c r="D105">
        <v>0.1</v>
      </c>
      <c r="E105" t="s">
        <v>147</v>
      </c>
      <c r="F105" s="35">
        <v>43236</v>
      </c>
      <c r="G105">
        <v>6</v>
      </c>
      <c r="H105">
        <v>8.76</v>
      </c>
      <c r="I105">
        <v>8.76</v>
      </c>
      <c r="J105" s="35">
        <v>43236</v>
      </c>
      <c r="K105" s="48">
        <f t="shared" si="3"/>
        <v>0.60000000000000009</v>
      </c>
      <c r="L105" s="48" t="str">
        <f t="shared" si="4"/>
        <v>qua</v>
      </c>
      <c r="M105" s="48" t="str">
        <f>VLOOKUP(A105,RECEITAS!A:B,2,FALSE)</f>
        <v>DIRETO</v>
      </c>
      <c r="N105" s="48" t="str">
        <f t="shared" si="5"/>
        <v>qua</v>
      </c>
      <c r="O105" s="35">
        <v>43236</v>
      </c>
    </row>
    <row r="106" spans="1:15" x14ac:dyDescent="0.3">
      <c r="A106" t="s">
        <v>75</v>
      </c>
      <c r="B106" t="s">
        <v>29</v>
      </c>
      <c r="C106">
        <v>1</v>
      </c>
      <c r="D106">
        <v>0.1</v>
      </c>
      <c r="E106" t="s">
        <v>147</v>
      </c>
      <c r="F106" s="35">
        <v>43236</v>
      </c>
      <c r="G106">
        <v>6</v>
      </c>
      <c r="H106">
        <v>9.6</v>
      </c>
      <c r="I106">
        <v>9.6</v>
      </c>
      <c r="J106" s="35">
        <v>43236</v>
      </c>
      <c r="K106" s="48">
        <f t="shared" si="3"/>
        <v>0.60000000000000009</v>
      </c>
      <c r="L106" s="48" t="str">
        <f t="shared" si="4"/>
        <v>qua</v>
      </c>
      <c r="M106" s="48" t="str">
        <f>VLOOKUP(A106,RECEITAS!A:B,2,FALSE)</f>
        <v>DIRETO</v>
      </c>
      <c r="N106" s="48" t="str">
        <f t="shared" si="5"/>
        <v>qua</v>
      </c>
      <c r="O106" s="35">
        <v>43236</v>
      </c>
    </row>
    <row r="107" spans="1:15" x14ac:dyDescent="0.3">
      <c r="A107" t="s">
        <v>76</v>
      </c>
      <c r="B107" t="s">
        <v>29</v>
      </c>
      <c r="C107">
        <v>1</v>
      </c>
      <c r="D107">
        <v>0.1</v>
      </c>
      <c r="E107" t="s">
        <v>147</v>
      </c>
      <c r="F107" s="35">
        <v>43236</v>
      </c>
      <c r="G107">
        <v>6</v>
      </c>
      <c r="H107">
        <v>10.8</v>
      </c>
      <c r="I107">
        <v>10.8</v>
      </c>
      <c r="J107" s="35">
        <v>43236</v>
      </c>
      <c r="K107" s="48">
        <f t="shared" si="3"/>
        <v>0.60000000000000009</v>
      </c>
      <c r="L107" s="48" t="str">
        <f t="shared" si="4"/>
        <v>qua</v>
      </c>
      <c r="M107" s="48" t="str">
        <f>VLOOKUP(A107,RECEITAS!A:B,2,FALSE)</f>
        <v>DIRETO</v>
      </c>
      <c r="N107" s="48" t="str">
        <f t="shared" si="5"/>
        <v>qua</v>
      </c>
      <c r="O107" s="35">
        <v>43236</v>
      </c>
    </row>
    <row r="108" spans="1:15" x14ac:dyDescent="0.3">
      <c r="A108" t="s">
        <v>28</v>
      </c>
      <c r="B108" t="s">
        <v>29</v>
      </c>
      <c r="C108">
        <v>1</v>
      </c>
      <c r="D108">
        <v>0.1</v>
      </c>
      <c r="E108" t="s">
        <v>147</v>
      </c>
      <c r="F108" s="35">
        <v>43236</v>
      </c>
      <c r="G108">
        <v>6</v>
      </c>
      <c r="H108">
        <v>10.8</v>
      </c>
      <c r="I108">
        <v>10.8</v>
      </c>
      <c r="J108" s="35">
        <v>43236</v>
      </c>
      <c r="K108" s="48">
        <f t="shared" si="3"/>
        <v>0.60000000000000009</v>
      </c>
      <c r="L108" s="48" t="str">
        <f t="shared" si="4"/>
        <v>qua</v>
      </c>
      <c r="M108" s="48" t="str">
        <f>VLOOKUP(A108,RECEITAS!A:B,2,FALSE)</f>
        <v>DIRETO</v>
      </c>
      <c r="N108" s="48" t="str">
        <f t="shared" si="5"/>
        <v>qua</v>
      </c>
      <c r="O108" s="35">
        <v>43236</v>
      </c>
    </row>
    <row r="109" spans="1:15" x14ac:dyDescent="0.3">
      <c r="A109" t="s">
        <v>34</v>
      </c>
      <c r="B109" t="s">
        <v>29</v>
      </c>
      <c r="C109">
        <v>3</v>
      </c>
      <c r="D109">
        <v>0.11</v>
      </c>
      <c r="E109" t="s">
        <v>113</v>
      </c>
      <c r="F109" s="35">
        <v>43236</v>
      </c>
      <c r="G109">
        <v>6</v>
      </c>
      <c r="H109">
        <v>10.8</v>
      </c>
      <c r="I109">
        <v>32.4</v>
      </c>
      <c r="J109" s="35">
        <v>43236</v>
      </c>
      <c r="K109" s="48">
        <f t="shared" si="3"/>
        <v>1.98</v>
      </c>
      <c r="L109" s="48" t="str">
        <f t="shared" si="4"/>
        <v>qua</v>
      </c>
      <c r="M109" s="48" t="str">
        <f>VLOOKUP(A109,RECEITAS!A:B,2,FALSE)</f>
        <v>DIRETO</v>
      </c>
      <c r="N109" s="48" t="str">
        <f t="shared" si="5"/>
        <v>qua</v>
      </c>
      <c r="O109" s="35">
        <v>43236</v>
      </c>
    </row>
    <row r="110" spans="1:15" x14ac:dyDescent="0.3">
      <c r="A110" t="s">
        <v>27</v>
      </c>
      <c r="B110" t="s">
        <v>29</v>
      </c>
      <c r="C110">
        <v>5</v>
      </c>
      <c r="D110">
        <v>0.1</v>
      </c>
      <c r="E110" t="s">
        <v>113</v>
      </c>
      <c r="F110" s="35">
        <v>43236</v>
      </c>
      <c r="G110">
        <v>6</v>
      </c>
      <c r="H110">
        <v>10.8</v>
      </c>
      <c r="I110">
        <v>54</v>
      </c>
      <c r="J110" s="35">
        <v>43236</v>
      </c>
      <c r="K110" s="48">
        <f t="shared" si="3"/>
        <v>3.0000000000000004</v>
      </c>
      <c r="L110" s="48" t="str">
        <f t="shared" si="4"/>
        <v>qua</v>
      </c>
      <c r="M110" s="48" t="str">
        <f>VLOOKUP(A110,RECEITAS!A:B,2,FALSE)</f>
        <v>DIRETO</v>
      </c>
      <c r="N110" s="48" t="str">
        <f t="shared" si="5"/>
        <v>qua</v>
      </c>
      <c r="O110" s="35">
        <v>43236</v>
      </c>
    </row>
    <row r="111" spans="1:15" x14ac:dyDescent="0.3">
      <c r="A111" t="s">
        <v>25</v>
      </c>
      <c r="B111" t="s">
        <v>29</v>
      </c>
      <c r="C111">
        <v>3</v>
      </c>
      <c r="D111">
        <v>0.1</v>
      </c>
      <c r="E111" t="s">
        <v>113</v>
      </c>
      <c r="F111" s="35">
        <v>43236</v>
      </c>
      <c r="G111">
        <v>6</v>
      </c>
      <c r="H111">
        <v>9.7200000000000006</v>
      </c>
      <c r="I111">
        <v>29.16</v>
      </c>
      <c r="J111" s="35">
        <v>43236</v>
      </c>
      <c r="K111" s="48">
        <f t="shared" si="3"/>
        <v>1.8000000000000003</v>
      </c>
      <c r="L111" s="48" t="str">
        <f t="shared" si="4"/>
        <v>qua</v>
      </c>
      <c r="M111" s="48" t="str">
        <f>VLOOKUP(A111,RECEITAS!A:B,2,FALSE)</f>
        <v>DIRETO</v>
      </c>
      <c r="N111" s="48" t="str">
        <f t="shared" si="5"/>
        <v>qua</v>
      </c>
      <c r="O111" s="35">
        <v>43236</v>
      </c>
    </row>
    <row r="112" spans="1:15" x14ac:dyDescent="0.3">
      <c r="A112" t="s">
        <v>27</v>
      </c>
      <c r="B112" t="s">
        <v>29</v>
      </c>
      <c r="C112">
        <v>5</v>
      </c>
      <c r="D112">
        <v>0.1</v>
      </c>
      <c r="E112" t="s">
        <v>113</v>
      </c>
      <c r="F112" s="35">
        <v>43236</v>
      </c>
      <c r="G112">
        <v>6</v>
      </c>
      <c r="H112">
        <v>8.76</v>
      </c>
      <c r="I112">
        <v>43.8</v>
      </c>
      <c r="J112" s="35">
        <v>43236</v>
      </c>
      <c r="K112" s="48">
        <f t="shared" si="3"/>
        <v>3.0000000000000004</v>
      </c>
      <c r="L112" s="48" t="str">
        <f t="shared" si="4"/>
        <v>qua</v>
      </c>
      <c r="M112" s="48" t="str">
        <f>VLOOKUP(A112,RECEITAS!A:B,2,FALSE)</f>
        <v>DIRETO</v>
      </c>
      <c r="N112" s="48" t="str">
        <f t="shared" si="5"/>
        <v>qua</v>
      </c>
      <c r="O112" s="35">
        <v>43236</v>
      </c>
    </row>
    <row r="113" spans="1:15" x14ac:dyDescent="0.3">
      <c r="A113" t="s">
        <v>51</v>
      </c>
      <c r="B113" t="s">
        <v>29</v>
      </c>
      <c r="C113">
        <v>8</v>
      </c>
      <c r="D113">
        <v>0.1</v>
      </c>
      <c r="E113" t="s">
        <v>148</v>
      </c>
      <c r="F113" s="35">
        <v>43235</v>
      </c>
      <c r="G113">
        <v>6</v>
      </c>
      <c r="H113">
        <v>8.34</v>
      </c>
      <c r="I113">
        <v>66.72</v>
      </c>
      <c r="J113" s="35">
        <v>43235</v>
      </c>
      <c r="K113" s="48">
        <f t="shared" si="3"/>
        <v>4.8000000000000007</v>
      </c>
      <c r="L113" s="48" t="str">
        <f t="shared" si="4"/>
        <v>ter</v>
      </c>
      <c r="M113" s="48" t="str">
        <f>VLOOKUP(A113,RECEITAS!A:B,2,FALSE)</f>
        <v>DIRETO</v>
      </c>
      <c r="N113" s="48" t="str">
        <f t="shared" si="5"/>
        <v>ter</v>
      </c>
      <c r="O113" s="35">
        <v>43235</v>
      </c>
    </row>
    <row r="114" spans="1:15" x14ac:dyDescent="0.3">
      <c r="A114" t="s">
        <v>25</v>
      </c>
      <c r="B114" t="s">
        <v>29</v>
      </c>
      <c r="C114">
        <v>7</v>
      </c>
      <c r="D114">
        <v>0.1</v>
      </c>
      <c r="E114" t="s">
        <v>46</v>
      </c>
      <c r="F114" s="35">
        <v>43237</v>
      </c>
      <c r="G114">
        <v>6</v>
      </c>
      <c r="H114">
        <v>9.7200000000000006</v>
      </c>
      <c r="I114">
        <v>68.040000000000006</v>
      </c>
      <c r="J114" s="35">
        <v>43237</v>
      </c>
      <c r="K114" s="48">
        <f t="shared" si="3"/>
        <v>4.2000000000000011</v>
      </c>
      <c r="L114" s="48" t="str">
        <f t="shared" si="4"/>
        <v>qui</v>
      </c>
      <c r="M114" s="48" t="str">
        <f>VLOOKUP(A114,RECEITAS!A:B,2,FALSE)</f>
        <v>DIRETO</v>
      </c>
      <c r="N114" s="48" t="str">
        <f t="shared" si="5"/>
        <v>qui</v>
      </c>
      <c r="O114" s="35">
        <v>43237</v>
      </c>
    </row>
    <row r="115" spans="1:15" x14ac:dyDescent="0.3">
      <c r="A115" t="s">
        <v>27</v>
      </c>
      <c r="B115" t="s">
        <v>29</v>
      </c>
      <c r="C115">
        <v>25</v>
      </c>
      <c r="D115">
        <v>0.1</v>
      </c>
      <c r="E115" t="s">
        <v>46</v>
      </c>
      <c r="F115" s="35">
        <v>43237</v>
      </c>
      <c r="G115">
        <v>6</v>
      </c>
      <c r="H115">
        <v>8.76</v>
      </c>
      <c r="I115">
        <v>219</v>
      </c>
      <c r="J115" s="35">
        <v>43237</v>
      </c>
      <c r="K115" s="48">
        <f t="shared" si="3"/>
        <v>15.000000000000002</v>
      </c>
      <c r="L115" s="48" t="str">
        <f t="shared" si="4"/>
        <v>qui</v>
      </c>
      <c r="M115" s="48" t="str">
        <f>VLOOKUP(A115,RECEITAS!A:B,2,FALSE)</f>
        <v>DIRETO</v>
      </c>
      <c r="N115" s="48" t="str">
        <f t="shared" si="5"/>
        <v>qui</v>
      </c>
      <c r="O115" s="35">
        <v>43237</v>
      </c>
    </row>
    <row r="116" spans="1:15" x14ac:dyDescent="0.3">
      <c r="A116" t="s">
        <v>27</v>
      </c>
      <c r="B116" t="s">
        <v>29</v>
      </c>
      <c r="C116">
        <v>2</v>
      </c>
      <c r="D116">
        <v>0.06</v>
      </c>
      <c r="E116" t="s">
        <v>46</v>
      </c>
      <c r="F116" s="35">
        <v>43237</v>
      </c>
      <c r="G116">
        <v>8</v>
      </c>
      <c r="H116">
        <v>5.36</v>
      </c>
      <c r="I116">
        <v>10.72</v>
      </c>
      <c r="J116" s="35">
        <v>43237</v>
      </c>
      <c r="K116" s="48">
        <f t="shared" si="3"/>
        <v>0.96</v>
      </c>
      <c r="L116" s="48" t="str">
        <f t="shared" si="4"/>
        <v>qui</v>
      </c>
      <c r="M116" s="48" t="str">
        <f>VLOOKUP(A116,RECEITAS!A:B,2,FALSE)</f>
        <v>DIRETO</v>
      </c>
      <c r="N116" s="48" t="str">
        <f t="shared" si="5"/>
        <v>qui</v>
      </c>
      <c r="O116" s="35">
        <v>43237</v>
      </c>
    </row>
    <row r="117" spans="1:15" x14ac:dyDescent="0.3">
      <c r="A117" t="s">
        <v>28</v>
      </c>
      <c r="B117" t="s">
        <v>29</v>
      </c>
      <c r="C117">
        <v>2</v>
      </c>
      <c r="D117">
        <v>0.1</v>
      </c>
      <c r="E117" t="s">
        <v>46</v>
      </c>
      <c r="F117" s="35">
        <v>43237</v>
      </c>
      <c r="G117">
        <v>6</v>
      </c>
      <c r="H117">
        <v>10.8</v>
      </c>
      <c r="I117">
        <v>21.6</v>
      </c>
      <c r="J117" s="35">
        <v>43237</v>
      </c>
      <c r="K117" s="48">
        <f t="shared" si="3"/>
        <v>1.2000000000000002</v>
      </c>
      <c r="L117" s="48" t="str">
        <f t="shared" si="4"/>
        <v>qui</v>
      </c>
      <c r="M117" s="48" t="str">
        <f>VLOOKUP(A117,RECEITAS!A:B,2,FALSE)</f>
        <v>DIRETO</v>
      </c>
      <c r="N117" s="48" t="str">
        <f t="shared" si="5"/>
        <v>qui</v>
      </c>
      <c r="O117" s="35">
        <v>43237</v>
      </c>
    </row>
    <row r="118" spans="1:15" x14ac:dyDescent="0.3">
      <c r="A118" t="s">
        <v>66</v>
      </c>
      <c r="B118" t="s">
        <v>29</v>
      </c>
      <c r="C118">
        <v>3</v>
      </c>
      <c r="D118">
        <v>0.03</v>
      </c>
      <c r="E118" t="s">
        <v>89</v>
      </c>
      <c r="F118" s="35">
        <v>43237</v>
      </c>
      <c r="G118">
        <v>15</v>
      </c>
      <c r="H118">
        <v>2</v>
      </c>
      <c r="I118">
        <v>6</v>
      </c>
      <c r="J118" s="35">
        <v>43237</v>
      </c>
      <c r="K118" s="48">
        <f t="shared" si="3"/>
        <v>1.3499999999999999</v>
      </c>
      <c r="L118" s="48" t="str">
        <f t="shared" si="4"/>
        <v>qui</v>
      </c>
      <c r="M118" s="48" t="str">
        <f>VLOOKUP(A118,RECEITAS!A:B,2,FALSE)</f>
        <v>DIRETO</v>
      </c>
      <c r="N118" s="48" t="str">
        <f t="shared" si="5"/>
        <v>qui</v>
      </c>
      <c r="O118" s="35">
        <v>43237</v>
      </c>
    </row>
    <row r="119" spans="1:15" x14ac:dyDescent="0.3">
      <c r="A119" t="s">
        <v>38</v>
      </c>
      <c r="B119" t="s">
        <v>29</v>
      </c>
      <c r="C119">
        <v>6</v>
      </c>
      <c r="D119">
        <v>0.1</v>
      </c>
      <c r="E119" t="s">
        <v>149</v>
      </c>
      <c r="F119" s="35">
        <v>43237</v>
      </c>
      <c r="G119">
        <v>6</v>
      </c>
      <c r="H119">
        <v>9.1199999999999992</v>
      </c>
      <c r="I119">
        <v>54.72</v>
      </c>
      <c r="J119" s="35">
        <v>43237</v>
      </c>
      <c r="K119" s="48">
        <f t="shared" si="3"/>
        <v>3.6000000000000005</v>
      </c>
      <c r="L119" s="48" t="str">
        <f t="shared" si="4"/>
        <v>qui</v>
      </c>
      <c r="M119" s="48" t="str">
        <f>VLOOKUP(A119,RECEITAS!A:B,2,FALSE)</f>
        <v>DIRETO</v>
      </c>
      <c r="N119" s="48" t="str">
        <f t="shared" si="5"/>
        <v>qui</v>
      </c>
      <c r="O119" s="35">
        <v>43237</v>
      </c>
    </row>
    <row r="120" spans="1:15" x14ac:dyDescent="0.3">
      <c r="A120" t="s">
        <v>27</v>
      </c>
      <c r="B120" t="s">
        <v>29</v>
      </c>
      <c r="C120">
        <v>4</v>
      </c>
      <c r="D120">
        <v>0.12</v>
      </c>
      <c r="E120" t="s">
        <v>150</v>
      </c>
      <c r="F120" s="35">
        <v>43237</v>
      </c>
      <c r="G120">
        <v>5</v>
      </c>
      <c r="H120">
        <v>9.75</v>
      </c>
      <c r="I120">
        <v>39</v>
      </c>
      <c r="J120" s="35">
        <v>43237</v>
      </c>
      <c r="K120" s="48">
        <f t="shared" si="3"/>
        <v>2.4</v>
      </c>
      <c r="L120" s="48" t="str">
        <f t="shared" si="4"/>
        <v>qui</v>
      </c>
      <c r="M120" s="48" t="str">
        <f>VLOOKUP(A120,RECEITAS!A:B,2,FALSE)</f>
        <v>DIRETO</v>
      </c>
      <c r="N120" s="48" t="str">
        <f t="shared" si="5"/>
        <v>qui</v>
      </c>
      <c r="O120" s="35">
        <v>43237</v>
      </c>
    </row>
    <row r="121" spans="1:15" x14ac:dyDescent="0.3">
      <c r="A121" t="s">
        <v>34</v>
      </c>
      <c r="B121" t="s">
        <v>29</v>
      </c>
      <c r="C121">
        <v>4</v>
      </c>
      <c r="D121">
        <v>0.12</v>
      </c>
      <c r="E121" t="s">
        <v>150</v>
      </c>
      <c r="F121" s="35">
        <v>43237</v>
      </c>
      <c r="G121">
        <v>5</v>
      </c>
      <c r="H121">
        <v>9</v>
      </c>
      <c r="I121">
        <v>36</v>
      </c>
      <c r="J121" s="35">
        <v>43237</v>
      </c>
      <c r="K121" s="48">
        <f t="shared" si="3"/>
        <v>2.4</v>
      </c>
      <c r="L121" s="48" t="str">
        <f t="shared" si="4"/>
        <v>qui</v>
      </c>
      <c r="M121" s="48" t="str">
        <f>VLOOKUP(A121,RECEITAS!A:B,2,FALSE)</f>
        <v>DIRETO</v>
      </c>
      <c r="N121" s="48" t="str">
        <f t="shared" si="5"/>
        <v>qui</v>
      </c>
      <c r="O121" s="35">
        <v>43237</v>
      </c>
    </row>
    <row r="122" spans="1:15" x14ac:dyDescent="0.3">
      <c r="A122" t="s">
        <v>49</v>
      </c>
      <c r="B122" t="s">
        <v>29</v>
      </c>
      <c r="C122">
        <v>25</v>
      </c>
      <c r="D122">
        <v>0.1</v>
      </c>
      <c r="E122" t="s">
        <v>138</v>
      </c>
      <c r="F122" s="35">
        <v>43236</v>
      </c>
      <c r="G122">
        <v>6</v>
      </c>
      <c r="H122">
        <v>9</v>
      </c>
      <c r="I122">
        <v>225</v>
      </c>
      <c r="J122" s="35">
        <v>43237</v>
      </c>
      <c r="K122" s="48">
        <f t="shared" si="3"/>
        <v>15.000000000000002</v>
      </c>
      <c r="L122" s="48" t="str">
        <f t="shared" si="4"/>
        <v>qua</v>
      </c>
      <c r="M122" s="48" t="str">
        <f>VLOOKUP(A122,RECEITAS!A:B,2,FALSE)</f>
        <v>DIRETO</v>
      </c>
      <c r="N122" s="48" t="str">
        <f t="shared" si="5"/>
        <v>qui</v>
      </c>
      <c r="O122" s="35">
        <v>43236</v>
      </c>
    </row>
    <row r="123" spans="1:15" x14ac:dyDescent="0.3">
      <c r="A123" t="s">
        <v>52</v>
      </c>
      <c r="B123" t="s">
        <v>29</v>
      </c>
      <c r="C123">
        <v>8</v>
      </c>
      <c r="D123">
        <v>0.1</v>
      </c>
      <c r="E123" t="s">
        <v>138</v>
      </c>
      <c r="F123" s="35">
        <v>43236</v>
      </c>
      <c r="G123">
        <v>6</v>
      </c>
      <c r="H123">
        <v>9</v>
      </c>
      <c r="I123">
        <v>72</v>
      </c>
      <c r="J123" s="35">
        <v>43237</v>
      </c>
      <c r="K123" s="48">
        <f t="shared" si="3"/>
        <v>4.8000000000000007</v>
      </c>
      <c r="L123" s="48" t="str">
        <f t="shared" si="4"/>
        <v>qua</v>
      </c>
      <c r="M123" s="48" t="str">
        <f>VLOOKUP(A123,RECEITAS!A:B,2,FALSE)</f>
        <v>DIRETO</v>
      </c>
      <c r="N123" s="48" t="str">
        <f t="shared" si="5"/>
        <v>qui</v>
      </c>
      <c r="O123" s="35">
        <v>43236</v>
      </c>
    </row>
    <row r="124" spans="1:15" x14ac:dyDescent="0.3">
      <c r="A124" t="s">
        <v>48</v>
      </c>
      <c r="B124" t="s">
        <v>29</v>
      </c>
      <c r="C124">
        <v>15</v>
      </c>
      <c r="D124">
        <v>0.1</v>
      </c>
      <c r="E124" t="s">
        <v>138</v>
      </c>
      <c r="F124" s="35">
        <v>43236</v>
      </c>
      <c r="G124">
        <v>6</v>
      </c>
      <c r="H124">
        <v>9</v>
      </c>
      <c r="I124">
        <v>135</v>
      </c>
      <c r="J124" s="35">
        <v>43237</v>
      </c>
      <c r="K124" s="48">
        <f t="shared" si="3"/>
        <v>9.0000000000000018</v>
      </c>
      <c r="L124" s="48" t="str">
        <f t="shared" si="4"/>
        <v>qua</v>
      </c>
      <c r="M124" s="48" t="str">
        <f>VLOOKUP(A124,RECEITAS!A:B,2,FALSE)</f>
        <v>DIRETO</v>
      </c>
      <c r="N124" s="48" t="str">
        <f t="shared" si="5"/>
        <v>qui</v>
      </c>
      <c r="O124" s="35">
        <v>43236</v>
      </c>
    </row>
    <row r="125" spans="1:15" x14ac:dyDescent="0.3">
      <c r="A125" t="s">
        <v>49</v>
      </c>
      <c r="B125" t="s">
        <v>29</v>
      </c>
      <c r="C125">
        <v>25</v>
      </c>
      <c r="D125">
        <v>0.1</v>
      </c>
      <c r="E125" t="s">
        <v>136</v>
      </c>
      <c r="F125" s="35">
        <v>43236</v>
      </c>
      <c r="G125">
        <v>6</v>
      </c>
      <c r="H125">
        <v>9</v>
      </c>
      <c r="I125">
        <v>225</v>
      </c>
      <c r="J125" s="35">
        <v>43237</v>
      </c>
      <c r="K125" s="48">
        <f t="shared" si="3"/>
        <v>15.000000000000002</v>
      </c>
      <c r="L125" s="48" t="str">
        <f t="shared" si="4"/>
        <v>qua</v>
      </c>
      <c r="M125" s="48" t="str">
        <f>VLOOKUP(A125,RECEITAS!A:B,2,FALSE)</f>
        <v>DIRETO</v>
      </c>
      <c r="N125" s="48" t="str">
        <f t="shared" si="5"/>
        <v>qui</v>
      </c>
      <c r="O125" s="35">
        <v>43236</v>
      </c>
    </row>
    <row r="126" spans="1:15" x14ac:dyDescent="0.3">
      <c r="A126" t="s">
        <v>48</v>
      </c>
      <c r="B126" t="s">
        <v>29</v>
      </c>
      <c r="C126">
        <v>5</v>
      </c>
      <c r="D126">
        <v>0.1</v>
      </c>
      <c r="E126" t="s">
        <v>136</v>
      </c>
      <c r="F126" s="35">
        <v>43236</v>
      </c>
      <c r="G126">
        <v>6</v>
      </c>
      <c r="H126">
        <v>9</v>
      </c>
      <c r="I126">
        <v>45</v>
      </c>
      <c r="J126" s="35">
        <v>43237</v>
      </c>
      <c r="K126" s="48">
        <f t="shared" si="3"/>
        <v>3.0000000000000004</v>
      </c>
      <c r="L126" s="48" t="str">
        <f t="shared" si="4"/>
        <v>qua</v>
      </c>
      <c r="M126" s="48" t="str">
        <f>VLOOKUP(A126,RECEITAS!A:B,2,FALSE)</f>
        <v>DIRETO</v>
      </c>
      <c r="N126" s="48" t="str">
        <f t="shared" si="5"/>
        <v>qui</v>
      </c>
      <c r="O126" s="35">
        <v>43236</v>
      </c>
    </row>
    <row r="127" spans="1:15" x14ac:dyDescent="0.3">
      <c r="A127" t="s">
        <v>27</v>
      </c>
      <c r="B127" t="s">
        <v>29</v>
      </c>
      <c r="C127">
        <v>20</v>
      </c>
      <c r="D127">
        <v>0.08</v>
      </c>
      <c r="E127" t="s">
        <v>151</v>
      </c>
      <c r="F127" s="35">
        <v>43236</v>
      </c>
      <c r="G127">
        <v>6</v>
      </c>
      <c r="H127">
        <v>5.58</v>
      </c>
      <c r="I127">
        <v>111.6</v>
      </c>
      <c r="J127" s="35">
        <v>43237</v>
      </c>
      <c r="K127" s="48">
        <f t="shared" si="3"/>
        <v>9.6</v>
      </c>
      <c r="L127" s="48" t="str">
        <f t="shared" si="4"/>
        <v>qua</v>
      </c>
      <c r="M127" s="48" t="str">
        <f>VLOOKUP(A127,RECEITAS!A:B,2,FALSE)</f>
        <v>DIRETO</v>
      </c>
      <c r="N127" s="48" t="str">
        <f t="shared" si="5"/>
        <v>qui</v>
      </c>
      <c r="O127" s="35">
        <v>43236</v>
      </c>
    </row>
    <row r="128" spans="1:15" x14ac:dyDescent="0.3">
      <c r="A128" t="s">
        <v>51</v>
      </c>
      <c r="B128" t="s">
        <v>29</v>
      </c>
      <c r="C128">
        <v>3</v>
      </c>
      <c r="D128">
        <v>0.03</v>
      </c>
      <c r="E128" t="s">
        <v>151</v>
      </c>
      <c r="F128" s="35">
        <v>43236</v>
      </c>
      <c r="G128">
        <v>15</v>
      </c>
      <c r="H128">
        <v>7.5</v>
      </c>
      <c r="I128">
        <v>22.5</v>
      </c>
      <c r="J128" s="35">
        <v>43237</v>
      </c>
      <c r="K128" s="48">
        <f t="shared" si="3"/>
        <v>1.3499999999999999</v>
      </c>
      <c r="L128" s="48" t="str">
        <f t="shared" si="4"/>
        <v>qua</v>
      </c>
      <c r="M128" s="48" t="str">
        <f>VLOOKUP(A128,RECEITAS!A:B,2,FALSE)</f>
        <v>DIRETO</v>
      </c>
      <c r="N128" s="48" t="str">
        <f t="shared" si="5"/>
        <v>qui</v>
      </c>
      <c r="O128" s="35">
        <v>43236</v>
      </c>
    </row>
    <row r="129" spans="1:15" x14ac:dyDescent="0.3">
      <c r="A129" t="s">
        <v>25</v>
      </c>
      <c r="B129" t="s">
        <v>29</v>
      </c>
      <c r="C129">
        <v>7</v>
      </c>
      <c r="D129">
        <v>0.1</v>
      </c>
      <c r="E129" t="s">
        <v>152</v>
      </c>
      <c r="F129" s="35">
        <v>43237</v>
      </c>
      <c r="G129">
        <v>6</v>
      </c>
      <c r="H129">
        <v>9.7200000000000006</v>
      </c>
      <c r="I129">
        <v>68.040000000000006</v>
      </c>
      <c r="J129" s="35">
        <v>43237</v>
      </c>
      <c r="K129" s="48">
        <f t="shared" si="3"/>
        <v>4.2000000000000011</v>
      </c>
      <c r="L129" s="48" t="str">
        <f t="shared" si="4"/>
        <v>qui</v>
      </c>
      <c r="M129" s="48" t="str">
        <f>VLOOKUP(A129,RECEITAS!A:B,2,FALSE)</f>
        <v>DIRETO</v>
      </c>
      <c r="N129" s="48" t="str">
        <f t="shared" si="5"/>
        <v>qui</v>
      </c>
      <c r="O129" s="35">
        <v>43237</v>
      </c>
    </row>
    <row r="130" spans="1:15" x14ac:dyDescent="0.3">
      <c r="A130" t="s">
        <v>27</v>
      </c>
      <c r="B130" t="s">
        <v>29</v>
      </c>
      <c r="C130">
        <v>16</v>
      </c>
      <c r="D130">
        <v>0.1</v>
      </c>
      <c r="E130" t="s">
        <v>152</v>
      </c>
      <c r="F130" s="35">
        <v>43237</v>
      </c>
      <c r="G130">
        <v>6</v>
      </c>
      <c r="H130">
        <v>8.76</v>
      </c>
      <c r="I130">
        <v>140.16</v>
      </c>
      <c r="J130" s="35">
        <v>43237</v>
      </c>
      <c r="K130" s="48">
        <f t="shared" si="3"/>
        <v>9.6000000000000014</v>
      </c>
      <c r="L130" s="48" t="str">
        <f t="shared" si="4"/>
        <v>qui</v>
      </c>
      <c r="M130" s="48" t="str">
        <f>VLOOKUP(A130,RECEITAS!A:B,2,FALSE)</f>
        <v>DIRETO</v>
      </c>
      <c r="N130" s="48" t="str">
        <f t="shared" si="5"/>
        <v>qui</v>
      </c>
      <c r="O130" s="35">
        <v>43237</v>
      </c>
    </row>
    <row r="131" spans="1:15" x14ac:dyDescent="0.3">
      <c r="A131" t="s">
        <v>34</v>
      </c>
      <c r="B131" t="s">
        <v>29</v>
      </c>
      <c r="C131">
        <v>7</v>
      </c>
      <c r="D131">
        <v>0.11</v>
      </c>
      <c r="E131" t="s">
        <v>100</v>
      </c>
      <c r="F131" s="35">
        <v>43237</v>
      </c>
      <c r="G131">
        <v>6</v>
      </c>
      <c r="H131">
        <v>10.8</v>
      </c>
      <c r="I131">
        <v>75.599999999999994</v>
      </c>
      <c r="J131" s="35">
        <v>43237</v>
      </c>
      <c r="K131" s="48">
        <f t="shared" ref="K131:K194" si="6">G131*D131*C131</f>
        <v>4.62</v>
      </c>
      <c r="L131" s="48" t="str">
        <f t="shared" ref="L131:L194" si="7">IF(F131=0,"",TEXT(F131,"DDD"))</f>
        <v>qui</v>
      </c>
      <c r="M131" s="48" t="str">
        <f>VLOOKUP(A131,RECEITAS!A:B,2,FALSE)</f>
        <v>DIRETO</v>
      </c>
      <c r="N131" s="48" t="str">
        <f t="shared" ref="N131:N194" si="8">IF(J131=0,"",TEXT(J131,"ddd"))</f>
        <v>qui</v>
      </c>
      <c r="O131" s="35">
        <v>43237</v>
      </c>
    </row>
    <row r="132" spans="1:15" x14ac:dyDescent="0.3">
      <c r="A132" t="s">
        <v>27</v>
      </c>
      <c r="B132" t="s">
        <v>29</v>
      </c>
      <c r="C132">
        <v>18</v>
      </c>
      <c r="D132">
        <v>0.1</v>
      </c>
      <c r="E132" t="s">
        <v>153</v>
      </c>
      <c r="F132" s="35">
        <v>43237</v>
      </c>
      <c r="G132">
        <v>6</v>
      </c>
      <c r="H132">
        <v>8.76</v>
      </c>
      <c r="I132">
        <v>157.68</v>
      </c>
      <c r="J132" s="35">
        <v>43237</v>
      </c>
      <c r="K132" s="48">
        <f t="shared" si="6"/>
        <v>10.8</v>
      </c>
      <c r="L132" s="48" t="str">
        <f t="shared" si="7"/>
        <v>qui</v>
      </c>
      <c r="M132" s="48" t="str">
        <f>VLOOKUP(A132,RECEITAS!A:B,2,FALSE)</f>
        <v>DIRETO</v>
      </c>
      <c r="N132" s="48" t="str">
        <f t="shared" si="8"/>
        <v>qui</v>
      </c>
      <c r="O132" s="35">
        <v>43237</v>
      </c>
    </row>
    <row r="133" spans="1:15" x14ac:dyDescent="0.3">
      <c r="A133" t="s">
        <v>27</v>
      </c>
      <c r="B133" t="s">
        <v>29</v>
      </c>
      <c r="C133">
        <v>25</v>
      </c>
      <c r="D133">
        <v>0.1</v>
      </c>
      <c r="E133" t="s">
        <v>134</v>
      </c>
      <c r="F133" s="35">
        <v>43237</v>
      </c>
      <c r="G133">
        <v>6</v>
      </c>
      <c r="H133">
        <v>8.76</v>
      </c>
      <c r="I133">
        <v>219</v>
      </c>
      <c r="J133" s="35">
        <v>43237</v>
      </c>
      <c r="K133" s="48">
        <f t="shared" si="6"/>
        <v>15.000000000000002</v>
      </c>
      <c r="L133" s="48" t="str">
        <f t="shared" si="7"/>
        <v>qui</v>
      </c>
      <c r="M133" s="48" t="str">
        <f>VLOOKUP(A133,RECEITAS!A:B,2,FALSE)</f>
        <v>DIRETO</v>
      </c>
      <c r="N133" s="48" t="str">
        <f t="shared" si="8"/>
        <v>qui</v>
      </c>
      <c r="O133" s="35">
        <v>43237</v>
      </c>
    </row>
    <row r="134" spans="1:15" x14ac:dyDescent="0.3">
      <c r="A134" t="s">
        <v>65</v>
      </c>
      <c r="B134" t="s">
        <v>29</v>
      </c>
      <c r="C134">
        <v>5</v>
      </c>
      <c r="D134">
        <v>0.08</v>
      </c>
      <c r="E134" t="s">
        <v>139</v>
      </c>
      <c r="F134" s="35">
        <v>43237</v>
      </c>
      <c r="G134">
        <v>6</v>
      </c>
      <c r="H134">
        <v>9.1199999999999992</v>
      </c>
      <c r="I134">
        <v>45.6</v>
      </c>
      <c r="J134" s="35">
        <v>43237</v>
      </c>
      <c r="K134" s="48">
        <f t="shared" si="6"/>
        <v>2.4</v>
      </c>
      <c r="L134" s="48" t="str">
        <f t="shared" si="7"/>
        <v>qui</v>
      </c>
      <c r="M134" s="48" t="str">
        <f>VLOOKUP(A134,RECEITAS!A:B,2,FALSE)</f>
        <v>DIRETO</v>
      </c>
      <c r="N134" s="48" t="str">
        <f t="shared" si="8"/>
        <v>qui</v>
      </c>
      <c r="O134" s="35">
        <v>43237</v>
      </c>
    </row>
    <row r="135" spans="1:15" x14ac:dyDescent="0.3">
      <c r="A135" t="s">
        <v>27</v>
      </c>
      <c r="B135" t="s">
        <v>29</v>
      </c>
      <c r="C135">
        <v>36</v>
      </c>
      <c r="D135">
        <v>0.08</v>
      </c>
      <c r="E135" t="s">
        <v>139</v>
      </c>
      <c r="F135" s="35">
        <v>43237</v>
      </c>
      <c r="G135">
        <v>6</v>
      </c>
      <c r="H135">
        <v>7.38</v>
      </c>
      <c r="I135">
        <v>265.68</v>
      </c>
      <c r="J135" s="35">
        <v>43237</v>
      </c>
      <c r="K135" s="48">
        <f t="shared" si="6"/>
        <v>17.28</v>
      </c>
      <c r="L135" s="48" t="str">
        <f t="shared" si="7"/>
        <v>qui</v>
      </c>
      <c r="M135" s="48" t="str">
        <f>VLOOKUP(A135,RECEITAS!A:B,2,FALSE)</f>
        <v>DIRETO</v>
      </c>
      <c r="N135" s="48" t="str">
        <f t="shared" si="8"/>
        <v>qui</v>
      </c>
      <c r="O135" s="35">
        <v>43237</v>
      </c>
    </row>
    <row r="136" spans="1:15" x14ac:dyDescent="0.3">
      <c r="A136" t="s">
        <v>27</v>
      </c>
      <c r="B136" t="s">
        <v>29</v>
      </c>
      <c r="C136">
        <v>1</v>
      </c>
      <c r="D136">
        <v>0.08</v>
      </c>
      <c r="E136" t="s">
        <v>139</v>
      </c>
      <c r="F136" s="35">
        <v>43237</v>
      </c>
      <c r="G136">
        <v>6</v>
      </c>
      <c r="H136">
        <v>10.199999999999999</v>
      </c>
      <c r="I136">
        <v>10.199999999999999</v>
      </c>
      <c r="J136" s="35">
        <v>43237</v>
      </c>
      <c r="K136" s="48">
        <f t="shared" si="6"/>
        <v>0.48</v>
      </c>
      <c r="L136" s="48" t="str">
        <f t="shared" si="7"/>
        <v>qui</v>
      </c>
      <c r="M136" s="48" t="str">
        <f>VLOOKUP(A136,RECEITAS!A:B,2,FALSE)</f>
        <v>DIRETO</v>
      </c>
      <c r="N136" s="48" t="str">
        <f t="shared" si="8"/>
        <v>qui</v>
      </c>
      <c r="O136" s="35">
        <v>43237</v>
      </c>
    </row>
    <row r="137" spans="1:15" x14ac:dyDescent="0.3">
      <c r="A137" t="s">
        <v>34</v>
      </c>
      <c r="B137" t="s">
        <v>29</v>
      </c>
      <c r="C137">
        <v>6</v>
      </c>
      <c r="D137">
        <v>0.1</v>
      </c>
      <c r="E137" t="s">
        <v>96</v>
      </c>
      <c r="F137" s="35">
        <v>43237</v>
      </c>
      <c r="G137">
        <v>6</v>
      </c>
      <c r="H137">
        <v>10.8</v>
      </c>
      <c r="I137">
        <v>64.8</v>
      </c>
      <c r="J137" s="35">
        <v>43237</v>
      </c>
      <c r="K137" s="48">
        <f t="shared" si="6"/>
        <v>3.6000000000000005</v>
      </c>
      <c r="L137" s="48" t="str">
        <f t="shared" si="7"/>
        <v>qui</v>
      </c>
      <c r="M137" s="48" t="str">
        <f>VLOOKUP(A137,RECEITAS!A:B,2,FALSE)</f>
        <v>DIRETO</v>
      </c>
      <c r="N137" s="48" t="str">
        <f t="shared" si="8"/>
        <v>qui</v>
      </c>
      <c r="O137" s="35">
        <v>43237</v>
      </c>
    </row>
    <row r="138" spans="1:15" x14ac:dyDescent="0.3">
      <c r="A138" t="s">
        <v>27</v>
      </c>
      <c r="B138" t="s">
        <v>29</v>
      </c>
      <c r="C138">
        <v>7</v>
      </c>
      <c r="D138">
        <v>0.1</v>
      </c>
      <c r="E138" t="s">
        <v>96</v>
      </c>
      <c r="F138" s="35">
        <v>43237</v>
      </c>
      <c r="G138">
        <v>6</v>
      </c>
      <c r="H138">
        <v>8.76</v>
      </c>
      <c r="I138">
        <v>61.32</v>
      </c>
      <c r="J138" s="35">
        <v>43237</v>
      </c>
      <c r="K138" s="48">
        <f t="shared" si="6"/>
        <v>4.2000000000000011</v>
      </c>
      <c r="L138" s="48" t="str">
        <f t="shared" si="7"/>
        <v>qui</v>
      </c>
      <c r="M138" s="48" t="str">
        <f>VLOOKUP(A138,RECEITAS!A:B,2,FALSE)</f>
        <v>DIRETO</v>
      </c>
      <c r="N138" s="48" t="str">
        <f t="shared" si="8"/>
        <v>qui</v>
      </c>
      <c r="O138" s="35">
        <v>43237</v>
      </c>
    </row>
    <row r="139" spans="1:15" x14ac:dyDescent="0.3">
      <c r="A139" t="s">
        <v>27</v>
      </c>
      <c r="B139" t="s">
        <v>26</v>
      </c>
      <c r="C139">
        <v>5</v>
      </c>
      <c r="D139">
        <v>0.14000000000000001</v>
      </c>
      <c r="E139" t="s">
        <v>140</v>
      </c>
      <c r="F139" s="35">
        <v>43237</v>
      </c>
      <c r="G139">
        <v>4</v>
      </c>
      <c r="H139">
        <v>6.5</v>
      </c>
      <c r="I139">
        <v>32.5</v>
      </c>
      <c r="J139" s="35">
        <v>43237</v>
      </c>
      <c r="K139" s="48">
        <f t="shared" si="6"/>
        <v>2.8000000000000003</v>
      </c>
      <c r="L139" s="48" t="str">
        <f t="shared" si="7"/>
        <v>qui</v>
      </c>
      <c r="M139" s="48" t="str">
        <f>VLOOKUP(A139,RECEITAS!A:B,2,FALSE)</f>
        <v>DIRETO</v>
      </c>
      <c r="N139" s="48" t="str">
        <f t="shared" si="8"/>
        <v>qui</v>
      </c>
      <c r="O139" s="35">
        <v>43237</v>
      </c>
    </row>
    <row r="140" spans="1:15" x14ac:dyDescent="0.3">
      <c r="A140" t="s">
        <v>27</v>
      </c>
      <c r="B140" t="s">
        <v>29</v>
      </c>
      <c r="C140">
        <v>30</v>
      </c>
      <c r="D140">
        <v>0.12</v>
      </c>
      <c r="E140" t="s">
        <v>140</v>
      </c>
      <c r="F140" s="35">
        <v>43237</v>
      </c>
      <c r="G140">
        <v>5</v>
      </c>
      <c r="H140">
        <v>9</v>
      </c>
      <c r="I140">
        <v>270</v>
      </c>
      <c r="J140" s="35">
        <v>43237</v>
      </c>
      <c r="K140" s="48">
        <f t="shared" si="6"/>
        <v>18</v>
      </c>
      <c r="L140" s="48" t="str">
        <f t="shared" si="7"/>
        <v>qui</v>
      </c>
      <c r="M140" s="48" t="str">
        <f>VLOOKUP(A140,RECEITAS!A:B,2,FALSE)</f>
        <v>DIRETO</v>
      </c>
      <c r="N140" s="48" t="str">
        <f t="shared" si="8"/>
        <v>qui</v>
      </c>
      <c r="O140" s="35">
        <v>43237</v>
      </c>
    </row>
    <row r="141" spans="1:15" x14ac:dyDescent="0.3">
      <c r="A141" t="s">
        <v>25</v>
      </c>
      <c r="B141" t="s">
        <v>29</v>
      </c>
      <c r="C141">
        <v>2</v>
      </c>
      <c r="D141">
        <v>0.12</v>
      </c>
      <c r="E141" t="s">
        <v>140</v>
      </c>
      <c r="F141" s="35">
        <v>43237</v>
      </c>
      <c r="G141">
        <v>5</v>
      </c>
      <c r="H141">
        <v>8</v>
      </c>
      <c r="I141">
        <v>16</v>
      </c>
      <c r="J141" s="35">
        <v>43237</v>
      </c>
      <c r="K141" s="48">
        <f t="shared" si="6"/>
        <v>1.2</v>
      </c>
      <c r="L141" s="48" t="str">
        <f t="shared" si="7"/>
        <v>qui</v>
      </c>
      <c r="M141" s="48" t="str">
        <f>VLOOKUP(A141,RECEITAS!A:B,2,FALSE)</f>
        <v>DIRETO</v>
      </c>
      <c r="N141" s="48" t="str">
        <f t="shared" si="8"/>
        <v>qui</v>
      </c>
      <c r="O141" s="35">
        <v>43237</v>
      </c>
    </row>
    <row r="142" spans="1:15" x14ac:dyDescent="0.3">
      <c r="A142" t="s">
        <v>62</v>
      </c>
      <c r="B142" t="s">
        <v>37</v>
      </c>
      <c r="C142">
        <v>2</v>
      </c>
      <c r="D142">
        <v>0.2</v>
      </c>
      <c r="E142" t="s">
        <v>101</v>
      </c>
      <c r="F142" s="35">
        <v>43237</v>
      </c>
      <c r="G142">
        <v>6</v>
      </c>
      <c r="H142">
        <v>14.88</v>
      </c>
      <c r="I142">
        <v>29.76</v>
      </c>
      <c r="J142" s="35">
        <v>43238</v>
      </c>
      <c r="K142" s="48">
        <f t="shared" si="6"/>
        <v>2.4000000000000004</v>
      </c>
      <c r="L142" s="48" t="str">
        <f t="shared" si="7"/>
        <v>qui</v>
      </c>
      <c r="M142" s="48" t="str">
        <f>VLOOKUP(A142,RECEITAS!A:B,2,FALSE)</f>
        <v>RÚSTICO</v>
      </c>
      <c r="N142" s="48" t="str">
        <f t="shared" si="8"/>
        <v>sex</v>
      </c>
      <c r="O142" s="35">
        <v>43237</v>
      </c>
    </row>
    <row r="143" spans="1:15" x14ac:dyDescent="0.3">
      <c r="A143" t="s">
        <v>27</v>
      </c>
      <c r="B143" t="s">
        <v>29</v>
      </c>
      <c r="C143">
        <v>2</v>
      </c>
      <c r="D143">
        <v>0.1</v>
      </c>
      <c r="E143" t="s">
        <v>101</v>
      </c>
      <c r="F143" s="35">
        <v>43237</v>
      </c>
      <c r="G143">
        <v>6</v>
      </c>
      <c r="H143">
        <v>8.76</v>
      </c>
      <c r="I143">
        <v>17.52</v>
      </c>
      <c r="J143" s="35">
        <v>43238</v>
      </c>
      <c r="K143" s="48">
        <f t="shared" si="6"/>
        <v>1.2000000000000002</v>
      </c>
      <c r="L143" s="48" t="str">
        <f t="shared" si="7"/>
        <v>qui</v>
      </c>
      <c r="M143" s="48" t="str">
        <f>VLOOKUP(A143,RECEITAS!A:B,2,FALSE)</f>
        <v>DIRETO</v>
      </c>
      <c r="N143" s="48" t="str">
        <f t="shared" si="8"/>
        <v>sex</v>
      </c>
      <c r="O143" s="35">
        <v>43237</v>
      </c>
    </row>
    <row r="144" spans="1:15" x14ac:dyDescent="0.3">
      <c r="A144" t="s">
        <v>30</v>
      </c>
      <c r="B144" t="s">
        <v>43</v>
      </c>
      <c r="C144">
        <v>2</v>
      </c>
      <c r="D144">
        <v>0.15</v>
      </c>
      <c r="E144" t="s">
        <v>89</v>
      </c>
      <c r="F144" s="35">
        <v>43238</v>
      </c>
      <c r="G144">
        <v>3</v>
      </c>
      <c r="H144">
        <v>6.3</v>
      </c>
      <c r="I144">
        <v>12.6</v>
      </c>
      <c r="J144" s="35">
        <v>43238</v>
      </c>
      <c r="K144" s="48">
        <f t="shared" si="6"/>
        <v>0.89999999999999991</v>
      </c>
      <c r="L144" s="48" t="str">
        <f t="shared" si="7"/>
        <v>sex</v>
      </c>
      <c r="M144" s="48" t="str">
        <f>VLOOKUP(A144,RECEITAS!A:B,2,FALSE)</f>
        <v>RÚSTICO</v>
      </c>
      <c r="N144" s="48" t="str">
        <f t="shared" si="8"/>
        <v>sex</v>
      </c>
      <c r="O144" s="35">
        <v>43238</v>
      </c>
    </row>
    <row r="145" spans="1:15" x14ac:dyDescent="0.3">
      <c r="A145" t="s">
        <v>40</v>
      </c>
      <c r="B145" t="s">
        <v>37</v>
      </c>
      <c r="C145">
        <v>60</v>
      </c>
      <c r="D145">
        <v>0.08</v>
      </c>
      <c r="E145" t="s">
        <v>89</v>
      </c>
      <c r="F145" s="35">
        <v>43238</v>
      </c>
      <c r="G145">
        <v>1</v>
      </c>
      <c r="H145">
        <v>0.8</v>
      </c>
      <c r="I145">
        <v>48</v>
      </c>
      <c r="J145" s="35">
        <v>43238</v>
      </c>
      <c r="K145" s="48">
        <f t="shared" si="6"/>
        <v>4.8</v>
      </c>
      <c r="L145" s="48" t="str">
        <f t="shared" si="7"/>
        <v>sex</v>
      </c>
      <c r="M145" s="48" t="str">
        <f>VLOOKUP(A145,RECEITAS!A:B,2,FALSE)</f>
        <v>DIRETO</v>
      </c>
      <c r="N145" s="48" t="str">
        <f t="shared" si="8"/>
        <v>sex</v>
      </c>
      <c r="O145" s="35">
        <v>43238</v>
      </c>
    </row>
    <row r="146" spans="1:15" x14ac:dyDescent="0.3">
      <c r="A146" t="s">
        <v>27</v>
      </c>
      <c r="B146" t="s">
        <v>102</v>
      </c>
      <c r="C146">
        <v>6</v>
      </c>
      <c r="D146">
        <v>0.08</v>
      </c>
      <c r="E146" t="s">
        <v>89</v>
      </c>
      <c r="F146" s="35">
        <v>43238</v>
      </c>
      <c r="G146">
        <v>6</v>
      </c>
      <c r="H146">
        <v>5</v>
      </c>
      <c r="I146">
        <v>30</v>
      </c>
      <c r="J146" s="35">
        <v>43238</v>
      </c>
      <c r="K146" s="48">
        <f t="shared" si="6"/>
        <v>2.88</v>
      </c>
      <c r="L146" s="48" t="str">
        <f t="shared" si="7"/>
        <v>sex</v>
      </c>
      <c r="M146" s="48" t="str">
        <f>VLOOKUP(A146,RECEITAS!A:B,2,FALSE)</f>
        <v>DIRETO</v>
      </c>
      <c r="N146" s="48" t="str">
        <f t="shared" si="8"/>
        <v>sex</v>
      </c>
      <c r="O146" s="35">
        <v>43238</v>
      </c>
    </row>
    <row r="147" spans="1:15" x14ac:dyDescent="0.3">
      <c r="A147" t="s">
        <v>25</v>
      </c>
      <c r="B147" t="s">
        <v>26</v>
      </c>
      <c r="C147">
        <v>3</v>
      </c>
      <c r="D147">
        <v>0.1</v>
      </c>
      <c r="E147" t="s">
        <v>89</v>
      </c>
      <c r="F147" s="35">
        <v>43238</v>
      </c>
      <c r="G147">
        <v>4</v>
      </c>
      <c r="H147">
        <v>8</v>
      </c>
      <c r="I147">
        <v>24</v>
      </c>
      <c r="J147" s="35">
        <v>43238</v>
      </c>
      <c r="K147" s="48">
        <f t="shared" si="6"/>
        <v>1.2000000000000002</v>
      </c>
      <c r="L147" s="48" t="str">
        <f t="shared" si="7"/>
        <v>sex</v>
      </c>
      <c r="M147" s="48" t="str">
        <f>VLOOKUP(A147,RECEITAS!A:B,2,FALSE)</f>
        <v>DIRETO</v>
      </c>
      <c r="N147" s="48" t="str">
        <f t="shared" si="8"/>
        <v>sex</v>
      </c>
      <c r="O147" s="35">
        <v>43238</v>
      </c>
    </row>
    <row r="148" spans="1:15" x14ac:dyDescent="0.3">
      <c r="A148" t="s">
        <v>33</v>
      </c>
      <c r="B148" t="s">
        <v>31</v>
      </c>
      <c r="C148">
        <v>2</v>
      </c>
      <c r="D148">
        <v>0.13</v>
      </c>
      <c r="E148" t="s">
        <v>89</v>
      </c>
      <c r="F148" s="35">
        <v>43238</v>
      </c>
      <c r="G148">
        <v>2</v>
      </c>
      <c r="H148">
        <v>2.6</v>
      </c>
      <c r="I148">
        <v>5.2</v>
      </c>
      <c r="J148" s="35">
        <v>43238</v>
      </c>
      <c r="K148" s="48">
        <f t="shared" si="6"/>
        <v>0.52</v>
      </c>
      <c r="L148" s="48" t="str">
        <f t="shared" si="7"/>
        <v>sex</v>
      </c>
      <c r="M148" s="48" t="str">
        <f>VLOOKUP(A148,RECEITAS!A:B,2,FALSE)</f>
        <v>RÚSTICO</v>
      </c>
      <c r="N148" s="48" t="str">
        <f t="shared" si="8"/>
        <v>sex</v>
      </c>
      <c r="O148" s="35">
        <v>43238</v>
      </c>
    </row>
    <row r="149" spans="1:15" x14ac:dyDescent="0.3">
      <c r="A149" t="s">
        <v>72</v>
      </c>
      <c r="B149" t="s">
        <v>90</v>
      </c>
      <c r="C149">
        <v>3</v>
      </c>
      <c r="D149">
        <v>0.6</v>
      </c>
      <c r="E149" t="s">
        <v>89</v>
      </c>
      <c r="F149" s="35">
        <v>43238</v>
      </c>
      <c r="G149">
        <v>1</v>
      </c>
      <c r="H149">
        <v>5.9</v>
      </c>
      <c r="I149">
        <v>17.7</v>
      </c>
      <c r="J149" s="35">
        <v>43238</v>
      </c>
      <c r="K149" s="48">
        <f t="shared" si="6"/>
        <v>1.7999999999999998</v>
      </c>
      <c r="L149" s="48" t="str">
        <f t="shared" si="7"/>
        <v>sex</v>
      </c>
      <c r="M149" s="48" t="str">
        <f>VLOOKUP(A149,RECEITAS!A:B,2,FALSE)</f>
        <v>RÚSTICO</v>
      </c>
      <c r="N149" s="48" t="str">
        <f t="shared" si="8"/>
        <v>sex</v>
      </c>
      <c r="O149" s="35">
        <v>43238</v>
      </c>
    </row>
    <row r="150" spans="1:15" x14ac:dyDescent="0.3">
      <c r="A150" t="s">
        <v>36</v>
      </c>
      <c r="B150" t="s">
        <v>37</v>
      </c>
      <c r="C150">
        <v>3</v>
      </c>
      <c r="D150">
        <v>0.13</v>
      </c>
      <c r="E150" t="s">
        <v>89</v>
      </c>
      <c r="F150" s="35">
        <v>43238</v>
      </c>
      <c r="G150">
        <v>3</v>
      </c>
      <c r="H150">
        <v>7.5</v>
      </c>
      <c r="I150">
        <v>22.5</v>
      </c>
      <c r="J150" s="35">
        <v>43238</v>
      </c>
      <c r="K150" s="48">
        <f t="shared" si="6"/>
        <v>1.17</v>
      </c>
      <c r="L150" s="48" t="str">
        <f t="shared" si="7"/>
        <v>sex</v>
      </c>
      <c r="M150" s="48" t="str">
        <f>VLOOKUP(A150,RECEITAS!A:B,2,FALSE)</f>
        <v>RÚSTICO</v>
      </c>
      <c r="N150" s="48" t="str">
        <f t="shared" si="8"/>
        <v>sex</v>
      </c>
      <c r="O150" s="35">
        <v>43238</v>
      </c>
    </row>
    <row r="151" spans="1:15" x14ac:dyDescent="0.3">
      <c r="A151" t="s">
        <v>27</v>
      </c>
      <c r="B151" t="s">
        <v>26</v>
      </c>
      <c r="C151">
        <v>2</v>
      </c>
      <c r="D151">
        <v>0.1</v>
      </c>
      <c r="E151" t="s">
        <v>89</v>
      </c>
      <c r="F151" s="35">
        <v>43238</v>
      </c>
      <c r="G151">
        <v>4</v>
      </c>
      <c r="H151">
        <v>8</v>
      </c>
      <c r="I151">
        <v>16</v>
      </c>
      <c r="J151" s="35">
        <v>43238</v>
      </c>
      <c r="K151" s="48">
        <f t="shared" si="6"/>
        <v>0.8</v>
      </c>
      <c r="L151" s="48" t="str">
        <f t="shared" si="7"/>
        <v>sex</v>
      </c>
      <c r="M151" s="48" t="str">
        <f>VLOOKUP(A151,RECEITAS!A:B,2,FALSE)</f>
        <v>DIRETO</v>
      </c>
      <c r="N151" s="48" t="str">
        <f t="shared" si="8"/>
        <v>sex</v>
      </c>
      <c r="O151" s="35">
        <v>43238</v>
      </c>
    </row>
    <row r="152" spans="1:15" x14ac:dyDescent="0.3">
      <c r="A152" t="s">
        <v>72</v>
      </c>
      <c r="B152" t="s">
        <v>90</v>
      </c>
      <c r="C152">
        <v>3</v>
      </c>
      <c r="D152">
        <v>0.6</v>
      </c>
      <c r="E152" t="s">
        <v>89</v>
      </c>
      <c r="F152" s="35">
        <v>43238</v>
      </c>
      <c r="G152">
        <v>1</v>
      </c>
      <c r="H152">
        <v>5.9</v>
      </c>
      <c r="I152">
        <v>17.7</v>
      </c>
      <c r="J152" s="35">
        <v>43238</v>
      </c>
      <c r="K152" s="48">
        <f t="shared" si="6"/>
        <v>1.7999999999999998</v>
      </c>
      <c r="L152" s="48" t="str">
        <f t="shared" si="7"/>
        <v>sex</v>
      </c>
      <c r="M152" s="48" t="str">
        <f>VLOOKUP(A152,RECEITAS!A:B,2,FALSE)</f>
        <v>RÚSTICO</v>
      </c>
      <c r="N152" s="48" t="str">
        <f t="shared" si="8"/>
        <v>sex</v>
      </c>
      <c r="O152" s="35">
        <v>43238</v>
      </c>
    </row>
    <row r="153" spans="1:15" x14ac:dyDescent="0.3">
      <c r="A153" t="s">
        <v>38</v>
      </c>
      <c r="B153" t="s">
        <v>39</v>
      </c>
      <c r="C153">
        <v>2</v>
      </c>
      <c r="D153">
        <v>0.45</v>
      </c>
      <c r="E153" t="s">
        <v>89</v>
      </c>
      <c r="F153" s="35">
        <v>43238</v>
      </c>
      <c r="G153">
        <v>1</v>
      </c>
      <c r="H153">
        <v>4.08</v>
      </c>
      <c r="I153">
        <v>8.16</v>
      </c>
      <c r="J153" s="35">
        <v>43238</v>
      </c>
      <c r="K153" s="48">
        <f t="shared" si="6"/>
        <v>0.9</v>
      </c>
      <c r="L153" s="48" t="str">
        <f t="shared" si="7"/>
        <v>sex</v>
      </c>
      <c r="M153" s="48" t="str">
        <f>VLOOKUP(A153,RECEITAS!A:B,2,FALSE)</f>
        <v>DIRETO</v>
      </c>
      <c r="N153" s="48" t="str">
        <f t="shared" si="8"/>
        <v>sex</v>
      </c>
      <c r="O153" s="35">
        <v>43238</v>
      </c>
    </row>
    <row r="154" spans="1:15" x14ac:dyDescent="0.3">
      <c r="A154" t="s">
        <v>27</v>
      </c>
      <c r="B154" t="s">
        <v>39</v>
      </c>
      <c r="C154">
        <v>2</v>
      </c>
      <c r="D154">
        <v>0.4</v>
      </c>
      <c r="E154" t="s">
        <v>89</v>
      </c>
      <c r="F154" s="35">
        <v>43238</v>
      </c>
      <c r="G154">
        <v>1</v>
      </c>
      <c r="H154">
        <v>3.45</v>
      </c>
      <c r="I154">
        <v>6.9</v>
      </c>
      <c r="J154" s="35">
        <v>43238</v>
      </c>
      <c r="K154" s="48">
        <f t="shared" si="6"/>
        <v>0.8</v>
      </c>
      <c r="L154" s="48" t="str">
        <f t="shared" si="7"/>
        <v>sex</v>
      </c>
      <c r="M154" s="48" t="str">
        <f>VLOOKUP(A154,RECEITAS!A:B,2,FALSE)</f>
        <v>DIRETO</v>
      </c>
      <c r="N154" s="48" t="str">
        <f t="shared" si="8"/>
        <v>sex</v>
      </c>
      <c r="O154" s="35">
        <v>43238</v>
      </c>
    </row>
    <row r="155" spans="1:15" x14ac:dyDescent="0.3">
      <c r="A155" t="s">
        <v>25</v>
      </c>
      <c r="B155" t="s">
        <v>29</v>
      </c>
      <c r="C155">
        <v>3</v>
      </c>
      <c r="D155">
        <v>0.08</v>
      </c>
      <c r="E155" t="s">
        <v>89</v>
      </c>
      <c r="F155" s="35">
        <v>43238</v>
      </c>
      <c r="G155">
        <v>4</v>
      </c>
      <c r="H155">
        <v>3</v>
      </c>
      <c r="I155">
        <v>9</v>
      </c>
      <c r="J155" s="35">
        <v>43238</v>
      </c>
      <c r="K155" s="48">
        <f t="shared" si="6"/>
        <v>0.96</v>
      </c>
      <c r="L155" s="48" t="str">
        <f t="shared" si="7"/>
        <v>sex</v>
      </c>
      <c r="M155" s="48" t="str">
        <f>VLOOKUP(A155,RECEITAS!A:B,2,FALSE)</f>
        <v>DIRETO</v>
      </c>
      <c r="N155" s="48" t="str">
        <f t="shared" si="8"/>
        <v>sex</v>
      </c>
      <c r="O155" s="35">
        <v>43238</v>
      </c>
    </row>
    <row r="156" spans="1:15" x14ac:dyDescent="0.3">
      <c r="A156" t="s">
        <v>27</v>
      </c>
      <c r="B156" t="s">
        <v>29</v>
      </c>
      <c r="C156">
        <v>3</v>
      </c>
      <c r="D156">
        <v>0.08</v>
      </c>
      <c r="E156" t="s">
        <v>89</v>
      </c>
      <c r="F156" s="35">
        <v>43238</v>
      </c>
      <c r="G156">
        <v>4</v>
      </c>
      <c r="H156">
        <v>2.52</v>
      </c>
      <c r="I156">
        <v>7.56</v>
      </c>
      <c r="J156" s="35">
        <v>43238</v>
      </c>
      <c r="K156" s="48">
        <f t="shared" si="6"/>
        <v>0.96</v>
      </c>
      <c r="L156" s="48" t="str">
        <f t="shared" si="7"/>
        <v>sex</v>
      </c>
      <c r="M156" s="48" t="str">
        <f>VLOOKUP(A156,RECEITAS!A:B,2,FALSE)</f>
        <v>DIRETO</v>
      </c>
      <c r="N156" s="48" t="str">
        <f t="shared" si="8"/>
        <v>sex</v>
      </c>
      <c r="O156" s="35">
        <v>43238</v>
      </c>
    </row>
    <row r="157" spans="1:15" x14ac:dyDescent="0.3">
      <c r="A157" t="s">
        <v>30</v>
      </c>
      <c r="B157" t="s">
        <v>43</v>
      </c>
      <c r="C157">
        <v>4</v>
      </c>
      <c r="D157">
        <v>0.15</v>
      </c>
      <c r="E157" t="s">
        <v>95</v>
      </c>
      <c r="F157" s="35">
        <v>43238</v>
      </c>
      <c r="G157">
        <v>3</v>
      </c>
      <c r="H157">
        <v>6.3</v>
      </c>
      <c r="I157">
        <v>25.2</v>
      </c>
      <c r="J157" s="35">
        <v>43238</v>
      </c>
      <c r="K157" s="48">
        <f t="shared" si="6"/>
        <v>1.7999999999999998</v>
      </c>
      <c r="L157" s="48" t="str">
        <f t="shared" si="7"/>
        <v>sex</v>
      </c>
      <c r="M157" s="48" t="str">
        <f>VLOOKUP(A157,RECEITAS!A:B,2,FALSE)</f>
        <v>RÚSTICO</v>
      </c>
      <c r="N157" s="48" t="str">
        <f t="shared" si="8"/>
        <v>sex</v>
      </c>
      <c r="O157" s="35">
        <v>43238</v>
      </c>
    </row>
    <row r="158" spans="1:15" x14ac:dyDescent="0.3">
      <c r="A158" t="s">
        <v>36</v>
      </c>
      <c r="B158" t="s">
        <v>37</v>
      </c>
      <c r="C158">
        <v>1</v>
      </c>
      <c r="D158">
        <v>0.13</v>
      </c>
      <c r="E158" t="s">
        <v>95</v>
      </c>
      <c r="F158" s="35">
        <v>43238</v>
      </c>
      <c r="G158">
        <v>6</v>
      </c>
      <c r="H158">
        <v>12</v>
      </c>
      <c r="I158">
        <v>12</v>
      </c>
      <c r="J158" s="35">
        <v>43238</v>
      </c>
      <c r="K158" s="48">
        <f t="shared" si="6"/>
        <v>0.78</v>
      </c>
      <c r="L158" s="48" t="str">
        <f t="shared" si="7"/>
        <v>sex</v>
      </c>
      <c r="M158" s="48" t="str">
        <f>VLOOKUP(A158,RECEITAS!A:B,2,FALSE)</f>
        <v>RÚSTICO</v>
      </c>
      <c r="N158" s="48" t="str">
        <f t="shared" si="8"/>
        <v>sex</v>
      </c>
      <c r="O158" s="35">
        <v>43238</v>
      </c>
    </row>
    <row r="159" spans="1:15" x14ac:dyDescent="0.3">
      <c r="A159" t="s">
        <v>17</v>
      </c>
      <c r="B159" t="s">
        <v>17</v>
      </c>
      <c r="C159">
        <v>6</v>
      </c>
      <c r="D159">
        <v>0.1</v>
      </c>
      <c r="E159" t="s">
        <v>95</v>
      </c>
      <c r="F159" s="35">
        <v>43238</v>
      </c>
      <c r="G159">
        <v>1</v>
      </c>
      <c r="H159">
        <v>4</v>
      </c>
      <c r="I159">
        <v>24</v>
      </c>
      <c r="J159" s="35">
        <v>43238</v>
      </c>
      <c r="K159" s="48">
        <f t="shared" si="6"/>
        <v>0.60000000000000009</v>
      </c>
      <c r="L159" s="48" t="str">
        <f t="shared" si="7"/>
        <v>sex</v>
      </c>
      <c r="M159" s="48" t="str">
        <f>VLOOKUP(A159,RECEITAS!A:B,2,FALSE)</f>
        <v>CROISSANT</v>
      </c>
      <c r="N159" s="48" t="str">
        <f t="shared" si="8"/>
        <v>sex</v>
      </c>
      <c r="O159" s="35">
        <v>43238</v>
      </c>
    </row>
    <row r="160" spans="1:15" x14ac:dyDescent="0.3">
      <c r="A160" t="s">
        <v>72</v>
      </c>
      <c r="B160" t="s">
        <v>90</v>
      </c>
      <c r="C160">
        <v>4</v>
      </c>
      <c r="D160">
        <v>0.6</v>
      </c>
      <c r="E160" t="s">
        <v>95</v>
      </c>
      <c r="F160" s="35">
        <v>43238</v>
      </c>
      <c r="G160">
        <v>1</v>
      </c>
      <c r="H160">
        <v>5.9</v>
      </c>
      <c r="I160">
        <v>23.6</v>
      </c>
      <c r="J160" s="35">
        <v>43238</v>
      </c>
      <c r="K160" s="48">
        <f t="shared" si="6"/>
        <v>2.4</v>
      </c>
      <c r="L160" s="48" t="str">
        <f t="shared" si="7"/>
        <v>sex</v>
      </c>
      <c r="M160" s="48" t="str">
        <f>VLOOKUP(A160,RECEITAS!A:B,2,FALSE)</f>
        <v>RÚSTICO</v>
      </c>
      <c r="N160" s="48" t="str">
        <f t="shared" si="8"/>
        <v>sex</v>
      </c>
      <c r="O160" s="35">
        <v>43238</v>
      </c>
    </row>
    <row r="161" spans="1:15" x14ac:dyDescent="0.3">
      <c r="A161" t="s">
        <v>40</v>
      </c>
      <c r="B161" t="s">
        <v>45</v>
      </c>
      <c r="C161">
        <v>15</v>
      </c>
      <c r="D161">
        <v>0.08</v>
      </c>
      <c r="E161" t="s">
        <v>95</v>
      </c>
      <c r="F161" s="35">
        <v>43238</v>
      </c>
      <c r="G161">
        <v>6</v>
      </c>
      <c r="H161">
        <v>2.4</v>
      </c>
      <c r="I161">
        <v>36</v>
      </c>
      <c r="J161" s="35">
        <v>43238</v>
      </c>
      <c r="K161" s="48">
        <f t="shared" si="6"/>
        <v>7.1999999999999993</v>
      </c>
      <c r="L161" s="48" t="str">
        <f t="shared" si="7"/>
        <v>sex</v>
      </c>
      <c r="M161" s="48" t="str">
        <f>VLOOKUP(A161,RECEITAS!A:B,2,FALSE)</f>
        <v>DIRETO</v>
      </c>
      <c r="N161" s="48" t="str">
        <f t="shared" si="8"/>
        <v>sex</v>
      </c>
      <c r="O161" s="35">
        <v>43238</v>
      </c>
    </row>
    <row r="162" spans="1:15" x14ac:dyDescent="0.3">
      <c r="A162" t="s">
        <v>33</v>
      </c>
      <c r="B162" t="s">
        <v>31</v>
      </c>
      <c r="C162">
        <v>26</v>
      </c>
      <c r="D162">
        <v>0.13</v>
      </c>
      <c r="E162" t="s">
        <v>103</v>
      </c>
      <c r="F162" s="35">
        <v>43238</v>
      </c>
      <c r="G162">
        <v>5</v>
      </c>
      <c r="H162">
        <v>6.3</v>
      </c>
      <c r="I162">
        <v>163.80000000000001</v>
      </c>
      <c r="J162" s="35">
        <v>43238</v>
      </c>
      <c r="K162" s="48">
        <f t="shared" si="6"/>
        <v>16.900000000000002</v>
      </c>
      <c r="L162" s="48" t="str">
        <f t="shared" si="7"/>
        <v>sex</v>
      </c>
      <c r="M162" s="48" t="str">
        <f>VLOOKUP(A162,RECEITAS!A:B,2,FALSE)</f>
        <v>RÚSTICO</v>
      </c>
      <c r="N162" s="48" t="str">
        <f t="shared" si="8"/>
        <v>sex</v>
      </c>
      <c r="O162" s="35">
        <v>43238</v>
      </c>
    </row>
    <row r="163" spans="1:15" x14ac:dyDescent="0.3">
      <c r="A163" t="s">
        <v>30</v>
      </c>
      <c r="B163" t="s">
        <v>31</v>
      </c>
      <c r="C163">
        <v>2</v>
      </c>
      <c r="D163">
        <v>0.35</v>
      </c>
      <c r="E163" t="s">
        <v>32</v>
      </c>
      <c r="F163" s="35">
        <v>43237</v>
      </c>
      <c r="G163">
        <v>5</v>
      </c>
      <c r="H163">
        <v>18.3</v>
      </c>
      <c r="I163">
        <v>36.6</v>
      </c>
      <c r="J163" s="35">
        <v>43238</v>
      </c>
      <c r="K163" s="48">
        <f t="shared" si="6"/>
        <v>3.5</v>
      </c>
      <c r="L163" s="48" t="str">
        <f t="shared" si="7"/>
        <v>qui</v>
      </c>
      <c r="M163" s="48" t="str">
        <f>VLOOKUP(A163,RECEITAS!A:B,2,FALSE)</f>
        <v>RÚSTICO</v>
      </c>
      <c r="N163" s="48" t="str">
        <f t="shared" si="8"/>
        <v>sex</v>
      </c>
      <c r="O163" s="35">
        <v>43237</v>
      </c>
    </row>
    <row r="164" spans="1:15" x14ac:dyDescent="0.3">
      <c r="A164" t="s">
        <v>33</v>
      </c>
      <c r="B164" t="s">
        <v>31</v>
      </c>
      <c r="C164">
        <v>7</v>
      </c>
      <c r="D164">
        <v>0.25</v>
      </c>
      <c r="E164" t="s">
        <v>32</v>
      </c>
      <c r="F164" s="35">
        <v>43237</v>
      </c>
      <c r="G164">
        <v>5</v>
      </c>
      <c r="H164">
        <v>12.8</v>
      </c>
      <c r="I164">
        <v>89.6</v>
      </c>
      <c r="J164" s="35">
        <v>43238</v>
      </c>
      <c r="K164" s="48">
        <f t="shared" si="6"/>
        <v>8.75</v>
      </c>
      <c r="L164" s="48" t="str">
        <f t="shared" si="7"/>
        <v>qui</v>
      </c>
      <c r="M164" s="48" t="str">
        <f>VLOOKUP(A164,RECEITAS!A:B,2,FALSE)</f>
        <v>RÚSTICO</v>
      </c>
      <c r="N164" s="48" t="str">
        <f t="shared" si="8"/>
        <v>sex</v>
      </c>
      <c r="O164" s="35">
        <v>43237</v>
      </c>
    </row>
    <row r="165" spans="1:15" x14ac:dyDescent="0.3">
      <c r="A165" t="s">
        <v>25</v>
      </c>
      <c r="B165" t="s">
        <v>26</v>
      </c>
      <c r="C165">
        <v>3</v>
      </c>
      <c r="D165">
        <v>0.1</v>
      </c>
      <c r="E165" t="s">
        <v>32</v>
      </c>
      <c r="F165" s="35">
        <v>43237</v>
      </c>
      <c r="G165">
        <v>6</v>
      </c>
      <c r="H165">
        <v>6.06</v>
      </c>
      <c r="I165">
        <v>18.18</v>
      </c>
      <c r="J165" s="35">
        <v>43238</v>
      </c>
      <c r="K165" s="48">
        <f t="shared" si="6"/>
        <v>1.8000000000000003</v>
      </c>
      <c r="L165" s="48" t="str">
        <f t="shared" si="7"/>
        <v>qui</v>
      </c>
      <c r="M165" s="48" t="str">
        <f>VLOOKUP(A165,RECEITAS!A:B,2,FALSE)</f>
        <v>DIRETO</v>
      </c>
      <c r="N165" s="48" t="str">
        <f t="shared" si="8"/>
        <v>sex</v>
      </c>
      <c r="O165" s="35">
        <v>43237</v>
      </c>
    </row>
    <row r="166" spans="1:15" x14ac:dyDescent="0.3">
      <c r="A166" t="s">
        <v>27</v>
      </c>
      <c r="B166" t="s">
        <v>26</v>
      </c>
      <c r="C166">
        <v>3</v>
      </c>
      <c r="D166">
        <v>0.1</v>
      </c>
      <c r="E166" t="s">
        <v>32</v>
      </c>
      <c r="F166" s="35">
        <v>43237</v>
      </c>
      <c r="G166">
        <v>4</v>
      </c>
      <c r="H166">
        <v>2.6</v>
      </c>
      <c r="I166">
        <v>7.8</v>
      </c>
      <c r="J166" s="35">
        <v>43238</v>
      </c>
      <c r="K166" s="48">
        <f t="shared" si="6"/>
        <v>1.2000000000000002</v>
      </c>
      <c r="L166" s="48" t="str">
        <f t="shared" si="7"/>
        <v>qui</v>
      </c>
      <c r="M166" s="48" t="str">
        <f>VLOOKUP(A166,RECEITAS!A:B,2,FALSE)</f>
        <v>DIRETO</v>
      </c>
      <c r="N166" s="48" t="str">
        <f t="shared" si="8"/>
        <v>sex</v>
      </c>
      <c r="O166" s="35">
        <v>43237</v>
      </c>
    </row>
    <row r="167" spans="1:15" x14ac:dyDescent="0.3">
      <c r="A167" t="s">
        <v>38</v>
      </c>
      <c r="B167" t="s">
        <v>39</v>
      </c>
      <c r="C167">
        <v>3</v>
      </c>
      <c r="D167">
        <v>0.45</v>
      </c>
      <c r="E167" t="s">
        <v>32</v>
      </c>
      <c r="F167" s="35">
        <v>43237</v>
      </c>
      <c r="G167">
        <v>1</v>
      </c>
      <c r="H167">
        <v>4.08</v>
      </c>
      <c r="I167">
        <v>12.24</v>
      </c>
      <c r="J167" s="35">
        <v>43238</v>
      </c>
      <c r="K167" s="48">
        <f t="shared" si="6"/>
        <v>1.35</v>
      </c>
      <c r="L167" s="48" t="str">
        <f t="shared" si="7"/>
        <v>qui</v>
      </c>
      <c r="M167" s="48" t="str">
        <f>VLOOKUP(A167,RECEITAS!A:B,2,FALSE)</f>
        <v>DIRETO</v>
      </c>
      <c r="N167" s="48" t="str">
        <f t="shared" si="8"/>
        <v>sex</v>
      </c>
      <c r="O167" s="35">
        <v>43237</v>
      </c>
    </row>
    <row r="168" spans="1:15" x14ac:dyDescent="0.3">
      <c r="A168" t="s">
        <v>27</v>
      </c>
      <c r="B168" t="s">
        <v>39</v>
      </c>
      <c r="C168">
        <v>2</v>
      </c>
      <c r="D168">
        <v>0.4</v>
      </c>
      <c r="E168" t="s">
        <v>32</v>
      </c>
      <c r="F168" s="35">
        <v>43237</v>
      </c>
      <c r="G168">
        <v>1</v>
      </c>
      <c r="H168">
        <v>3.45</v>
      </c>
      <c r="I168">
        <v>6.9</v>
      </c>
      <c r="J168" s="35">
        <v>43238</v>
      </c>
      <c r="K168" s="48">
        <f t="shared" si="6"/>
        <v>0.8</v>
      </c>
      <c r="L168" s="48" t="str">
        <f t="shared" si="7"/>
        <v>qui</v>
      </c>
      <c r="M168" s="48" t="str">
        <f>VLOOKUP(A168,RECEITAS!A:B,2,FALSE)</f>
        <v>DIRETO</v>
      </c>
      <c r="N168" s="48" t="str">
        <f t="shared" si="8"/>
        <v>sex</v>
      </c>
      <c r="O168" s="35">
        <v>43237</v>
      </c>
    </row>
    <row r="169" spans="1:15" x14ac:dyDescent="0.3">
      <c r="A169" t="s">
        <v>25</v>
      </c>
      <c r="B169" t="s">
        <v>29</v>
      </c>
      <c r="C169">
        <v>6</v>
      </c>
      <c r="D169">
        <v>0.08</v>
      </c>
      <c r="E169" t="s">
        <v>32</v>
      </c>
      <c r="F169" s="35">
        <v>43237</v>
      </c>
      <c r="G169">
        <v>4</v>
      </c>
      <c r="H169">
        <v>3</v>
      </c>
      <c r="I169">
        <v>18</v>
      </c>
      <c r="J169" s="35">
        <v>43238</v>
      </c>
      <c r="K169" s="48">
        <f t="shared" si="6"/>
        <v>1.92</v>
      </c>
      <c r="L169" s="48" t="str">
        <f t="shared" si="7"/>
        <v>qui</v>
      </c>
      <c r="M169" s="48" t="str">
        <f>VLOOKUP(A169,RECEITAS!A:B,2,FALSE)</f>
        <v>DIRETO</v>
      </c>
      <c r="N169" s="48" t="str">
        <f t="shared" si="8"/>
        <v>sex</v>
      </c>
      <c r="O169" s="35">
        <v>43237</v>
      </c>
    </row>
    <row r="170" spans="1:15" x14ac:dyDescent="0.3">
      <c r="A170" t="s">
        <v>27</v>
      </c>
      <c r="B170" t="s">
        <v>29</v>
      </c>
      <c r="C170">
        <v>5</v>
      </c>
      <c r="D170">
        <v>0.08</v>
      </c>
      <c r="E170" t="s">
        <v>32</v>
      </c>
      <c r="F170" s="35">
        <v>43237</v>
      </c>
      <c r="G170">
        <v>4</v>
      </c>
      <c r="H170">
        <v>2.52</v>
      </c>
      <c r="I170">
        <v>12.6</v>
      </c>
      <c r="J170" s="35">
        <v>43238</v>
      </c>
      <c r="K170" s="48">
        <f t="shared" si="6"/>
        <v>1.6</v>
      </c>
      <c r="L170" s="48" t="str">
        <f t="shared" si="7"/>
        <v>qui</v>
      </c>
      <c r="M170" s="48" t="str">
        <f>VLOOKUP(A170,RECEITAS!A:B,2,FALSE)</f>
        <v>DIRETO</v>
      </c>
      <c r="N170" s="48" t="str">
        <f t="shared" si="8"/>
        <v>sex</v>
      </c>
      <c r="O170" s="35">
        <v>43237</v>
      </c>
    </row>
    <row r="171" spans="1:15" x14ac:dyDescent="0.3">
      <c r="A171" t="s">
        <v>30</v>
      </c>
      <c r="B171" t="s">
        <v>31</v>
      </c>
      <c r="C171">
        <v>4</v>
      </c>
      <c r="D171">
        <v>0.35</v>
      </c>
      <c r="E171" t="s">
        <v>42</v>
      </c>
      <c r="F171" s="35">
        <v>43237</v>
      </c>
      <c r="G171">
        <v>5</v>
      </c>
      <c r="H171">
        <v>18.3</v>
      </c>
      <c r="I171">
        <v>73.2</v>
      </c>
      <c r="J171" s="35">
        <v>43238</v>
      </c>
      <c r="K171" s="48">
        <f t="shared" si="6"/>
        <v>7</v>
      </c>
      <c r="L171" s="48" t="str">
        <f t="shared" si="7"/>
        <v>qui</v>
      </c>
      <c r="M171" s="48" t="str">
        <f>VLOOKUP(A171,RECEITAS!A:B,2,FALSE)</f>
        <v>RÚSTICO</v>
      </c>
      <c r="N171" s="48" t="str">
        <f t="shared" si="8"/>
        <v>sex</v>
      </c>
      <c r="O171" s="35">
        <v>43237</v>
      </c>
    </row>
    <row r="172" spans="1:15" x14ac:dyDescent="0.3">
      <c r="A172" t="s">
        <v>33</v>
      </c>
      <c r="B172" t="s">
        <v>31</v>
      </c>
      <c r="C172">
        <v>8</v>
      </c>
      <c r="D172">
        <v>0.25</v>
      </c>
      <c r="E172" t="s">
        <v>42</v>
      </c>
      <c r="F172" s="35">
        <v>43237</v>
      </c>
      <c r="G172">
        <v>5</v>
      </c>
      <c r="H172">
        <v>12.8</v>
      </c>
      <c r="I172">
        <v>102.4</v>
      </c>
      <c r="J172" s="35">
        <v>43238</v>
      </c>
      <c r="K172" s="48">
        <f t="shared" si="6"/>
        <v>10</v>
      </c>
      <c r="L172" s="48" t="str">
        <f t="shared" si="7"/>
        <v>qui</v>
      </c>
      <c r="M172" s="48" t="str">
        <f>VLOOKUP(A172,RECEITAS!A:B,2,FALSE)</f>
        <v>RÚSTICO</v>
      </c>
      <c r="N172" s="48" t="str">
        <f t="shared" si="8"/>
        <v>sex</v>
      </c>
      <c r="O172" s="35">
        <v>43237</v>
      </c>
    </row>
    <row r="173" spans="1:15" x14ac:dyDescent="0.3">
      <c r="A173" t="s">
        <v>34</v>
      </c>
      <c r="B173" t="s">
        <v>35</v>
      </c>
      <c r="C173">
        <v>2</v>
      </c>
      <c r="D173">
        <v>0.27</v>
      </c>
      <c r="E173" t="s">
        <v>42</v>
      </c>
      <c r="F173" s="35">
        <v>43237</v>
      </c>
      <c r="G173">
        <v>3</v>
      </c>
      <c r="H173">
        <v>12.72</v>
      </c>
      <c r="I173">
        <v>25.44</v>
      </c>
      <c r="J173" s="35">
        <v>43238</v>
      </c>
      <c r="K173" s="48">
        <f t="shared" si="6"/>
        <v>1.62</v>
      </c>
      <c r="L173" s="48" t="str">
        <f t="shared" si="7"/>
        <v>qui</v>
      </c>
      <c r="M173" s="48" t="str">
        <f>VLOOKUP(A173,RECEITAS!A:B,2,FALSE)</f>
        <v>DIRETO</v>
      </c>
      <c r="N173" s="48" t="str">
        <f t="shared" si="8"/>
        <v>sex</v>
      </c>
      <c r="O173" s="35">
        <v>43237</v>
      </c>
    </row>
    <row r="174" spans="1:15" x14ac:dyDescent="0.3">
      <c r="A174" t="s">
        <v>25</v>
      </c>
      <c r="B174" t="s">
        <v>26</v>
      </c>
      <c r="C174">
        <v>2</v>
      </c>
      <c r="D174">
        <v>0.1</v>
      </c>
      <c r="E174" t="s">
        <v>42</v>
      </c>
      <c r="F174" s="35">
        <v>43237</v>
      </c>
      <c r="G174">
        <v>6</v>
      </c>
      <c r="H174">
        <v>6.06</v>
      </c>
      <c r="I174">
        <v>12.12</v>
      </c>
      <c r="J174" s="35">
        <v>43238</v>
      </c>
      <c r="K174" s="48">
        <f t="shared" si="6"/>
        <v>1.2000000000000002</v>
      </c>
      <c r="L174" s="48" t="str">
        <f t="shared" si="7"/>
        <v>qui</v>
      </c>
      <c r="M174" s="48" t="str">
        <f>VLOOKUP(A174,RECEITAS!A:B,2,FALSE)</f>
        <v>DIRETO</v>
      </c>
      <c r="N174" s="48" t="str">
        <f t="shared" si="8"/>
        <v>sex</v>
      </c>
      <c r="O174" s="35">
        <v>43237</v>
      </c>
    </row>
    <row r="175" spans="1:15" x14ac:dyDescent="0.3">
      <c r="A175" t="s">
        <v>36</v>
      </c>
      <c r="B175" t="s">
        <v>37</v>
      </c>
      <c r="C175">
        <v>5</v>
      </c>
      <c r="D175">
        <v>0.13</v>
      </c>
      <c r="E175" t="s">
        <v>42</v>
      </c>
      <c r="F175" s="35">
        <v>43237</v>
      </c>
      <c r="G175">
        <v>6</v>
      </c>
      <c r="H175">
        <v>7.44</v>
      </c>
      <c r="I175">
        <v>37.200000000000003</v>
      </c>
      <c r="J175" s="35">
        <v>43238</v>
      </c>
      <c r="K175" s="48">
        <f t="shared" si="6"/>
        <v>3.9000000000000004</v>
      </c>
      <c r="L175" s="48" t="str">
        <f t="shared" si="7"/>
        <v>qui</v>
      </c>
      <c r="M175" s="48" t="str">
        <f>VLOOKUP(A175,RECEITAS!A:B,2,FALSE)</f>
        <v>RÚSTICO</v>
      </c>
      <c r="N175" s="48" t="str">
        <f t="shared" si="8"/>
        <v>sex</v>
      </c>
      <c r="O175" s="35">
        <v>43237</v>
      </c>
    </row>
    <row r="176" spans="1:15" x14ac:dyDescent="0.3">
      <c r="A176" t="s">
        <v>27</v>
      </c>
      <c r="B176" t="s">
        <v>26</v>
      </c>
      <c r="C176">
        <v>6</v>
      </c>
      <c r="D176">
        <v>0.1</v>
      </c>
      <c r="E176" t="s">
        <v>42</v>
      </c>
      <c r="F176" s="35">
        <v>43237</v>
      </c>
      <c r="G176">
        <v>4</v>
      </c>
      <c r="H176">
        <v>2.6</v>
      </c>
      <c r="I176">
        <v>15.6</v>
      </c>
      <c r="J176" s="35">
        <v>43238</v>
      </c>
      <c r="K176" s="48">
        <f t="shared" si="6"/>
        <v>2.4000000000000004</v>
      </c>
      <c r="L176" s="48" t="str">
        <f t="shared" si="7"/>
        <v>qui</v>
      </c>
      <c r="M176" s="48" t="str">
        <f>VLOOKUP(A176,RECEITAS!A:B,2,FALSE)</f>
        <v>DIRETO</v>
      </c>
      <c r="N176" s="48" t="str">
        <f t="shared" si="8"/>
        <v>sex</v>
      </c>
      <c r="O176" s="35">
        <v>43237</v>
      </c>
    </row>
    <row r="177" spans="1:15" x14ac:dyDescent="0.3">
      <c r="A177" t="s">
        <v>38</v>
      </c>
      <c r="B177" t="s">
        <v>39</v>
      </c>
      <c r="C177">
        <v>6</v>
      </c>
      <c r="D177">
        <v>0.45</v>
      </c>
      <c r="E177" t="s">
        <v>42</v>
      </c>
      <c r="F177" s="35">
        <v>43237</v>
      </c>
      <c r="G177">
        <v>1</v>
      </c>
      <c r="H177">
        <v>4.08</v>
      </c>
      <c r="I177">
        <v>24.48</v>
      </c>
      <c r="J177" s="35">
        <v>43238</v>
      </c>
      <c r="K177" s="48">
        <f t="shared" si="6"/>
        <v>2.7</v>
      </c>
      <c r="L177" s="48" t="str">
        <f t="shared" si="7"/>
        <v>qui</v>
      </c>
      <c r="M177" s="48" t="str">
        <f>VLOOKUP(A177,RECEITAS!A:B,2,FALSE)</f>
        <v>DIRETO</v>
      </c>
      <c r="N177" s="48" t="str">
        <f t="shared" si="8"/>
        <v>sex</v>
      </c>
      <c r="O177" s="35">
        <v>43237</v>
      </c>
    </row>
    <row r="178" spans="1:15" x14ac:dyDescent="0.3">
      <c r="A178" t="s">
        <v>27</v>
      </c>
      <c r="B178" t="s">
        <v>39</v>
      </c>
      <c r="C178">
        <v>3</v>
      </c>
      <c r="D178">
        <v>0.4</v>
      </c>
      <c r="E178" t="s">
        <v>42</v>
      </c>
      <c r="F178" s="35">
        <v>43237</v>
      </c>
      <c r="G178">
        <v>1</v>
      </c>
      <c r="H178">
        <v>3.45</v>
      </c>
      <c r="I178">
        <v>10.35</v>
      </c>
      <c r="J178" s="35">
        <v>43238</v>
      </c>
      <c r="K178" s="48">
        <f t="shared" si="6"/>
        <v>1.2000000000000002</v>
      </c>
      <c r="L178" s="48" t="str">
        <f t="shared" si="7"/>
        <v>qui</v>
      </c>
      <c r="M178" s="48" t="str">
        <f>VLOOKUP(A178,RECEITAS!A:B,2,FALSE)</f>
        <v>DIRETO</v>
      </c>
      <c r="N178" s="48" t="str">
        <f t="shared" si="8"/>
        <v>sex</v>
      </c>
      <c r="O178" s="35">
        <v>43237</v>
      </c>
    </row>
    <row r="179" spans="1:15" x14ac:dyDescent="0.3">
      <c r="A179" t="s">
        <v>25</v>
      </c>
      <c r="B179" t="s">
        <v>29</v>
      </c>
      <c r="C179">
        <v>5</v>
      </c>
      <c r="D179">
        <v>0.08</v>
      </c>
      <c r="E179" t="s">
        <v>42</v>
      </c>
      <c r="F179" s="35">
        <v>43237</v>
      </c>
      <c r="G179">
        <v>4</v>
      </c>
      <c r="H179">
        <v>3</v>
      </c>
      <c r="I179">
        <v>15</v>
      </c>
      <c r="J179" s="35">
        <v>43238</v>
      </c>
      <c r="K179" s="48">
        <f t="shared" si="6"/>
        <v>1.6</v>
      </c>
      <c r="L179" s="48" t="str">
        <f t="shared" si="7"/>
        <v>qui</v>
      </c>
      <c r="M179" s="48" t="str">
        <f>VLOOKUP(A179,RECEITAS!A:B,2,FALSE)</f>
        <v>DIRETO</v>
      </c>
      <c r="N179" s="48" t="str">
        <f t="shared" si="8"/>
        <v>sex</v>
      </c>
      <c r="O179" s="35">
        <v>43237</v>
      </c>
    </row>
    <row r="180" spans="1:15" x14ac:dyDescent="0.3">
      <c r="A180" t="s">
        <v>27</v>
      </c>
      <c r="B180" t="s">
        <v>29</v>
      </c>
      <c r="C180">
        <v>5</v>
      </c>
      <c r="D180">
        <v>0.08</v>
      </c>
      <c r="E180" t="s">
        <v>42</v>
      </c>
      <c r="F180" s="35">
        <v>43237</v>
      </c>
      <c r="G180">
        <v>4</v>
      </c>
      <c r="H180">
        <v>2.52</v>
      </c>
      <c r="I180">
        <v>12.6</v>
      </c>
      <c r="J180" s="35">
        <v>43238</v>
      </c>
      <c r="K180" s="48">
        <f t="shared" si="6"/>
        <v>1.6</v>
      </c>
      <c r="L180" s="48" t="str">
        <f t="shared" si="7"/>
        <v>qui</v>
      </c>
      <c r="M180" s="48" t="str">
        <f>VLOOKUP(A180,RECEITAS!A:B,2,FALSE)</f>
        <v>DIRETO</v>
      </c>
      <c r="N180" s="48" t="str">
        <f t="shared" si="8"/>
        <v>sex</v>
      </c>
      <c r="O180" s="35">
        <v>43237</v>
      </c>
    </row>
    <row r="181" spans="1:15" x14ac:dyDescent="0.3">
      <c r="A181" t="s">
        <v>67</v>
      </c>
      <c r="B181" t="s">
        <v>29</v>
      </c>
      <c r="C181">
        <v>6</v>
      </c>
      <c r="D181">
        <v>0.08</v>
      </c>
      <c r="E181" t="s">
        <v>104</v>
      </c>
      <c r="F181" s="35">
        <v>43238</v>
      </c>
      <c r="G181">
        <v>6</v>
      </c>
      <c r="H181">
        <v>4.68</v>
      </c>
      <c r="I181">
        <v>28.08</v>
      </c>
      <c r="J181" s="35">
        <v>43238</v>
      </c>
      <c r="K181" s="48">
        <f t="shared" si="6"/>
        <v>2.88</v>
      </c>
      <c r="L181" s="48" t="str">
        <f t="shared" si="7"/>
        <v>sex</v>
      </c>
      <c r="M181" s="48" t="str">
        <f>VLOOKUP(A181,RECEITAS!A:B,2,FALSE)</f>
        <v>DIRETO</v>
      </c>
      <c r="N181" s="48" t="str">
        <f t="shared" si="8"/>
        <v>sex</v>
      </c>
      <c r="O181" s="35">
        <v>43238</v>
      </c>
    </row>
    <row r="182" spans="1:15" x14ac:dyDescent="0.3">
      <c r="A182" t="s">
        <v>70</v>
      </c>
      <c r="B182" t="s">
        <v>45</v>
      </c>
      <c r="C182">
        <v>35</v>
      </c>
      <c r="D182">
        <v>0.09</v>
      </c>
      <c r="E182" t="s">
        <v>104</v>
      </c>
      <c r="F182" s="35">
        <v>43238</v>
      </c>
      <c r="G182">
        <v>7</v>
      </c>
      <c r="H182">
        <v>4.55</v>
      </c>
      <c r="I182">
        <v>159.25</v>
      </c>
      <c r="J182" s="35">
        <v>43238</v>
      </c>
      <c r="K182" s="48">
        <f t="shared" si="6"/>
        <v>22.05</v>
      </c>
      <c r="L182" s="48" t="str">
        <f t="shared" si="7"/>
        <v>sex</v>
      </c>
      <c r="M182" s="48" t="str">
        <f>VLOOKUP(A182,RECEITAS!A:B,2,FALSE)</f>
        <v>DIRETO</v>
      </c>
      <c r="N182" s="48" t="str">
        <f t="shared" si="8"/>
        <v>sex</v>
      </c>
      <c r="O182" s="35">
        <v>43238</v>
      </c>
    </row>
    <row r="183" spans="1:15" x14ac:dyDescent="0.3">
      <c r="A183" t="s">
        <v>25</v>
      </c>
      <c r="B183" t="s">
        <v>29</v>
      </c>
      <c r="C183">
        <v>6</v>
      </c>
      <c r="D183">
        <v>0.08</v>
      </c>
      <c r="E183" t="s">
        <v>104</v>
      </c>
      <c r="F183" s="35">
        <v>43238</v>
      </c>
      <c r="G183">
        <v>6</v>
      </c>
      <c r="H183">
        <v>7.56</v>
      </c>
      <c r="I183">
        <v>45.36</v>
      </c>
      <c r="J183" s="35">
        <v>43238</v>
      </c>
      <c r="K183" s="48">
        <f t="shared" si="6"/>
        <v>2.88</v>
      </c>
      <c r="L183" s="48" t="str">
        <f t="shared" si="7"/>
        <v>sex</v>
      </c>
      <c r="M183" s="48" t="str">
        <f>VLOOKUP(A183,RECEITAS!A:B,2,FALSE)</f>
        <v>DIRETO</v>
      </c>
      <c r="N183" s="48" t="str">
        <f t="shared" si="8"/>
        <v>sex</v>
      </c>
      <c r="O183" s="35">
        <v>43238</v>
      </c>
    </row>
    <row r="184" spans="1:15" x14ac:dyDescent="0.3">
      <c r="A184" t="s">
        <v>77</v>
      </c>
      <c r="B184" t="s">
        <v>29</v>
      </c>
      <c r="C184">
        <v>2</v>
      </c>
      <c r="D184">
        <v>0.08</v>
      </c>
      <c r="E184" t="s">
        <v>104</v>
      </c>
      <c r="F184" s="35">
        <v>43238</v>
      </c>
      <c r="G184">
        <v>6</v>
      </c>
      <c r="H184">
        <v>9</v>
      </c>
      <c r="I184">
        <v>18</v>
      </c>
      <c r="J184" s="35">
        <v>43238</v>
      </c>
      <c r="K184" s="48">
        <f t="shared" si="6"/>
        <v>0.96</v>
      </c>
      <c r="L184" s="48" t="str">
        <f t="shared" si="7"/>
        <v>sex</v>
      </c>
      <c r="M184" s="48" t="str">
        <f>VLOOKUP(A184,RECEITAS!A:B,2,FALSE)</f>
        <v>DIRETO</v>
      </c>
      <c r="N184" s="48" t="str">
        <f t="shared" si="8"/>
        <v>sex</v>
      </c>
      <c r="O184" s="35">
        <v>43238</v>
      </c>
    </row>
    <row r="185" spans="1:15" x14ac:dyDescent="0.3">
      <c r="A185" t="s">
        <v>25</v>
      </c>
      <c r="B185" t="s">
        <v>29</v>
      </c>
      <c r="C185">
        <v>15</v>
      </c>
      <c r="D185">
        <v>0.1</v>
      </c>
      <c r="E185" t="s">
        <v>105</v>
      </c>
      <c r="F185" s="35">
        <v>43238</v>
      </c>
      <c r="G185">
        <v>6</v>
      </c>
      <c r="H185">
        <v>9.7200000000000006</v>
      </c>
      <c r="I185">
        <v>145.80000000000001</v>
      </c>
      <c r="J185" s="35">
        <v>43238</v>
      </c>
      <c r="K185" s="48">
        <f t="shared" si="6"/>
        <v>9.0000000000000018</v>
      </c>
      <c r="L185" s="48" t="str">
        <f t="shared" si="7"/>
        <v>sex</v>
      </c>
      <c r="M185" s="48" t="str">
        <f>VLOOKUP(A185,RECEITAS!A:B,2,FALSE)</f>
        <v>DIRETO</v>
      </c>
      <c r="N185" s="48" t="str">
        <f t="shared" si="8"/>
        <v>sex</v>
      </c>
      <c r="O185" s="35">
        <v>43238</v>
      </c>
    </row>
    <row r="186" spans="1:15" x14ac:dyDescent="0.3">
      <c r="A186" t="s">
        <v>27</v>
      </c>
      <c r="B186" t="s">
        <v>29</v>
      </c>
      <c r="C186">
        <v>25</v>
      </c>
      <c r="D186">
        <v>0.1</v>
      </c>
      <c r="E186" t="s">
        <v>105</v>
      </c>
      <c r="F186" s="35">
        <v>43238</v>
      </c>
      <c r="G186">
        <v>6</v>
      </c>
      <c r="H186">
        <v>8.76</v>
      </c>
      <c r="I186">
        <v>219</v>
      </c>
      <c r="J186" s="35">
        <v>43238</v>
      </c>
      <c r="K186" s="48">
        <f t="shared" si="6"/>
        <v>15.000000000000002</v>
      </c>
      <c r="L186" s="48" t="str">
        <f t="shared" si="7"/>
        <v>sex</v>
      </c>
      <c r="M186" s="48" t="str">
        <f>VLOOKUP(A186,RECEITAS!A:B,2,FALSE)</f>
        <v>DIRETO</v>
      </c>
      <c r="N186" s="48" t="str">
        <f t="shared" si="8"/>
        <v>sex</v>
      </c>
      <c r="O186" s="35">
        <v>43238</v>
      </c>
    </row>
    <row r="187" spans="1:15" x14ac:dyDescent="0.3">
      <c r="A187" t="s">
        <v>87</v>
      </c>
      <c r="B187" t="s">
        <v>88</v>
      </c>
      <c r="C187">
        <v>1</v>
      </c>
      <c r="D187">
        <v>1</v>
      </c>
      <c r="E187" t="s">
        <v>105</v>
      </c>
      <c r="F187" s="35">
        <v>43238</v>
      </c>
      <c r="G187">
        <v>1</v>
      </c>
      <c r="H187">
        <v>22.1</v>
      </c>
      <c r="I187">
        <v>22.1</v>
      </c>
      <c r="J187" s="35">
        <v>43238</v>
      </c>
      <c r="K187" s="48">
        <f t="shared" si="6"/>
        <v>1</v>
      </c>
      <c r="L187" s="48" t="str">
        <f t="shared" si="7"/>
        <v>sex</v>
      </c>
      <c r="M187" s="48" t="e">
        <f>VLOOKUP(A187,RECEITAS!A:B,2,FALSE)</f>
        <v>#N/A</v>
      </c>
      <c r="N187" s="48" t="str">
        <f t="shared" si="8"/>
        <v>sex</v>
      </c>
      <c r="O187" s="35">
        <v>43238</v>
      </c>
    </row>
    <row r="188" spans="1:15" x14ac:dyDescent="0.3">
      <c r="A188" t="s">
        <v>36</v>
      </c>
      <c r="B188" t="s">
        <v>37</v>
      </c>
      <c r="C188">
        <v>2</v>
      </c>
      <c r="D188">
        <v>0.13</v>
      </c>
      <c r="E188" t="s">
        <v>106</v>
      </c>
      <c r="F188" s="35">
        <v>43238</v>
      </c>
      <c r="G188">
        <v>6</v>
      </c>
      <c r="H188">
        <v>12</v>
      </c>
      <c r="I188">
        <v>24</v>
      </c>
      <c r="J188" s="35">
        <v>43238</v>
      </c>
      <c r="K188" s="48">
        <f t="shared" si="6"/>
        <v>1.56</v>
      </c>
      <c r="L188" s="48" t="str">
        <f t="shared" si="7"/>
        <v>sex</v>
      </c>
      <c r="M188" s="48" t="str">
        <f>VLOOKUP(A188,RECEITAS!A:B,2,FALSE)</f>
        <v>RÚSTICO</v>
      </c>
      <c r="N188" s="48" t="str">
        <f t="shared" si="8"/>
        <v>sex</v>
      </c>
      <c r="O188" s="35">
        <v>43238</v>
      </c>
    </row>
    <row r="189" spans="1:15" x14ac:dyDescent="0.3">
      <c r="A189" t="s">
        <v>62</v>
      </c>
      <c r="B189" t="s">
        <v>31</v>
      </c>
      <c r="C189">
        <v>4</v>
      </c>
      <c r="D189">
        <v>0.4</v>
      </c>
      <c r="E189" t="s">
        <v>106</v>
      </c>
      <c r="F189" s="35">
        <v>43238</v>
      </c>
      <c r="G189">
        <v>5</v>
      </c>
      <c r="H189">
        <v>24</v>
      </c>
      <c r="I189">
        <v>96</v>
      </c>
      <c r="J189" s="35">
        <v>43238</v>
      </c>
      <c r="K189" s="48">
        <f t="shared" si="6"/>
        <v>8</v>
      </c>
      <c r="L189" s="48" t="str">
        <f t="shared" si="7"/>
        <v>sex</v>
      </c>
      <c r="M189" s="48" t="str">
        <f>VLOOKUP(A189,RECEITAS!A:B,2,FALSE)</f>
        <v>RÚSTICO</v>
      </c>
      <c r="N189" s="48" t="str">
        <f t="shared" si="8"/>
        <v>sex</v>
      </c>
      <c r="O189" s="35">
        <v>43238</v>
      </c>
    </row>
    <row r="190" spans="1:15" x14ac:dyDescent="0.3">
      <c r="A190" t="s">
        <v>68</v>
      </c>
      <c r="B190" t="s">
        <v>107</v>
      </c>
      <c r="C190">
        <v>15</v>
      </c>
      <c r="D190">
        <v>0.15</v>
      </c>
      <c r="E190" t="s">
        <v>106</v>
      </c>
      <c r="F190" s="35">
        <v>43238</v>
      </c>
      <c r="G190">
        <v>1</v>
      </c>
      <c r="H190">
        <v>1.8</v>
      </c>
      <c r="I190">
        <v>27</v>
      </c>
      <c r="J190" s="35">
        <v>43238</v>
      </c>
      <c r="K190" s="48">
        <f t="shared" si="6"/>
        <v>2.25</v>
      </c>
      <c r="L190" s="48" t="str">
        <f t="shared" si="7"/>
        <v>sex</v>
      </c>
      <c r="M190" s="48" t="str">
        <f>VLOOKUP(A190,RECEITAS!A:B,2,FALSE)</f>
        <v>RÚSTICO</v>
      </c>
      <c r="N190" s="48" t="str">
        <f t="shared" si="8"/>
        <v>sex</v>
      </c>
      <c r="O190" s="35">
        <v>43238</v>
      </c>
    </row>
    <row r="191" spans="1:15" x14ac:dyDescent="0.3">
      <c r="A191" t="s">
        <v>72</v>
      </c>
      <c r="B191" t="s">
        <v>90</v>
      </c>
      <c r="C191">
        <v>2</v>
      </c>
      <c r="D191">
        <v>0.6</v>
      </c>
      <c r="E191" t="s">
        <v>106</v>
      </c>
      <c r="F191" s="35">
        <v>43238</v>
      </c>
      <c r="G191">
        <v>1</v>
      </c>
      <c r="H191">
        <v>5.9</v>
      </c>
      <c r="I191">
        <v>11.8</v>
      </c>
      <c r="J191" s="35">
        <v>43238</v>
      </c>
      <c r="K191" s="48">
        <f t="shared" si="6"/>
        <v>1.2</v>
      </c>
      <c r="L191" s="48" t="str">
        <f t="shared" si="7"/>
        <v>sex</v>
      </c>
      <c r="M191" s="48" t="str">
        <f>VLOOKUP(A191,RECEITAS!A:B,2,FALSE)</f>
        <v>RÚSTICO</v>
      </c>
      <c r="N191" s="48" t="str">
        <f t="shared" si="8"/>
        <v>sex</v>
      </c>
      <c r="O191" s="35">
        <v>43238</v>
      </c>
    </row>
    <row r="192" spans="1:15" x14ac:dyDescent="0.3">
      <c r="A192" t="s">
        <v>30</v>
      </c>
      <c r="B192" t="s">
        <v>31</v>
      </c>
      <c r="C192">
        <v>1</v>
      </c>
      <c r="D192">
        <v>0.35</v>
      </c>
      <c r="E192" t="s">
        <v>106</v>
      </c>
      <c r="F192" s="35">
        <v>43238</v>
      </c>
      <c r="G192">
        <v>5</v>
      </c>
      <c r="H192">
        <v>18.3</v>
      </c>
      <c r="I192">
        <v>18.3</v>
      </c>
      <c r="J192" s="35">
        <v>43238</v>
      </c>
      <c r="K192" s="48">
        <f t="shared" si="6"/>
        <v>1.75</v>
      </c>
      <c r="L192" s="48" t="str">
        <f t="shared" si="7"/>
        <v>sex</v>
      </c>
      <c r="M192" s="48" t="str">
        <f>VLOOKUP(A192,RECEITAS!A:B,2,FALSE)</f>
        <v>RÚSTICO</v>
      </c>
      <c r="N192" s="48" t="str">
        <f t="shared" si="8"/>
        <v>sex</v>
      </c>
      <c r="O192" s="35">
        <v>43238</v>
      </c>
    </row>
    <row r="193" spans="1:15" x14ac:dyDescent="0.3">
      <c r="A193" t="s">
        <v>33</v>
      </c>
      <c r="B193" t="s">
        <v>31</v>
      </c>
      <c r="C193">
        <v>2</v>
      </c>
      <c r="D193">
        <v>0.25</v>
      </c>
      <c r="E193" t="s">
        <v>106</v>
      </c>
      <c r="F193" s="35">
        <v>43238</v>
      </c>
      <c r="G193">
        <v>5</v>
      </c>
      <c r="H193">
        <v>12.8</v>
      </c>
      <c r="I193">
        <v>25.6</v>
      </c>
      <c r="J193" s="35">
        <v>43238</v>
      </c>
      <c r="K193" s="48">
        <f t="shared" si="6"/>
        <v>2.5</v>
      </c>
      <c r="L193" s="48" t="str">
        <f t="shared" si="7"/>
        <v>sex</v>
      </c>
      <c r="M193" s="48" t="str">
        <f>VLOOKUP(A193,RECEITAS!A:B,2,FALSE)</f>
        <v>RÚSTICO</v>
      </c>
      <c r="N193" s="48" t="str">
        <f t="shared" si="8"/>
        <v>sex</v>
      </c>
      <c r="O193" s="35">
        <v>43238</v>
      </c>
    </row>
    <row r="194" spans="1:15" x14ac:dyDescent="0.3">
      <c r="A194" t="s">
        <v>40</v>
      </c>
      <c r="B194" t="s">
        <v>108</v>
      </c>
      <c r="C194">
        <v>11</v>
      </c>
      <c r="D194">
        <v>0.08</v>
      </c>
      <c r="E194" t="s">
        <v>109</v>
      </c>
      <c r="F194" s="35">
        <v>43238</v>
      </c>
      <c r="G194">
        <v>6</v>
      </c>
      <c r="H194">
        <v>6.06</v>
      </c>
      <c r="I194">
        <v>66.66</v>
      </c>
      <c r="J194" s="35">
        <v>43238</v>
      </c>
      <c r="K194" s="48">
        <f t="shared" si="6"/>
        <v>5.2799999999999994</v>
      </c>
      <c r="L194" s="48" t="str">
        <f t="shared" si="7"/>
        <v>sex</v>
      </c>
      <c r="M194" s="48" t="str">
        <f>VLOOKUP(A194,RECEITAS!A:B,2,FALSE)</f>
        <v>DIRETO</v>
      </c>
      <c r="N194" s="48" t="str">
        <f t="shared" si="8"/>
        <v>sex</v>
      </c>
      <c r="O194" s="35">
        <v>43238</v>
      </c>
    </row>
    <row r="195" spans="1:15" x14ac:dyDescent="0.3">
      <c r="A195" t="s">
        <v>62</v>
      </c>
      <c r="B195" t="s">
        <v>31</v>
      </c>
      <c r="C195">
        <v>5</v>
      </c>
      <c r="D195">
        <v>0.4</v>
      </c>
      <c r="E195" t="s">
        <v>109</v>
      </c>
      <c r="F195" s="35">
        <v>43238</v>
      </c>
      <c r="G195">
        <v>5</v>
      </c>
      <c r="H195">
        <v>24</v>
      </c>
      <c r="I195">
        <v>120</v>
      </c>
      <c r="J195" s="35">
        <v>43238</v>
      </c>
      <c r="K195" s="48">
        <f t="shared" ref="K195:K258" si="9">G195*D195*C195</f>
        <v>10</v>
      </c>
      <c r="L195" s="48" t="str">
        <f t="shared" ref="L195:L258" si="10">IF(F195=0,"",TEXT(F195,"DDD"))</f>
        <v>sex</v>
      </c>
      <c r="M195" s="48" t="str">
        <f>VLOOKUP(A195,RECEITAS!A:B,2,FALSE)</f>
        <v>RÚSTICO</v>
      </c>
      <c r="N195" s="48" t="str">
        <f t="shared" ref="N195:N258" si="11">IF(J195=0,"",TEXT(J195,"ddd"))</f>
        <v>sex</v>
      </c>
      <c r="O195" s="35">
        <v>43238</v>
      </c>
    </row>
    <row r="196" spans="1:15" x14ac:dyDescent="0.3">
      <c r="A196" t="s">
        <v>30</v>
      </c>
      <c r="B196" t="s">
        <v>43</v>
      </c>
      <c r="C196">
        <v>11</v>
      </c>
      <c r="D196">
        <v>0.13</v>
      </c>
      <c r="E196" t="s">
        <v>109</v>
      </c>
      <c r="F196" s="35">
        <v>43238</v>
      </c>
      <c r="G196">
        <v>5</v>
      </c>
      <c r="H196">
        <v>9</v>
      </c>
      <c r="I196">
        <v>99</v>
      </c>
      <c r="J196" s="35">
        <v>43238</v>
      </c>
      <c r="K196" s="48">
        <f t="shared" si="9"/>
        <v>7.15</v>
      </c>
      <c r="L196" s="48" t="str">
        <f t="shared" si="10"/>
        <v>sex</v>
      </c>
      <c r="M196" s="48" t="str">
        <f>VLOOKUP(A196,RECEITAS!A:B,2,FALSE)</f>
        <v>RÚSTICO</v>
      </c>
      <c r="N196" s="48" t="str">
        <f t="shared" si="11"/>
        <v>sex</v>
      </c>
      <c r="O196" s="35">
        <v>43238</v>
      </c>
    </row>
    <row r="197" spans="1:15" x14ac:dyDescent="0.3">
      <c r="A197" t="s">
        <v>30</v>
      </c>
      <c r="B197" t="s">
        <v>43</v>
      </c>
      <c r="C197">
        <v>5</v>
      </c>
      <c r="D197">
        <v>0.15</v>
      </c>
      <c r="E197" t="s">
        <v>89</v>
      </c>
      <c r="F197" s="35">
        <v>43238</v>
      </c>
      <c r="G197">
        <v>3</v>
      </c>
      <c r="H197">
        <v>6.3</v>
      </c>
      <c r="I197">
        <v>31.5</v>
      </c>
      <c r="J197" s="35">
        <v>43238</v>
      </c>
      <c r="K197" s="48">
        <f t="shared" si="9"/>
        <v>2.25</v>
      </c>
      <c r="L197" s="48" t="str">
        <f t="shared" si="10"/>
        <v>sex</v>
      </c>
      <c r="M197" s="48" t="str">
        <f>VLOOKUP(A197,RECEITAS!A:B,2,FALSE)</f>
        <v>RÚSTICO</v>
      </c>
      <c r="N197" s="48" t="str">
        <f t="shared" si="11"/>
        <v>sex</v>
      </c>
      <c r="O197" s="35">
        <v>43238</v>
      </c>
    </row>
    <row r="198" spans="1:15" x14ac:dyDescent="0.3">
      <c r="A198" t="s">
        <v>40</v>
      </c>
      <c r="B198" t="s">
        <v>37</v>
      </c>
      <c r="C198">
        <v>60</v>
      </c>
      <c r="D198">
        <v>0.08</v>
      </c>
      <c r="E198" t="s">
        <v>89</v>
      </c>
      <c r="F198" s="35">
        <v>43238</v>
      </c>
      <c r="G198">
        <v>1</v>
      </c>
      <c r="H198">
        <v>0.8</v>
      </c>
      <c r="I198">
        <v>48</v>
      </c>
      <c r="J198" s="35">
        <v>43238</v>
      </c>
      <c r="K198" s="48">
        <f t="shared" si="9"/>
        <v>4.8</v>
      </c>
      <c r="L198" s="48" t="str">
        <f t="shared" si="10"/>
        <v>sex</v>
      </c>
      <c r="M198" s="48" t="str">
        <f>VLOOKUP(A198,RECEITAS!A:B,2,FALSE)</f>
        <v>DIRETO</v>
      </c>
      <c r="N198" s="48" t="str">
        <f t="shared" si="11"/>
        <v>sex</v>
      </c>
      <c r="O198" s="35">
        <v>43238</v>
      </c>
    </row>
    <row r="199" spans="1:15" x14ac:dyDescent="0.3">
      <c r="A199" t="s">
        <v>36</v>
      </c>
      <c r="B199" t="s">
        <v>37</v>
      </c>
      <c r="C199">
        <v>5</v>
      </c>
      <c r="D199">
        <v>0.13</v>
      </c>
      <c r="E199" t="s">
        <v>89</v>
      </c>
      <c r="F199" s="35">
        <v>43238</v>
      </c>
      <c r="G199">
        <v>3</v>
      </c>
      <c r="H199">
        <v>7.5</v>
      </c>
      <c r="I199">
        <v>37.5</v>
      </c>
      <c r="J199" s="35">
        <v>43238</v>
      </c>
      <c r="K199" s="48">
        <f t="shared" si="9"/>
        <v>1.9500000000000002</v>
      </c>
      <c r="L199" s="48" t="str">
        <f t="shared" si="10"/>
        <v>sex</v>
      </c>
      <c r="M199" s="48" t="str">
        <f>VLOOKUP(A199,RECEITAS!A:B,2,FALSE)</f>
        <v>RÚSTICO</v>
      </c>
      <c r="N199" s="48" t="str">
        <f t="shared" si="11"/>
        <v>sex</v>
      </c>
      <c r="O199" s="35">
        <v>43238</v>
      </c>
    </row>
    <row r="200" spans="1:15" x14ac:dyDescent="0.3">
      <c r="A200" t="s">
        <v>25</v>
      </c>
      <c r="B200" t="s">
        <v>29</v>
      </c>
      <c r="C200">
        <v>4</v>
      </c>
      <c r="D200">
        <v>0.1</v>
      </c>
      <c r="E200" t="s">
        <v>121</v>
      </c>
      <c r="F200" s="35">
        <v>43238</v>
      </c>
      <c r="G200">
        <v>6</v>
      </c>
      <c r="H200">
        <v>9.7200000000000006</v>
      </c>
      <c r="I200">
        <v>38.880000000000003</v>
      </c>
      <c r="J200" s="35">
        <v>43238</v>
      </c>
      <c r="K200" s="48">
        <f t="shared" si="9"/>
        <v>2.4000000000000004</v>
      </c>
      <c r="L200" s="48" t="str">
        <f t="shared" si="10"/>
        <v>sex</v>
      </c>
      <c r="M200" s="48" t="str">
        <f>VLOOKUP(A200,RECEITAS!A:B,2,FALSE)</f>
        <v>DIRETO</v>
      </c>
      <c r="N200" s="48" t="str">
        <f t="shared" si="11"/>
        <v>sex</v>
      </c>
      <c r="O200" s="35">
        <v>43238</v>
      </c>
    </row>
    <row r="201" spans="1:15" x14ac:dyDescent="0.3">
      <c r="A201" t="s">
        <v>27</v>
      </c>
      <c r="B201" t="s">
        <v>29</v>
      </c>
      <c r="C201">
        <v>30</v>
      </c>
      <c r="D201">
        <v>0.1</v>
      </c>
      <c r="E201" t="s">
        <v>121</v>
      </c>
      <c r="F201" s="35">
        <v>43238</v>
      </c>
      <c r="G201">
        <v>6</v>
      </c>
      <c r="H201">
        <v>8.76</v>
      </c>
      <c r="I201">
        <v>262.8</v>
      </c>
      <c r="J201" s="35">
        <v>43238</v>
      </c>
      <c r="K201" s="48">
        <f t="shared" si="9"/>
        <v>18.000000000000004</v>
      </c>
      <c r="L201" s="48" t="str">
        <f t="shared" si="10"/>
        <v>sex</v>
      </c>
      <c r="M201" s="48" t="str">
        <f>VLOOKUP(A201,RECEITAS!A:B,2,FALSE)</f>
        <v>DIRETO</v>
      </c>
      <c r="N201" s="48" t="str">
        <f t="shared" si="11"/>
        <v>sex</v>
      </c>
      <c r="O201" s="35">
        <v>43238</v>
      </c>
    </row>
    <row r="202" spans="1:15" x14ac:dyDescent="0.3">
      <c r="A202" t="s">
        <v>28</v>
      </c>
      <c r="B202" t="s">
        <v>29</v>
      </c>
      <c r="C202">
        <v>1</v>
      </c>
      <c r="D202">
        <v>0.1</v>
      </c>
      <c r="E202" t="s">
        <v>121</v>
      </c>
      <c r="F202" s="35">
        <v>43238</v>
      </c>
      <c r="G202">
        <v>6</v>
      </c>
      <c r="H202">
        <v>10.8</v>
      </c>
      <c r="I202">
        <v>10.8</v>
      </c>
      <c r="J202" s="35">
        <v>43238</v>
      </c>
      <c r="K202" s="48">
        <f t="shared" si="9"/>
        <v>0.60000000000000009</v>
      </c>
      <c r="L202" s="48" t="str">
        <f t="shared" si="10"/>
        <v>sex</v>
      </c>
      <c r="M202" s="48" t="str">
        <f>VLOOKUP(A202,RECEITAS!A:B,2,FALSE)</f>
        <v>DIRETO</v>
      </c>
      <c r="N202" s="48" t="str">
        <f t="shared" si="11"/>
        <v>sex</v>
      </c>
      <c r="O202" s="35">
        <v>43238</v>
      </c>
    </row>
    <row r="203" spans="1:15" x14ac:dyDescent="0.3">
      <c r="A203" t="s">
        <v>27</v>
      </c>
      <c r="B203" t="s">
        <v>29</v>
      </c>
      <c r="C203">
        <v>34</v>
      </c>
      <c r="D203">
        <v>0.08</v>
      </c>
      <c r="E203" t="s">
        <v>120</v>
      </c>
      <c r="F203" s="35">
        <v>43238</v>
      </c>
      <c r="G203">
        <v>6</v>
      </c>
      <c r="H203">
        <v>5.58</v>
      </c>
      <c r="I203">
        <v>189.72</v>
      </c>
      <c r="J203" s="35">
        <v>43238</v>
      </c>
      <c r="K203" s="48">
        <f t="shared" si="9"/>
        <v>16.32</v>
      </c>
      <c r="L203" s="48" t="str">
        <f t="shared" si="10"/>
        <v>sex</v>
      </c>
      <c r="M203" s="48" t="str">
        <f>VLOOKUP(A203,RECEITAS!A:B,2,FALSE)</f>
        <v>DIRETO</v>
      </c>
      <c r="N203" s="48" t="str">
        <f t="shared" si="11"/>
        <v>sex</v>
      </c>
      <c r="O203" s="35">
        <v>43238</v>
      </c>
    </row>
    <row r="204" spans="1:15" x14ac:dyDescent="0.3">
      <c r="A204" t="s">
        <v>68</v>
      </c>
      <c r="B204" t="s">
        <v>68</v>
      </c>
      <c r="C204">
        <v>4</v>
      </c>
      <c r="D204">
        <v>1</v>
      </c>
      <c r="E204" t="s">
        <v>120</v>
      </c>
      <c r="F204" s="35">
        <v>43238</v>
      </c>
      <c r="G204">
        <v>4</v>
      </c>
      <c r="H204">
        <v>45</v>
      </c>
      <c r="I204">
        <v>180</v>
      </c>
      <c r="J204" s="35">
        <v>43238</v>
      </c>
      <c r="K204" s="48">
        <f t="shared" si="9"/>
        <v>16</v>
      </c>
      <c r="L204" s="48" t="str">
        <f t="shared" si="10"/>
        <v>sex</v>
      </c>
      <c r="M204" s="48" t="str">
        <f>VLOOKUP(A204,RECEITAS!A:B,2,FALSE)</f>
        <v>RÚSTICO</v>
      </c>
      <c r="N204" s="48" t="str">
        <f t="shared" si="11"/>
        <v>sex</v>
      </c>
      <c r="O204" s="35">
        <v>43238</v>
      </c>
    </row>
    <row r="205" spans="1:15" x14ac:dyDescent="0.3">
      <c r="A205" t="s">
        <v>30</v>
      </c>
      <c r="B205" t="s">
        <v>43</v>
      </c>
      <c r="C205">
        <v>5</v>
      </c>
      <c r="D205">
        <v>0.13</v>
      </c>
      <c r="E205" t="s">
        <v>120</v>
      </c>
      <c r="F205" s="35">
        <v>43238</v>
      </c>
      <c r="G205">
        <v>2</v>
      </c>
      <c r="H205">
        <v>2.7</v>
      </c>
      <c r="I205">
        <v>13.5</v>
      </c>
      <c r="J205" s="35">
        <v>43238</v>
      </c>
      <c r="K205" s="48">
        <f t="shared" si="9"/>
        <v>1.3</v>
      </c>
      <c r="L205" s="48" t="str">
        <f t="shared" si="10"/>
        <v>sex</v>
      </c>
      <c r="M205" s="48" t="str">
        <f>VLOOKUP(A205,RECEITAS!A:B,2,FALSE)</f>
        <v>RÚSTICO</v>
      </c>
      <c r="N205" s="48" t="str">
        <f t="shared" si="11"/>
        <v>sex</v>
      </c>
      <c r="O205" s="35">
        <v>43238</v>
      </c>
    </row>
    <row r="206" spans="1:15" x14ac:dyDescent="0.3">
      <c r="A206" t="s">
        <v>33</v>
      </c>
      <c r="B206" t="s">
        <v>31</v>
      </c>
      <c r="C206">
        <v>2</v>
      </c>
      <c r="D206">
        <v>0.13</v>
      </c>
      <c r="E206" t="s">
        <v>120</v>
      </c>
      <c r="F206" s="35">
        <v>43238</v>
      </c>
      <c r="G206">
        <v>5</v>
      </c>
      <c r="H206">
        <v>6.3</v>
      </c>
      <c r="I206">
        <v>12.6</v>
      </c>
      <c r="J206" s="35">
        <v>43238</v>
      </c>
      <c r="K206" s="48">
        <f t="shared" si="9"/>
        <v>1.3</v>
      </c>
      <c r="L206" s="48" t="str">
        <f t="shared" si="10"/>
        <v>sex</v>
      </c>
      <c r="M206" s="48" t="str">
        <f>VLOOKUP(A206,RECEITAS!A:B,2,FALSE)</f>
        <v>RÚSTICO</v>
      </c>
      <c r="N206" s="48" t="str">
        <f t="shared" si="11"/>
        <v>sex</v>
      </c>
      <c r="O206" s="35">
        <v>43238</v>
      </c>
    </row>
    <row r="207" spans="1:15" x14ac:dyDescent="0.3">
      <c r="A207" t="s">
        <v>40</v>
      </c>
      <c r="B207" t="s">
        <v>37</v>
      </c>
      <c r="C207">
        <v>6</v>
      </c>
      <c r="D207">
        <v>0.11</v>
      </c>
      <c r="E207" t="s">
        <v>118</v>
      </c>
      <c r="F207" s="35">
        <v>43238</v>
      </c>
      <c r="G207">
        <v>5</v>
      </c>
      <c r="H207">
        <v>5</v>
      </c>
      <c r="I207">
        <v>30</v>
      </c>
      <c r="J207" s="35">
        <v>43238</v>
      </c>
      <c r="K207" s="48">
        <f t="shared" si="9"/>
        <v>3.3000000000000003</v>
      </c>
      <c r="L207" s="48" t="str">
        <f t="shared" si="10"/>
        <v>sex</v>
      </c>
      <c r="M207" s="48" t="str">
        <f>VLOOKUP(A207,RECEITAS!A:B,2,FALSE)</f>
        <v>DIRETO</v>
      </c>
      <c r="N207" s="48" t="str">
        <f t="shared" si="11"/>
        <v>sex</v>
      </c>
      <c r="O207" s="35">
        <v>43238</v>
      </c>
    </row>
    <row r="208" spans="1:15" x14ac:dyDescent="0.3">
      <c r="A208" t="s">
        <v>119</v>
      </c>
      <c r="B208" t="s">
        <v>43</v>
      </c>
      <c r="C208">
        <v>4</v>
      </c>
      <c r="D208">
        <v>0.13</v>
      </c>
      <c r="E208" t="s">
        <v>118</v>
      </c>
      <c r="F208" s="35">
        <v>43238</v>
      </c>
      <c r="G208">
        <v>4</v>
      </c>
      <c r="H208">
        <v>8.16</v>
      </c>
      <c r="I208">
        <v>32.64</v>
      </c>
      <c r="J208" s="35">
        <v>43238</v>
      </c>
      <c r="K208" s="48">
        <f t="shared" si="9"/>
        <v>2.08</v>
      </c>
      <c r="L208" s="48" t="str">
        <f t="shared" si="10"/>
        <v>sex</v>
      </c>
      <c r="M208" s="48" t="e">
        <f>VLOOKUP(A208,RECEITAS!A:B,2,FALSE)</f>
        <v>#N/A</v>
      </c>
      <c r="N208" s="48" t="str">
        <f t="shared" si="11"/>
        <v>sex</v>
      </c>
      <c r="O208" s="35">
        <v>43238</v>
      </c>
    </row>
    <row r="209" spans="1:15" x14ac:dyDescent="0.3">
      <c r="A209" t="s">
        <v>40</v>
      </c>
      <c r="B209" t="s">
        <v>29</v>
      </c>
      <c r="C209">
        <v>6</v>
      </c>
      <c r="D209">
        <v>0.11</v>
      </c>
      <c r="E209" t="s">
        <v>118</v>
      </c>
      <c r="F209" s="35">
        <v>43238</v>
      </c>
      <c r="G209">
        <v>5</v>
      </c>
      <c r="H209">
        <v>5</v>
      </c>
      <c r="I209">
        <v>30</v>
      </c>
      <c r="J209" s="35">
        <v>43238</v>
      </c>
      <c r="K209" s="48">
        <f t="shared" si="9"/>
        <v>3.3000000000000003</v>
      </c>
      <c r="L209" s="48" t="str">
        <f t="shared" si="10"/>
        <v>sex</v>
      </c>
      <c r="M209" s="48" t="str">
        <f>VLOOKUP(A209,RECEITAS!A:B,2,FALSE)</f>
        <v>DIRETO</v>
      </c>
      <c r="N209" s="48" t="str">
        <f t="shared" si="11"/>
        <v>sex</v>
      </c>
      <c r="O209" s="35">
        <v>43238</v>
      </c>
    </row>
    <row r="210" spans="1:15" x14ac:dyDescent="0.3">
      <c r="A210" t="s">
        <v>27</v>
      </c>
      <c r="B210" t="s">
        <v>29</v>
      </c>
      <c r="C210">
        <v>6</v>
      </c>
      <c r="D210">
        <v>0.1</v>
      </c>
      <c r="E210" t="s">
        <v>118</v>
      </c>
      <c r="F210" s="35">
        <v>43238</v>
      </c>
      <c r="G210">
        <v>6</v>
      </c>
      <c r="H210">
        <v>8.76</v>
      </c>
      <c r="I210">
        <v>52.56</v>
      </c>
      <c r="J210" s="35">
        <v>43238</v>
      </c>
      <c r="K210" s="48">
        <f t="shared" si="9"/>
        <v>3.6000000000000005</v>
      </c>
      <c r="L210" s="48" t="str">
        <f t="shared" si="10"/>
        <v>sex</v>
      </c>
      <c r="M210" s="48" t="str">
        <f>VLOOKUP(A210,RECEITAS!A:B,2,FALSE)</f>
        <v>DIRETO</v>
      </c>
      <c r="N210" s="48" t="str">
        <f t="shared" si="11"/>
        <v>sex</v>
      </c>
      <c r="O210" s="35">
        <v>43238</v>
      </c>
    </row>
    <row r="211" spans="1:15" x14ac:dyDescent="0.3">
      <c r="A211" t="s">
        <v>62</v>
      </c>
      <c r="B211" t="s">
        <v>117</v>
      </c>
      <c r="C211">
        <v>6</v>
      </c>
      <c r="D211">
        <v>0.4</v>
      </c>
      <c r="E211" t="s">
        <v>89</v>
      </c>
      <c r="F211" s="35">
        <v>43238</v>
      </c>
      <c r="G211">
        <v>1</v>
      </c>
      <c r="H211">
        <v>6</v>
      </c>
      <c r="I211">
        <v>36</v>
      </c>
      <c r="J211" s="35">
        <v>43238</v>
      </c>
      <c r="K211" s="48">
        <f t="shared" si="9"/>
        <v>2.4000000000000004</v>
      </c>
      <c r="L211" s="48" t="str">
        <f t="shared" si="10"/>
        <v>sex</v>
      </c>
      <c r="M211" s="48" t="str">
        <f>VLOOKUP(A211,RECEITAS!A:B,2,FALSE)</f>
        <v>RÚSTICO</v>
      </c>
      <c r="N211" s="48" t="str">
        <f t="shared" si="11"/>
        <v>sex</v>
      </c>
      <c r="O211" s="35">
        <v>43238</v>
      </c>
    </row>
    <row r="212" spans="1:15" x14ac:dyDescent="0.3">
      <c r="A212" t="s">
        <v>30</v>
      </c>
      <c r="B212" t="s">
        <v>31</v>
      </c>
      <c r="C212">
        <v>10</v>
      </c>
      <c r="D212">
        <v>0.35</v>
      </c>
      <c r="E212" t="s">
        <v>89</v>
      </c>
      <c r="F212" s="35">
        <v>43238</v>
      </c>
      <c r="G212">
        <v>1</v>
      </c>
      <c r="H212">
        <v>11.25</v>
      </c>
      <c r="I212">
        <v>112.5</v>
      </c>
      <c r="J212" s="35">
        <v>43238</v>
      </c>
      <c r="K212" s="48">
        <f t="shared" si="9"/>
        <v>3.5</v>
      </c>
      <c r="L212" s="48" t="str">
        <f t="shared" si="10"/>
        <v>sex</v>
      </c>
      <c r="M212" s="48" t="str">
        <f>VLOOKUP(A212,RECEITAS!A:B,2,FALSE)</f>
        <v>RÚSTICO</v>
      </c>
      <c r="N212" s="48" t="str">
        <f t="shared" si="11"/>
        <v>sex</v>
      </c>
      <c r="O212" s="35">
        <v>43238</v>
      </c>
    </row>
    <row r="213" spans="1:15" x14ac:dyDescent="0.3">
      <c r="A213" t="s">
        <v>30</v>
      </c>
      <c r="B213" t="s">
        <v>31</v>
      </c>
      <c r="C213">
        <v>10</v>
      </c>
      <c r="D213">
        <v>0.35</v>
      </c>
      <c r="E213" t="s">
        <v>89</v>
      </c>
      <c r="F213" s="35">
        <v>43238</v>
      </c>
      <c r="G213">
        <v>1</v>
      </c>
      <c r="H213">
        <v>11.25</v>
      </c>
      <c r="I213">
        <v>112.5</v>
      </c>
      <c r="J213" s="35">
        <v>43238</v>
      </c>
      <c r="K213" s="48">
        <f t="shared" si="9"/>
        <v>3.5</v>
      </c>
      <c r="L213" s="48" t="str">
        <f t="shared" si="10"/>
        <v>sex</v>
      </c>
      <c r="M213" s="48" t="str">
        <f>VLOOKUP(A213,RECEITAS!A:B,2,FALSE)</f>
        <v>RÚSTICO</v>
      </c>
      <c r="N213" s="48" t="str">
        <f t="shared" si="11"/>
        <v>sex</v>
      </c>
      <c r="O213" s="35">
        <v>43238</v>
      </c>
    </row>
    <row r="214" spans="1:15" x14ac:dyDescent="0.3">
      <c r="A214" t="s">
        <v>51</v>
      </c>
      <c r="B214" t="s">
        <v>29</v>
      </c>
      <c r="C214">
        <v>4</v>
      </c>
      <c r="D214">
        <v>0.04</v>
      </c>
      <c r="E214" t="s">
        <v>89</v>
      </c>
      <c r="F214" s="35">
        <v>43238</v>
      </c>
      <c r="G214">
        <v>15</v>
      </c>
      <c r="H214">
        <v>8.25</v>
      </c>
      <c r="I214">
        <v>33</v>
      </c>
      <c r="J214" s="35">
        <v>43238</v>
      </c>
      <c r="K214" s="48">
        <f t="shared" si="9"/>
        <v>2.4</v>
      </c>
      <c r="L214" s="48" t="str">
        <f t="shared" si="10"/>
        <v>sex</v>
      </c>
      <c r="M214" s="48" t="str">
        <f>VLOOKUP(A214,RECEITAS!A:B,2,FALSE)</f>
        <v>DIRETO</v>
      </c>
      <c r="N214" s="48" t="str">
        <f t="shared" si="11"/>
        <v>sex</v>
      </c>
      <c r="O214" s="35">
        <v>43238</v>
      </c>
    </row>
    <row r="215" spans="1:15" x14ac:dyDescent="0.3">
      <c r="A215" t="s">
        <v>38</v>
      </c>
      <c r="B215" t="s">
        <v>39</v>
      </c>
      <c r="C215">
        <v>4</v>
      </c>
      <c r="D215">
        <v>0.45</v>
      </c>
      <c r="E215" t="s">
        <v>89</v>
      </c>
      <c r="F215" s="35">
        <v>43238</v>
      </c>
      <c r="G215">
        <v>1</v>
      </c>
      <c r="H215">
        <v>4.08</v>
      </c>
      <c r="I215">
        <v>16.32</v>
      </c>
      <c r="J215" s="35">
        <v>43238</v>
      </c>
      <c r="K215" s="48">
        <f t="shared" si="9"/>
        <v>1.8</v>
      </c>
      <c r="L215" s="48" t="str">
        <f t="shared" si="10"/>
        <v>sex</v>
      </c>
      <c r="M215" s="48" t="str">
        <f>VLOOKUP(A215,RECEITAS!A:B,2,FALSE)</f>
        <v>DIRETO</v>
      </c>
      <c r="N215" s="48" t="str">
        <f t="shared" si="11"/>
        <v>sex</v>
      </c>
      <c r="O215" s="35">
        <v>43238</v>
      </c>
    </row>
    <row r="216" spans="1:15" x14ac:dyDescent="0.3">
      <c r="A216" t="s">
        <v>27</v>
      </c>
      <c r="B216" t="s">
        <v>39</v>
      </c>
      <c r="C216">
        <v>2</v>
      </c>
      <c r="D216">
        <v>0.4</v>
      </c>
      <c r="E216" t="s">
        <v>89</v>
      </c>
      <c r="F216" s="35">
        <v>43238</v>
      </c>
      <c r="G216">
        <v>1</v>
      </c>
      <c r="H216">
        <v>3.45</v>
      </c>
      <c r="I216">
        <v>6.9</v>
      </c>
      <c r="J216" s="35">
        <v>43238</v>
      </c>
      <c r="K216" s="48">
        <f t="shared" si="9"/>
        <v>0.8</v>
      </c>
      <c r="L216" s="48" t="str">
        <f t="shared" si="10"/>
        <v>sex</v>
      </c>
      <c r="M216" s="48" t="str">
        <f>VLOOKUP(A216,RECEITAS!A:B,2,FALSE)</f>
        <v>DIRETO</v>
      </c>
      <c r="N216" s="48" t="str">
        <f t="shared" si="11"/>
        <v>sex</v>
      </c>
      <c r="O216" s="35">
        <v>43238</v>
      </c>
    </row>
    <row r="217" spans="1:15" x14ac:dyDescent="0.3">
      <c r="A217" t="s">
        <v>25</v>
      </c>
      <c r="B217" t="s">
        <v>29</v>
      </c>
      <c r="C217">
        <v>3</v>
      </c>
      <c r="D217">
        <v>0.08</v>
      </c>
      <c r="E217" t="s">
        <v>89</v>
      </c>
      <c r="F217" s="35">
        <v>43238</v>
      </c>
      <c r="G217">
        <v>4</v>
      </c>
      <c r="H217">
        <v>3</v>
      </c>
      <c r="I217">
        <v>9</v>
      </c>
      <c r="J217" s="35">
        <v>43238</v>
      </c>
      <c r="K217" s="48">
        <f t="shared" si="9"/>
        <v>0.96</v>
      </c>
      <c r="L217" s="48" t="str">
        <f t="shared" si="10"/>
        <v>sex</v>
      </c>
      <c r="M217" s="48" t="str">
        <f>VLOOKUP(A217,RECEITAS!A:B,2,FALSE)</f>
        <v>DIRETO</v>
      </c>
      <c r="N217" s="48" t="str">
        <f t="shared" si="11"/>
        <v>sex</v>
      </c>
      <c r="O217" s="35">
        <v>43238</v>
      </c>
    </row>
    <row r="218" spans="1:15" x14ac:dyDescent="0.3">
      <c r="A218" t="s">
        <v>27</v>
      </c>
      <c r="B218" t="s">
        <v>29</v>
      </c>
      <c r="C218">
        <v>4</v>
      </c>
      <c r="D218">
        <v>0.08</v>
      </c>
      <c r="E218" t="s">
        <v>89</v>
      </c>
      <c r="F218" s="35">
        <v>43238</v>
      </c>
      <c r="G218">
        <v>4</v>
      </c>
      <c r="H218">
        <v>2.52</v>
      </c>
      <c r="I218">
        <v>10.08</v>
      </c>
      <c r="J218" s="35">
        <v>43238</v>
      </c>
      <c r="K218" s="48">
        <f t="shared" si="9"/>
        <v>1.28</v>
      </c>
      <c r="L218" s="48" t="str">
        <f t="shared" si="10"/>
        <v>sex</v>
      </c>
      <c r="M218" s="48" t="str">
        <f>VLOOKUP(A218,RECEITAS!A:B,2,FALSE)</f>
        <v>DIRETO</v>
      </c>
      <c r="N218" s="48" t="str">
        <f t="shared" si="11"/>
        <v>sex</v>
      </c>
      <c r="O218" s="35">
        <v>43238</v>
      </c>
    </row>
    <row r="219" spans="1:15" x14ac:dyDescent="0.3">
      <c r="A219" t="s">
        <v>27</v>
      </c>
      <c r="B219" t="s">
        <v>29</v>
      </c>
      <c r="C219">
        <v>14</v>
      </c>
      <c r="D219">
        <v>0.1</v>
      </c>
      <c r="E219" t="s">
        <v>116</v>
      </c>
      <c r="F219" s="35">
        <v>43238</v>
      </c>
      <c r="G219">
        <v>6</v>
      </c>
      <c r="H219">
        <v>8.76</v>
      </c>
      <c r="I219">
        <v>122.64</v>
      </c>
      <c r="J219" s="35">
        <v>43238</v>
      </c>
      <c r="K219" s="48">
        <f t="shared" si="9"/>
        <v>8.4000000000000021</v>
      </c>
      <c r="L219" s="48" t="str">
        <f t="shared" si="10"/>
        <v>sex</v>
      </c>
      <c r="M219" s="48" t="str">
        <f>VLOOKUP(A219,RECEITAS!A:B,2,FALSE)</f>
        <v>DIRETO</v>
      </c>
      <c r="N219" s="48" t="str">
        <f t="shared" si="11"/>
        <v>sex</v>
      </c>
      <c r="O219" s="35">
        <v>43238</v>
      </c>
    </row>
    <row r="220" spans="1:15" x14ac:dyDescent="0.3">
      <c r="A220" t="s">
        <v>27</v>
      </c>
      <c r="B220" t="s">
        <v>29</v>
      </c>
      <c r="C220">
        <v>5</v>
      </c>
      <c r="D220">
        <v>0.1</v>
      </c>
      <c r="E220" t="s">
        <v>115</v>
      </c>
      <c r="F220" s="35">
        <v>43238</v>
      </c>
      <c r="G220">
        <v>6</v>
      </c>
      <c r="H220">
        <v>8.76</v>
      </c>
      <c r="I220">
        <v>43.8</v>
      </c>
      <c r="J220" s="35">
        <v>43238</v>
      </c>
      <c r="K220" s="48">
        <f t="shared" si="9"/>
        <v>3.0000000000000004</v>
      </c>
      <c r="L220" s="48" t="str">
        <f t="shared" si="10"/>
        <v>sex</v>
      </c>
      <c r="M220" s="48" t="str">
        <f>VLOOKUP(A220,RECEITAS!A:B,2,FALSE)</f>
        <v>DIRETO</v>
      </c>
      <c r="N220" s="48" t="str">
        <f t="shared" si="11"/>
        <v>sex</v>
      </c>
      <c r="O220" s="35">
        <v>43238</v>
      </c>
    </row>
    <row r="221" spans="1:15" x14ac:dyDescent="0.3">
      <c r="A221" t="s">
        <v>34</v>
      </c>
      <c r="B221" t="s">
        <v>29</v>
      </c>
      <c r="C221">
        <v>4</v>
      </c>
      <c r="D221">
        <v>0.11</v>
      </c>
      <c r="E221" t="s">
        <v>100</v>
      </c>
      <c r="F221" s="35">
        <v>43238</v>
      </c>
      <c r="G221">
        <v>6</v>
      </c>
      <c r="H221">
        <v>10.8</v>
      </c>
      <c r="I221">
        <v>43.2</v>
      </c>
      <c r="J221" s="35">
        <v>43238</v>
      </c>
      <c r="K221" s="48">
        <f t="shared" si="9"/>
        <v>2.64</v>
      </c>
      <c r="L221" s="48" t="str">
        <f t="shared" si="10"/>
        <v>sex</v>
      </c>
      <c r="M221" s="48" t="str">
        <f>VLOOKUP(A221,RECEITAS!A:B,2,FALSE)</f>
        <v>DIRETO</v>
      </c>
      <c r="N221" s="48" t="str">
        <f t="shared" si="11"/>
        <v>sex</v>
      </c>
      <c r="O221" s="35">
        <v>43238</v>
      </c>
    </row>
    <row r="222" spans="1:15" x14ac:dyDescent="0.3">
      <c r="A222" t="s">
        <v>34</v>
      </c>
      <c r="B222" t="s">
        <v>29</v>
      </c>
      <c r="C222">
        <v>7</v>
      </c>
      <c r="D222">
        <v>0.1</v>
      </c>
      <c r="E222" t="s">
        <v>96</v>
      </c>
      <c r="F222" s="35">
        <v>43238</v>
      </c>
      <c r="G222">
        <v>6</v>
      </c>
      <c r="H222">
        <v>10.8</v>
      </c>
      <c r="I222">
        <v>75.599999999999994</v>
      </c>
      <c r="J222" s="35">
        <v>43238</v>
      </c>
      <c r="K222" s="48">
        <f t="shared" si="9"/>
        <v>4.2000000000000011</v>
      </c>
      <c r="L222" s="48" t="str">
        <f t="shared" si="10"/>
        <v>sex</v>
      </c>
      <c r="M222" s="48" t="str">
        <f>VLOOKUP(A222,RECEITAS!A:B,2,FALSE)</f>
        <v>DIRETO</v>
      </c>
      <c r="N222" s="48" t="str">
        <f t="shared" si="11"/>
        <v>sex</v>
      </c>
      <c r="O222" s="35">
        <v>43238</v>
      </c>
    </row>
    <row r="223" spans="1:15" x14ac:dyDescent="0.3">
      <c r="A223" t="s">
        <v>27</v>
      </c>
      <c r="B223" t="s">
        <v>29</v>
      </c>
      <c r="C223">
        <v>6</v>
      </c>
      <c r="D223">
        <v>0.1</v>
      </c>
      <c r="E223" t="s">
        <v>96</v>
      </c>
      <c r="F223" s="35">
        <v>43238</v>
      </c>
      <c r="G223">
        <v>6</v>
      </c>
      <c r="H223">
        <v>8.76</v>
      </c>
      <c r="I223">
        <v>52.56</v>
      </c>
      <c r="J223" s="35">
        <v>43238</v>
      </c>
      <c r="K223" s="48">
        <f t="shared" si="9"/>
        <v>3.6000000000000005</v>
      </c>
      <c r="L223" s="48" t="str">
        <f t="shared" si="10"/>
        <v>sex</v>
      </c>
      <c r="M223" s="48" t="str">
        <f>VLOOKUP(A223,RECEITAS!A:B,2,FALSE)</f>
        <v>DIRETO</v>
      </c>
      <c r="N223" s="48" t="str">
        <f t="shared" si="11"/>
        <v>sex</v>
      </c>
      <c r="O223" s="35">
        <v>43238</v>
      </c>
    </row>
    <row r="224" spans="1:15" x14ac:dyDescent="0.3">
      <c r="A224" t="s">
        <v>25</v>
      </c>
      <c r="B224" t="s">
        <v>29</v>
      </c>
      <c r="C224">
        <v>6</v>
      </c>
      <c r="D224">
        <v>0.1</v>
      </c>
      <c r="E224" t="s">
        <v>46</v>
      </c>
      <c r="F224" s="35">
        <v>43238</v>
      </c>
      <c r="G224">
        <v>6</v>
      </c>
      <c r="H224">
        <v>9.7200000000000006</v>
      </c>
      <c r="I224">
        <v>58.32</v>
      </c>
      <c r="J224" s="35">
        <v>43238</v>
      </c>
      <c r="K224" s="48">
        <f t="shared" si="9"/>
        <v>3.6000000000000005</v>
      </c>
      <c r="L224" s="48" t="str">
        <f t="shared" si="10"/>
        <v>sex</v>
      </c>
      <c r="M224" s="48" t="str">
        <f>VLOOKUP(A224,RECEITAS!A:B,2,FALSE)</f>
        <v>DIRETO</v>
      </c>
      <c r="N224" s="48" t="str">
        <f t="shared" si="11"/>
        <v>sex</v>
      </c>
      <c r="O224" s="35">
        <v>43238</v>
      </c>
    </row>
    <row r="225" spans="1:15" x14ac:dyDescent="0.3">
      <c r="A225" t="s">
        <v>27</v>
      </c>
      <c r="B225" t="s">
        <v>29</v>
      </c>
      <c r="C225">
        <v>10</v>
      </c>
      <c r="D225">
        <v>0.1</v>
      </c>
      <c r="E225" t="s">
        <v>46</v>
      </c>
      <c r="F225" s="35">
        <v>43238</v>
      </c>
      <c r="G225">
        <v>6</v>
      </c>
      <c r="H225">
        <v>8.76</v>
      </c>
      <c r="I225">
        <v>87.6</v>
      </c>
      <c r="J225" s="35">
        <v>43238</v>
      </c>
      <c r="K225" s="48">
        <f t="shared" si="9"/>
        <v>6.0000000000000009</v>
      </c>
      <c r="L225" s="48" t="str">
        <f t="shared" si="10"/>
        <v>sex</v>
      </c>
      <c r="M225" s="48" t="str">
        <f>VLOOKUP(A225,RECEITAS!A:B,2,FALSE)</f>
        <v>DIRETO</v>
      </c>
      <c r="N225" s="48" t="str">
        <f t="shared" si="11"/>
        <v>sex</v>
      </c>
      <c r="O225" s="35">
        <v>43238</v>
      </c>
    </row>
    <row r="226" spans="1:15" x14ac:dyDescent="0.3">
      <c r="A226" t="s">
        <v>27</v>
      </c>
      <c r="B226" t="s">
        <v>29</v>
      </c>
      <c r="C226">
        <v>2</v>
      </c>
      <c r="D226">
        <v>0.06</v>
      </c>
      <c r="E226" t="s">
        <v>46</v>
      </c>
      <c r="F226" s="35">
        <v>43238</v>
      </c>
      <c r="G226">
        <v>8</v>
      </c>
      <c r="H226">
        <v>5.36</v>
      </c>
      <c r="I226">
        <v>10.72</v>
      </c>
      <c r="J226" s="35">
        <v>43238</v>
      </c>
      <c r="K226" s="48">
        <f t="shared" si="9"/>
        <v>0.96</v>
      </c>
      <c r="L226" s="48" t="str">
        <f t="shared" si="10"/>
        <v>sex</v>
      </c>
      <c r="M226" s="48" t="str">
        <f>VLOOKUP(A226,RECEITAS!A:B,2,FALSE)</f>
        <v>DIRETO</v>
      </c>
      <c r="N226" s="48" t="str">
        <f t="shared" si="11"/>
        <v>sex</v>
      </c>
      <c r="O226" s="35">
        <v>43238</v>
      </c>
    </row>
    <row r="227" spans="1:15" x14ac:dyDescent="0.3">
      <c r="A227" t="s">
        <v>28</v>
      </c>
      <c r="B227" t="s">
        <v>29</v>
      </c>
      <c r="C227">
        <v>4</v>
      </c>
      <c r="D227">
        <v>0.1</v>
      </c>
      <c r="E227" t="s">
        <v>46</v>
      </c>
      <c r="F227" s="35">
        <v>43238</v>
      </c>
      <c r="G227">
        <v>6</v>
      </c>
      <c r="H227">
        <v>10.8</v>
      </c>
      <c r="I227">
        <v>43.2</v>
      </c>
      <c r="J227" s="35">
        <v>43238</v>
      </c>
      <c r="K227" s="48">
        <f t="shared" si="9"/>
        <v>2.4000000000000004</v>
      </c>
      <c r="L227" s="48" t="str">
        <f t="shared" si="10"/>
        <v>sex</v>
      </c>
      <c r="M227" s="48" t="str">
        <f>VLOOKUP(A227,RECEITAS!A:B,2,FALSE)</f>
        <v>DIRETO</v>
      </c>
      <c r="N227" s="48" t="str">
        <f t="shared" si="11"/>
        <v>sex</v>
      </c>
      <c r="O227" s="35">
        <v>43238</v>
      </c>
    </row>
    <row r="228" spans="1:15" x14ac:dyDescent="0.3">
      <c r="A228" t="s">
        <v>49</v>
      </c>
      <c r="B228" t="s">
        <v>29</v>
      </c>
      <c r="C228">
        <v>25</v>
      </c>
      <c r="D228">
        <v>0.1</v>
      </c>
      <c r="E228" t="s">
        <v>114</v>
      </c>
      <c r="F228" s="35">
        <v>43238</v>
      </c>
      <c r="G228">
        <v>6</v>
      </c>
      <c r="H228">
        <v>9</v>
      </c>
      <c r="I228">
        <v>225</v>
      </c>
      <c r="J228" s="35">
        <v>43238</v>
      </c>
      <c r="K228" s="48">
        <f t="shared" si="9"/>
        <v>15.000000000000002</v>
      </c>
      <c r="L228" s="48" t="str">
        <f t="shared" si="10"/>
        <v>sex</v>
      </c>
      <c r="M228" s="48" t="str">
        <f>VLOOKUP(A228,RECEITAS!A:B,2,FALSE)</f>
        <v>DIRETO</v>
      </c>
      <c r="N228" s="48" t="str">
        <f t="shared" si="11"/>
        <v>sex</v>
      </c>
      <c r="O228" s="35">
        <v>43238</v>
      </c>
    </row>
    <row r="229" spans="1:15" x14ac:dyDescent="0.3">
      <c r="A229" t="s">
        <v>48</v>
      </c>
      <c r="B229" t="s">
        <v>29</v>
      </c>
      <c r="C229">
        <v>10</v>
      </c>
      <c r="D229">
        <v>0.1</v>
      </c>
      <c r="E229" t="s">
        <v>114</v>
      </c>
      <c r="F229" s="35">
        <v>43238</v>
      </c>
      <c r="G229">
        <v>6</v>
      </c>
      <c r="H229">
        <v>9</v>
      </c>
      <c r="I229">
        <v>90</v>
      </c>
      <c r="J229" s="35">
        <v>43238</v>
      </c>
      <c r="K229" s="48">
        <f t="shared" si="9"/>
        <v>6.0000000000000009</v>
      </c>
      <c r="L229" s="48" t="str">
        <f t="shared" si="10"/>
        <v>sex</v>
      </c>
      <c r="M229" s="48" t="str">
        <f>VLOOKUP(A229,RECEITAS!A:B,2,FALSE)</f>
        <v>DIRETO</v>
      </c>
      <c r="N229" s="48" t="str">
        <f t="shared" si="11"/>
        <v>sex</v>
      </c>
      <c r="O229" s="35">
        <v>43238</v>
      </c>
    </row>
    <row r="230" spans="1:15" x14ac:dyDescent="0.3">
      <c r="A230" t="s">
        <v>74</v>
      </c>
      <c r="B230" t="s">
        <v>29</v>
      </c>
      <c r="C230">
        <v>2</v>
      </c>
      <c r="D230">
        <v>0.1</v>
      </c>
      <c r="E230" t="s">
        <v>112</v>
      </c>
      <c r="F230" s="35">
        <v>43238</v>
      </c>
      <c r="G230">
        <v>6</v>
      </c>
      <c r="H230">
        <v>9</v>
      </c>
      <c r="I230">
        <v>18</v>
      </c>
      <c r="J230" s="35">
        <v>43239</v>
      </c>
      <c r="K230" s="48">
        <f t="shared" si="9"/>
        <v>1.2000000000000002</v>
      </c>
      <c r="L230" s="48" t="str">
        <f t="shared" si="10"/>
        <v>sex</v>
      </c>
      <c r="M230" s="48" t="str">
        <f>VLOOKUP(A230,RECEITAS!A:B,2,FALSE)</f>
        <v>DIRETO</v>
      </c>
      <c r="N230" s="48" t="str">
        <f t="shared" si="11"/>
        <v>sáb</v>
      </c>
      <c r="O230" s="35">
        <v>43238</v>
      </c>
    </row>
    <row r="231" spans="1:15" x14ac:dyDescent="0.3">
      <c r="A231" t="s">
        <v>49</v>
      </c>
      <c r="B231" t="s">
        <v>29</v>
      </c>
      <c r="C231">
        <v>2</v>
      </c>
      <c r="D231">
        <v>0.1</v>
      </c>
      <c r="E231" t="s">
        <v>112</v>
      </c>
      <c r="F231" s="35">
        <v>43238</v>
      </c>
      <c r="G231">
        <v>6</v>
      </c>
      <c r="H231">
        <v>9</v>
      </c>
      <c r="I231">
        <v>18</v>
      </c>
      <c r="J231" s="35">
        <v>43239</v>
      </c>
      <c r="K231" s="48">
        <f t="shared" si="9"/>
        <v>1.2000000000000002</v>
      </c>
      <c r="L231" s="48" t="str">
        <f t="shared" si="10"/>
        <v>sex</v>
      </c>
      <c r="M231" s="48" t="str">
        <f>VLOOKUP(A231,RECEITAS!A:B,2,FALSE)</f>
        <v>DIRETO</v>
      </c>
      <c r="N231" s="48" t="str">
        <f t="shared" si="11"/>
        <v>sáb</v>
      </c>
      <c r="O231" s="35">
        <v>43238</v>
      </c>
    </row>
    <row r="232" spans="1:15" x14ac:dyDescent="0.3">
      <c r="A232" t="s">
        <v>52</v>
      </c>
      <c r="B232" t="s">
        <v>29</v>
      </c>
      <c r="C232">
        <v>2</v>
      </c>
      <c r="D232">
        <v>0.1</v>
      </c>
      <c r="E232" t="s">
        <v>112</v>
      </c>
      <c r="F232" s="35">
        <v>43238</v>
      </c>
      <c r="G232">
        <v>6</v>
      </c>
      <c r="H232">
        <v>9</v>
      </c>
      <c r="I232">
        <v>18</v>
      </c>
      <c r="J232" s="35">
        <v>43239</v>
      </c>
      <c r="K232" s="48">
        <f t="shared" si="9"/>
        <v>1.2000000000000002</v>
      </c>
      <c r="L232" s="48" t="str">
        <f t="shared" si="10"/>
        <v>sex</v>
      </c>
      <c r="M232" s="48" t="str">
        <f>VLOOKUP(A232,RECEITAS!A:B,2,FALSE)</f>
        <v>DIRETO</v>
      </c>
      <c r="N232" s="48" t="str">
        <f t="shared" si="11"/>
        <v>sáb</v>
      </c>
      <c r="O232" s="35">
        <v>43238</v>
      </c>
    </row>
    <row r="233" spans="1:15" x14ac:dyDescent="0.3">
      <c r="A233" t="s">
        <v>48</v>
      </c>
      <c r="B233" t="s">
        <v>29</v>
      </c>
      <c r="C233">
        <v>2</v>
      </c>
      <c r="D233">
        <v>0.1</v>
      </c>
      <c r="E233" t="s">
        <v>112</v>
      </c>
      <c r="F233" s="35">
        <v>43238</v>
      </c>
      <c r="G233">
        <v>6</v>
      </c>
      <c r="H233">
        <v>9</v>
      </c>
      <c r="I233">
        <v>18</v>
      </c>
      <c r="J233" s="35">
        <v>43239</v>
      </c>
      <c r="K233" s="48">
        <f t="shared" si="9"/>
        <v>1.2000000000000002</v>
      </c>
      <c r="L233" s="48" t="str">
        <f t="shared" si="10"/>
        <v>sex</v>
      </c>
      <c r="M233" s="48" t="str">
        <f>VLOOKUP(A233,RECEITAS!A:B,2,FALSE)</f>
        <v>DIRETO</v>
      </c>
      <c r="N233" s="48" t="str">
        <f t="shared" si="11"/>
        <v>sáb</v>
      </c>
      <c r="O233" s="35">
        <v>43238</v>
      </c>
    </row>
    <row r="234" spans="1:15" x14ac:dyDescent="0.3">
      <c r="A234" t="s">
        <v>74</v>
      </c>
      <c r="B234" t="s">
        <v>29</v>
      </c>
      <c r="C234">
        <v>1</v>
      </c>
      <c r="D234">
        <v>0.1</v>
      </c>
      <c r="E234" t="s">
        <v>111</v>
      </c>
      <c r="F234" s="35">
        <v>43238</v>
      </c>
      <c r="G234">
        <v>6</v>
      </c>
      <c r="H234">
        <v>9</v>
      </c>
      <c r="I234">
        <v>9</v>
      </c>
      <c r="J234" s="35">
        <v>43239</v>
      </c>
      <c r="K234" s="48">
        <f t="shared" si="9"/>
        <v>0.60000000000000009</v>
      </c>
      <c r="L234" s="48" t="str">
        <f t="shared" si="10"/>
        <v>sex</v>
      </c>
      <c r="M234" s="48" t="str">
        <f>VLOOKUP(A234,RECEITAS!A:B,2,FALSE)</f>
        <v>DIRETO</v>
      </c>
      <c r="N234" s="48" t="str">
        <f t="shared" si="11"/>
        <v>sáb</v>
      </c>
      <c r="O234" s="35">
        <v>43238</v>
      </c>
    </row>
    <row r="235" spans="1:15" x14ac:dyDescent="0.3">
      <c r="A235" t="s">
        <v>49</v>
      </c>
      <c r="B235" t="s">
        <v>29</v>
      </c>
      <c r="C235">
        <v>1</v>
      </c>
      <c r="D235">
        <v>0.1</v>
      </c>
      <c r="E235" t="s">
        <v>111</v>
      </c>
      <c r="F235" s="35">
        <v>43238</v>
      </c>
      <c r="G235">
        <v>6</v>
      </c>
      <c r="H235">
        <v>9</v>
      </c>
      <c r="I235">
        <v>9</v>
      </c>
      <c r="J235" s="35">
        <v>43239</v>
      </c>
      <c r="K235" s="48">
        <f t="shared" si="9"/>
        <v>0.60000000000000009</v>
      </c>
      <c r="L235" s="48" t="str">
        <f t="shared" si="10"/>
        <v>sex</v>
      </c>
      <c r="M235" s="48" t="str">
        <f>VLOOKUP(A235,RECEITAS!A:B,2,FALSE)</f>
        <v>DIRETO</v>
      </c>
      <c r="N235" s="48" t="str">
        <f t="shared" si="11"/>
        <v>sáb</v>
      </c>
      <c r="O235" s="35">
        <v>43238</v>
      </c>
    </row>
    <row r="236" spans="1:15" x14ac:dyDescent="0.3">
      <c r="A236" t="s">
        <v>52</v>
      </c>
      <c r="B236" t="s">
        <v>29</v>
      </c>
      <c r="C236">
        <v>1</v>
      </c>
      <c r="D236">
        <v>0.1</v>
      </c>
      <c r="E236" t="s">
        <v>111</v>
      </c>
      <c r="F236" s="35">
        <v>43238</v>
      </c>
      <c r="G236">
        <v>6</v>
      </c>
      <c r="H236">
        <v>9</v>
      </c>
      <c r="I236">
        <v>9</v>
      </c>
      <c r="J236" s="35">
        <v>43239</v>
      </c>
      <c r="K236" s="48">
        <f t="shared" si="9"/>
        <v>0.60000000000000009</v>
      </c>
      <c r="L236" s="48" t="str">
        <f t="shared" si="10"/>
        <v>sex</v>
      </c>
      <c r="M236" s="48" t="str">
        <f>VLOOKUP(A236,RECEITAS!A:B,2,FALSE)</f>
        <v>DIRETO</v>
      </c>
      <c r="N236" s="48" t="str">
        <f t="shared" si="11"/>
        <v>sáb</v>
      </c>
      <c r="O236" s="35">
        <v>43238</v>
      </c>
    </row>
    <row r="237" spans="1:15" x14ac:dyDescent="0.3">
      <c r="A237" t="s">
        <v>48</v>
      </c>
      <c r="B237" t="s">
        <v>29</v>
      </c>
      <c r="C237">
        <v>1</v>
      </c>
      <c r="D237">
        <v>0.1</v>
      </c>
      <c r="E237" t="s">
        <v>111</v>
      </c>
      <c r="F237" s="35">
        <v>43238</v>
      </c>
      <c r="G237">
        <v>6</v>
      </c>
      <c r="H237">
        <v>9</v>
      </c>
      <c r="I237">
        <v>9</v>
      </c>
      <c r="J237" s="35">
        <v>43239</v>
      </c>
      <c r="K237" s="48">
        <f t="shared" si="9"/>
        <v>0.60000000000000009</v>
      </c>
      <c r="L237" s="48" t="str">
        <f t="shared" si="10"/>
        <v>sex</v>
      </c>
      <c r="M237" s="48" t="str">
        <f>VLOOKUP(A237,RECEITAS!A:B,2,FALSE)</f>
        <v>DIRETO</v>
      </c>
      <c r="N237" s="48" t="str">
        <f t="shared" si="11"/>
        <v>sáb</v>
      </c>
      <c r="O237" s="35">
        <v>43238</v>
      </c>
    </row>
    <row r="238" spans="1:15" x14ac:dyDescent="0.3">
      <c r="A238" t="s">
        <v>27</v>
      </c>
      <c r="B238" t="s">
        <v>29</v>
      </c>
      <c r="C238">
        <v>30</v>
      </c>
      <c r="D238">
        <v>0.1</v>
      </c>
      <c r="E238" t="s">
        <v>110</v>
      </c>
      <c r="F238" s="35">
        <v>43238</v>
      </c>
      <c r="G238">
        <v>6</v>
      </c>
      <c r="H238">
        <v>8.76</v>
      </c>
      <c r="I238">
        <v>262.8</v>
      </c>
      <c r="J238" s="35">
        <v>43239</v>
      </c>
      <c r="K238" s="48">
        <f t="shared" si="9"/>
        <v>18.000000000000004</v>
      </c>
      <c r="L238" s="48" t="str">
        <f t="shared" si="10"/>
        <v>sex</v>
      </c>
      <c r="M238" s="48" t="str">
        <f>VLOOKUP(A238,RECEITAS!A:B,2,FALSE)</f>
        <v>DIRETO</v>
      </c>
      <c r="N238" s="48" t="str">
        <f t="shared" si="11"/>
        <v>sáb</v>
      </c>
      <c r="O238" s="35">
        <v>43238</v>
      </c>
    </row>
    <row r="239" spans="1:15" x14ac:dyDescent="0.3">
      <c r="A239" t="s">
        <v>25</v>
      </c>
      <c r="B239" t="s">
        <v>29</v>
      </c>
      <c r="C239">
        <v>4</v>
      </c>
      <c r="D239">
        <v>0.1</v>
      </c>
      <c r="E239" t="s">
        <v>179</v>
      </c>
      <c r="F239" s="35">
        <v>43238</v>
      </c>
      <c r="G239">
        <v>6</v>
      </c>
      <c r="H239">
        <v>9.7200000000000006</v>
      </c>
      <c r="I239">
        <v>38.880000000000003</v>
      </c>
      <c r="J239" s="35">
        <v>43239</v>
      </c>
      <c r="K239" s="48">
        <f t="shared" si="9"/>
        <v>2.4000000000000004</v>
      </c>
      <c r="L239" s="48" t="str">
        <f t="shared" si="10"/>
        <v>sex</v>
      </c>
      <c r="M239" s="48" t="str">
        <f>VLOOKUP(A239,RECEITAS!A:B,2,FALSE)</f>
        <v>DIRETO</v>
      </c>
      <c r="N239" s="48" t="str">
        <f t="shared" si="11"/>
        <v>sáb</v>
      </c>
      <c r="O239" s="35">
        <v>43238</v>
      </c>
    </row>
    <row r="240" spans="1:15" x14ac:dyDescent="0.3">
      <c r="A240" t="s">
        <v>27</v>
      </c>
      <c r="B240" t="s">
        <v>29</v>
      </c>
      <c r="C240">
        <v>2</v>
      </c>
      <c r="D240">
        <v>0.1</v>
      </c>
      <c r="E240" t="s">
        <v>179</v>
      </c>
      <c r="F240" s="35">
        <v>43238</v>
      </c>
      <c r="G240">
        <v>6</v>
      </c>
      <c r="H240">
        <v>8.76</v>
      </c>
      <c r="I240">
        <v>17.52</v>
      </c>
      <c r="J240" s="35">
        <v>43239</v>
      </c>
      <c r="K240" s="48">
        <f t="shared" si="9"/>
        <v>1.2000000000000002</v>
      </c>
      <c r="L240" s="48" t="str">
        <f t="shared" si="10"/>
        <v>sex</v>
      </c>
      <c r="M240" s="48" t="str">
        <f>VLOOKUP(A240,RECEITAS!A:B,2,FALSE)</f>
        <v>DIRETO</v>
      </c>
      <c r="N240" s="48" t="str">
        <f t="shared" si="11"/>
        <v>sáb</v>
      </c>
      <c r="O240" s="35">
        <v>43238</v>
      </c>
    </row>
    <row r="241" spans="1:15" x14ac:dyDescent="0.3">
      <c r="A241" t="s">
        <v>25</v>
      </c>
      <c r="B241" t="s">
        <v>29</v>
      </c>
      <c r="C241">
        <v>2</v>
      </c>
      <c r="D241">
        <v>0.1</v>
      </c>
      <c r="E241" t="s">
        <v>180</v>
      </c>
      <c r="F241" s="35">
        <v>43238</v>
      </c>
      <c r="G241">
        <v>6</v>
      </c>
      <c r="H241">
        <v>9.7200000000000006</v>
      </c>
      <c r="I241">
        <v>19.440000000000001</v>
      </c>
      <c r="J241" s="35">
        <v>43239</v>
      </c>
      <c r="K241" s="48">
        <f t="shared" si="9"/>
        <v>1.2000000000000002</v>
      </c>
      <c r="L241" s="48" t="str">
        <f t="shared" si="10"/>
        <v>sex</v>
      </c>
      <c r="M241" s="48" t="str">
        <f>VLOOKUP(A241,RECEITAS!A:B,2,FALSE)</f>
        <v>DIRETO</v>
      </c>
      <c r="N241" s="48" t="str">
        <f t="shared" si="11"/>
        <v>sáb</v>
      </c>
      <c r="O241" s="35">
        <v>43238</v>
      </c>
    </row>
    <row r="242" spans="1:15" x14ac:dyDescent="0.3">
      <c r="A242" t="s">
        <v>27</v>
      </c>
      <c r="B242" t="s">
        <v>29</v>
      </c>
      <c r="C242">
        <v>11</v>
      </c>
      <c r="D242">
        <v>0.1</v>
      </c>
      <c r="E242" t="s">
        <v>180</v>
      </c>
      <c r="F242" s="35">
        <v>43238</v>
      </c>
      <c r="G242">
        <v>6</v>
      </c>
      <c r="H242">
        <v>8.76</v>
      </c>
      <c r="I242">
        <v>96.36</v>
      </c>
      <c r="J242" s="35">
        <v>43239</v>
      </c>
      <c r="K242" s="48">
        <f t="shared" si="9"/>
        <v>6.6000000000000014</v>
      </c>
      <c r="L242" s="48" t="str">
        <f t="shared" si="10"/>
        <v>sex</v>
      </c>
      <c r="M242" s="48" t="str">
        <f>VLOOKUP(A242,RECEITAS!A:B,2,FALSE)</f>
        <v>DIRETO</v>
      </c>
      <c r="N242" s="48" t="str">
        <f t="shared" si="11"/>
        <v>sáb</v>
      </c>
      <c r="O242" s="35">
        <v>43238</v>
      </c>
    </row>
    <row r="243" spans="1:15" x14ac:dyDescent="0.3">
      <c r="A243" t="s">
        <v>25</v>
      </c>
      <c r="B243" t="s">
        <v>29</v>
      </c>
      <c r="C243">
        <v>3</v>
      </c>
      <c r="D243">
        <v>0.1</v>
      </c>
      <c r="E243" t="s">
        <v>181</v>
      </c>
      <c r="F243" s="35">
        <v>43238</v>
      </c>
      <c r="G243">
        <v>6</v>
      </c>
      <c r="H243">
        <v>9.7200000000000006</v>
      </c>
      <c r="I243">
        <v>29.16</v>
      </c>
      <c r="J243" s="35">
        <v>43239</v>
      </c>
      <c r="K243" s="48">
        <f t="shared" si="9"/>
        <v>1.8000000000000003</v>
      </c>
      <c r="L243" s="48" t="str">
        <f t="shared" si="10"/>
        <v>sex</v>
      </c>
      <c r="M243" s="48" t="str">
        <f>VLOOKUP(A243,RECEITAS!A:B,2,FALSE)</f>
        <v>DIRETO</v>
      </c>
      <c r="N243" s="48" t="str">
        <f t="shared" si="11"/>
        <v>sáb</v>
      </c>
      <c r="O243" s="35">
        <v>43238</v>
      </c>
    </row>
    <row r="244" spans="1:15" x14ac:dyDescent="0.3">
      <c r="A244" t="s">
        <v>27</v>
      </c>
      <c r="B244" t="s">
        <v>29</v>
      </c>
      <c r="C244">
        <v>8</v>
      </c>
      <c r="D244">
        <v>0.1</v>
      </c>
      <c r="E244" t="s">
        <v>181</v>
      </c>
      <c r="F244" s="35">
        <v>43238</v>
      </c>
      <c r="G244">
        <v>6</v>
      </c>
      <c r="H244">
        <v>8.76</v>
      </c>
      <c r="I244">
        <v>70.08</v>
      </c>
      <c r="J244" s="35">
        <v>43239</v>
      </c>
      <c r="K244" s="48">
        <f t="shared" si="9"/>
        <v>4.8000000000000007</v>
      </c>
      <c r="L244" s="48" t="str">
        <f t="shared" si="10"/>
        <v>sex</v>
      </c>
      <c r="M244" s="48" t="str">
        <f>VLOOKUP(A244,RECEITAS!A:B,2,FALSE)</f>
        <v>DIRETO</v>
      </c>
      <c r="N244" s="48" t="str">
        <f t="shared" si="11"/>
        <v>sáb</v>
      </c>
      <c r="O244" s="35">
        <v>43238</v>
      </c>
    </row>
    <row r="245" spans="1:15" x14ac:dyDescent="0.3">
      <c r="A245" t="s">
        <v>28</v>
      </c>
      <c r="B245" t="s">
        <v>29</v>
      </c>
      <c r="C245">
        <v>2</v>
      </c>
      <c r="D245">
        <v>0.1</v>
      </c>
      <c r="E245" t="s">
        <v>181</v>
      </c>
      <c r="F245" s="35">
        <v>43238</v>
      </c>
      <c r="G245">
        <v>6</v>
      </c>
      <c r="H245">
        <v>10.8</v>
      </c>
      <c r="I245">
        <v>21.6</v>
      </c>
      <c r="J245" s="35">
        <v>43239</v>
      </c>
      <c r="K245" s="48">
        <f t="shared" si="9"/>
        <v>1.2000000000000002</v>
      </c>
      <c r="L245" s="48" t="str">
        <f t="shared" si="10"/>
        <v>sex</v>
      </c>
      <c r="M245" s="48" t="str">
        <f>VLOOKUP(A245,RECEITAS!A:B,2,FALSE)</f>
        <v>DIRETO</v>
      </c>
      <c r="N245" s="48" t="str">
        <f t="shared" si="11"/>
        <v>sáb</v>
      </c>
      <c r="O245" s="35">
        <v>43238</v>
      </c>
    </row>
    <row r="246" spans="1:15" x14ac:dyDescent="0.3">
      <c r="A246" t="s">
        <v>25</v>
      </c>
      <c r="B246" t="s">
        <v>29</v>
      </c>
      <c r="C246">
        <v>9</v>
      </c>
      <c r="D246">
        <v>0.1</v>
      </c>
      <c r="E246" t="s">
        <v>121</v>
      </c>
      <c r="F246" s="35">
        <v>43238</v>
      </c>
      <c r="G246">
        <v>6</v>
      </c>
      <c r="H246">
        <v>9.7200000000000006</v>
      </c>
      <c r="I246">
        <v>87.48</v>
      </c>
      <c r="J246" s="35">
        <v>43239</v>
      </c>
      <c r="K246" s="48">
        <f t="shared" si="9"/>
        <v>5.4</v>
      </c>
      <c r="L246" s="48" t="str">
        <f t="shared" si="10"/>
        <v>sex</v>
      </c>
      <c r="M246" s="48" t="str">
        <f>VLOOKUP(A246,RECEITAS!A:B,2,FALSE)</f>
        <v>DIRETO</v>
      </c>
      <c r="N246" s="48" t="str">
        <f t="shared" si="11"/>
        <v>sáb</v>
      </c>
      <c r="O246" s="35">
        <v>43238</v>
      </c>
    </row>
    <row r="247" spans="1:15" x14ac:dyDescent="0.3">
      <c r="A247" t="s">
        <v>27</v>
      </c>
      <c r="B247" t="s">
        <v>29</v>
      </c>
      <c r="C247">
        <v>55</v>
      </c>
      <c r="D247">
        <v>0.1</v>
      </c>
      <c r="E247" t="s">
        <v>121</v>
      </c>
      <c r="F247" s="35">
        <v>43238</v>
      </c>
      <c r="G247">
        <v>6</v>
      </c>
      <c r="H247">
        <v>8.76</v>
      </c>
      <c r="I247">
        <v>481.8</v>
      </c>
      <c r="J247" s="35">
        <v>43239</v>
      </c>
      <c r="K247" s="48">
        <f t="shared" si="9"/>
        <v>33.000000000000007</v>
      </c>
      <c r="L247" s="48" t="str">
        <f t="shared" si="10"/>
        <v>sex</v>
      </c>
      <c r="M247" s="48" t="str">
        <f>VLOOKUP(A247,RECEITAS!A:B,2,FALSE)</f>
        <v>DIRETO</v>
      </c>
      <c r="N247" s="48" t="str">
        <f t="shared" si="11"/>
        <v>sáb</v>
      </c>
      <c r="O247" s="35">
        <v>43238</v>
      </c>
    </row>
    <row r="248" spans="1:15" x14ac:dyDescent="0.3">
      <c r="A248" t="s">
        <v>28</v>
      </c>
      <c r="B248" t="s">
        <v>29</v>
      </c>
      <c r="C248">
        <v>1</v>
      </c>
      <c r="D248">
        <v>0.1</v>
      </c>
      <c r="E248" t="s">
        <v>121</v>
      </c>
      <c r="F248" s="35">
        <v>43238</v>
      </c>
      <c r="G248">
        <v>6</v>
      </c>
      <c r="H248">
        <v>10.8</v>
      </c>
      <c r="I248">
        <v>10.8</v>
      </c>
      <c r="J248" s="35">
        <v>43239</v>
      </c>
      <c r="K248" s="48">
        <f t="shared" si="9"/>
        <v>0.60000000000000009</v>
      </c>
      <c r="L248" s="48" t="str">
        <f t="shared" si="10"/>
        <v>sex</v>
      </c>
      <c r="M248" s="48" t="str">
        <f>VLOOKUP(A248,RECEITAS!A:B,2,FALSE)</f>
        <v>DIRETO</v>
      </c>
      <c r="N248" s="48" t="str">
        <f t="shared" si="11"/>
        <v>sáb</v>
      </c>
      <c r="O248" s="35">
        <v>43238</v>
      </c>
    </row>
    <row r="249" spans="1:15" x14ac:dyDescent="0.3">
      <c r="A249" t="s">
        <v>87</v>
      </c>
      <c r="B249" t="s">
        <v>88</v>
      </c>
      <c r="C249">
        <v>1</v>
      </c>
      <c r="D249">
        <v>1</v>
      </c>
      <c r="E249" t="s">
        <v>121</v>
      </c>
      <c r="F249" s="35">
        <v>43238</v>
      </c>
      <c r="G249">
        <v>1</v>
      </c>
      <c r="H249">
        <v>22.1</v>
      </c>
      <c r="I249">
        <v>22.1</v>
      </c>
      <c r="J249" s="35">
        <v>43239</v>
      </c>
      <c r="K249" s="48">
        <f t="shared" si="9"/>
        <v>1</v>
      </c>
      <c r="L249" s="48" t="str">
        <f t="shared" si="10"/>
        <v>sex</v>
      </c>
      <c r="M249" s="48" t="e">
        <f>VLOOKUP(A249,RECEITAS!A:B,2,FALSE)</f>
        <v>#N/A</v>
      </c>
      <c r="N249" s="48" t="str">
        <f t="shared" si="11"/>
        <v>sáb</v>
      </c>
    </row>
    <row r="250" spans="1:15" x14ac:dyDescent="0.3">
      <c r="A250" t="s">
        <v>27</v>
      </c>
      <c r="B250" t="s">
        <v>29</v>
      </c>
      <c r="C250">
        <v>5</v>
      </c>
      <c r="D250">
        <v>0.1</v>
      </c>
      <c r="E250" t="s">
        <v>120</v>
      </c>
      <c r="F250" s="35">
        <v>43239</v>
      </c>
      <c r="G250">
        <v>6</v>
      </c>
      <c r="H250">
        <v>8.76</v>
      </c>
      <c r="I250">
        <v>43.8</v>
      </c>
      <c r="J250" s="35">
        <v>43239</v>
      </c>
      <c r="K250" s="48">
        <f t="shared" si="9"/>
        <v>3.0000000000000004</v>
      </c>
      <c r="L250" s="48" t="str">
        <f t="shared" si="10"/>
        <v>sáb</v>
      </c>
      <c r="M250" s="48" t="str">
        <f>VLOOKUP(A250,RECEITAS!A:B,2,FALSE)</f>
        <v>DIRETO</v>
      </c>
      <c r="N250" s="48" t="str">
        <f t="shared" si="11"/>
        <v>sáb</v>
      </c>
    </row>
    <row r="251" spans="1:15" x14ac:dyDescent="0.3">
      <c r="A251" t="s">
        <v>25</v>
      </c>
      <c r="B251" t="s">
        <v>29</v>
      </c>
      <c r="C251">
        <v>4</v>
      </c>
      <c r="D251">
        <v>0.1</v>
      </c>
      <c r="E251" t="s">
        <v>182</v>
      </c>
      <c r="F251" s="35">
        <v>43239</v>
      </c>
      <c r="G251">
        <v>6</v>
      </c>
      <c r="H251">
        <v>9.7200000000000006</v>
      </c>
      <c r="I251">
        <v>38.880000000000003</v>
      </c>
      <c r="J251" s="35">
        <v>43239</v>
      </c>
      <c r="K251" s="48">
        <f t="shared" si="9"/>
        <v>2.4000000000000004</v>
      </c>
      <c r="L251" s="48" t="str">
        <f t="shared" si="10"/>
        <v>sáb</v>
      </c>
      <c r="M251" s="48" t="str">
        <f>VLOOKUP(A251,RECEITAS!A:B,2,FALSE)</f>
        <v>DIRETO</v>
      </c>
      <c r="N251" s="48" t="str">
        <f t="shared" si="11"/>
        <v>sáb</v>
      </c>
    </row>
    <row r="252" spans="1:15" x14ac:dyDescent="0.3">
      <c r="A252" t="s">
        <v>34</v>
      </c>
      <c r="B252" t="s">
        <v>29</v>
      </c>
      <c r="C252">
        <v>6</v>
      </c>
      <c r="D252">
        <v>0.1</v>
      </c>
      <c r="E252" t="s">
        <v>182</v>
      </c>
      <c r="F252" s="35">
        <v>43239</v>
      </c>
      <c r="G252">
        <v>6</v>
      </c>
      <c r="H252">
        <v>10.8</v>
      </c>
      <c r="I252">
        <v>64.8</v>
      </c>
      <c r="J252" s="35">
        <v>43239</v>
      </c>
      <c r="K252" s="48">
        <f t="shared" si="9"/>
        <v>3.6000000000000005</v>
      </c>
      <c r="L252" s="48" t="str">
        <f t="shared" si="10"/>
        <v>sáb</v>
      </c>
      <c r="M252" s="48" t="str">
        <f>VLOOKUP(A252,RECEITAS!A:B,2,FALSE)</f>
        <v>DIRETO</v>
      </c>
      <c r="N252" s="48" t="str">
        <f t="shared" si="11"/>
        <v>sáb</v>
      </c>
    </row>
    <row r="253" spans="1:15" x14ac:dyDescent="0.3">
      <c r="A253" t="s">
        <v>27</v>
      </c>
      <c r="B253" t="s">
        <v>29</v>
      </c>
      <c r="C253">
        <v>20</v>
      </c>
      <c r="D253">
        <v>0.1</v>
      </c>
      <c r="E253" t="s">
        <v>182</v>
      </c>
      <c r="F253" s="35">
        <v>43239</v>
      </c>
      <c r="G253">
        <v>6</v>
      </c>
      <c r="H253">
        <v>8.76</v>
      </c>
      <c r="I253">
        <v>175.2</v>
      </c>
      <c r="J253" s="35">
        <v>43239</v>
      </c>
      <c r="K253" s="48">
        <f t="shared" si="9"/>
        <v>12.000000000000002</v>
      </c>
      <c r="L253" s="48" t="str">
        <f t="shared" si="10"/>
        <v>sáb</v>
      </c>
      <c r="M253" s="48" t="str">
        <f>VLOOKUP(A253,RECEITAS!A:B,2,FALSE)</f>
        <v>DIRETO</v>
      </c>
      <c r="N253" s="48" t="str">
        <f t="shared" si="11"/>
        <v>sáb</v>
      </c>
    </row>
    <row r="254" spans="1:15" x14ac:dyDescent="0.3">
      <c r="A254" t="s">
        <v>25</v>
      </c>
      <c r="B254" t="s">
        <v>29</v>
      </c>
      <c r="C254">
        <v>7</v>
      </c>
      <c r="D254">
        <v>0.1</v>
      </c>
      <c r="E254" t="s">
        <v>152</v>
      </c>
      <c r="F254" s="35">
        <v>43239</v>
      </c>
      <c r="G254">
        <v>6</v>
      </c>
      <c r="H254">
        <v>9.7200000000000006</v>
      </c>
      <c r="I254">
        <v>68.040000000000006</v>
      </c>
      <c r="J254" s="35">
        <v>43239</v>
      </c>
      <c r="K254" s="48">
        <f t="shared" si="9"/>
        <v>4.2000000000000011</v>
      </c>
      <c r="L254" s="48" t="str">
        <f t="shared" si="10"/>
        <v>sáb</v>
      </c>
      <c r="M254" s="48" t="str">
        <f>VLOOKUP(A254,RECEITAS!A:B,2,FALSE)</f>
        <v>DIRETO</v>
      </c>
      <c r="N254" s="48" t="str">
        <f t="shared" si="11"/>
        <v>sáb</v>
      </c>
    </row>
    <row r="255" spans="1:15" x14ac:dyDescent="0.3">
      <c r="A255" t="s">
        <v>27</v>
      </c>
      <c r="B255" t="s">
        <v>29</v>
      </c>
      <c r="C255">
        <v>16</v>
      </c>
      <c r="D255">
        <v>0.1</v>
      </c>
      <c r="E255" t="s">
        <v>152</v>
      </c>
      <c r="F255" s="35">
        <v>43239</v>
      </c>
      <c r="G255">
        <v>6</v>
      </c>
      <c r="H255">
        <v>8.76</v>
      </c>
      <c r="I255">
        <v>140.16</v>
      </c>
      <c r="J255" s="35">
        <v>43239</v>
      </c>
      <c r="K255" s="48">
        <f t="shared" si="9"/>
        <v>9.6000000000000014</v>
      </c>
      <c r="L255" s="48" t="str">
        <f t="shared" si="10"/>
        <v>sáb</v>
      </c>
      <c r="M255" s="48" t="str">
        <f>VLOOKUP(A255,RECEITAS!A:B,2,FALSE)</f>
        <v>DIRETO</v>
      </c>
      <c r="N255" s="48" t="str">
        <f t="shared" si="11"/>
        <v>sáb</v>
      </c>
    </row>
    <row r="256" spans="1:15" x14ac:dyDescent="0.3">
      <c r="A256" t="s">
        <v>34</v>
      </c>
      <c r="B256" t="s">
        <v>29</v>
      </c>
      <c r="C256">
        <v>10</v>
      </c>
      <c r="D256">
        <v>0.11</v>
      </c>
      <c r="E256" t="s">
        <v>100</v>
      </c>
      <c r="F256" s="35">
        <v>43239</v>
      </c>
      <c r="G256">
        <v>6</v>
      </c>
      <c r="H256">
        <v>10.8</v>
      </c>
      <c r="I256">
        <v>108</v>
      </c>
      <c r="J256" s="35">
        <v>43239</v>
      </c>
      <c r="K256" s="48">
        <f t="shared" si="9"/>
        <v>6.6000000000000005</v>
      </c>
      <c r="L256" s="48" t="str">
        <f t="shared" si="10"/>
        <v>sáb</v>
      </c>
      <c r="M256" s="48" t="str">
        <f>VLOOKUP(A256,RECEITAS!A:B,2,FALSE)</f>
        <v>DIRETO</v>
      </c>
      <c r="N256" s="48" t="str">
        <f t="shared" si="11"/>
        <v>sáb</v>
      </c>
    </row>
    <row r="257" spans="1:14" x14ac:dyDescent="0.3">
      <c r="A257" t="s">
        <v>27</v>
      </c>
      <c r="B257" t="s">
        <v>29</v>
      </c>
      <c r="C257">
        <v>6</v>
      </c>
      <c r="D257">
        <v>0.1</v>
      </c>
      <c r="E257" t="s">
        <v>116</v>
      </c>
      <c r="F257" s="35">
        <v>43239</v>
      </c>
      <c r="G257">
        <v>6</v>
      </c>
      <c r="H257">
        <v>8.76</v>
      </c>
      <c r="I257">
        <v>52.56</v>
      </c>
      <c r="J257" s="35">
        <v>43239</v>
      </c>
      <c r="K257" s="48">
        <f t="shared" si="9"/>
        <v>3.6000000000000005</v>
      </c>
      <c r="L257" s="48" t="str">
        <f t="shared" si="10"/>
        <v>sáb</v>
      </c>
      <c r="M257" s="48" t="str">
        <f>VLOOKUP(A257,RECEITAS!A:B,2,FALSE)</f>
        <v>DIRETO</v>
      </c>
      <c r="N257" s="48" t="str">
        <f t="shared" si="11"/>
        <v>sáb</v>
      </c>
    </row>
    <row r="258" spans="1:14" x14ac:dyDescent="0.3">
      <c r="A258" t="s">
        <v>183</v>
      </c>
      <c r="B258" t="s">
        <v>29</v>
      </c>
      <c r="C258">
        <v>9</v>
      </c>
      <c r="D258">
        <v>0.08</v>
      </c>
      <c r="E258" t="s">
        <v>184</v>
      </c>
      <c r="F258" s="35">
        <v>43239</v>
      </c>
      <c r="G258">
        <v>6</v>
      </c>
      <c r="H258">
        <v>9</v>
      </c>
      <c r="I258">
        <v>81</v>
      </c>
      <c r="J258" s="35">
        <v>43239</v>
      </c>
      <c r="K258" s="48">
        <f t="shared" si="9"/>
        <v>4.32</v>
      </c>
      <c r="L258" s="48" t="str">
        <f t="shared" si="10"/>
        <v>sáb</v>
      </c>
      <c r="M258" s="48" t="e">
        <f>VLOOKUP(A258,RECEITAS!A:B,2,FALSE)</f>
        <v>#N/A</v>
      </c>
      <c r="N258" s="48" t="str">
        <f t="shared" si="11"/>
        <v>sáb</v>
      </c>
    </row>
    <row r="259" spans="1:14" x14ac:dyDescent="0.3">
      <c r="A259" t="s">
        <v>185</v>
      </c>
      <c r="B259" t="s">
        <v>29</v>
      </c>
      <c r="C259">
        <v>9</v>
      </c>
      <c r="D259">
        <v>0.08</v>
      </c>
      <c r="E259" t="s">
        <v>184</v>
      </c>
      <c r="F259" s="35">
        <v>43239</v>
      </c>
      <c r="G259">
        <v>6</v>
      </c>
      <c r="H259">
        <v>8.4</v>
      </c>
      <c r="I259">
        <v>75.599999999999994</v>
      </c>
      <c r="J259" s="35">
        <v>43239</v>
      </c>
      <c r="K259" s="48">
        <f t="shared" ref="K259:K322" si="12">G259*D259*C259</f>
        <v>4.32</v>
      </c>
      <c r="L259" s="48" t="str">
        <f t="shared" ref="L259:L322" si="13">IF(F259=0,"",TEXT(F259,"DDD"))</f>
        <v>sáb</v>
      </c>
      <c r="M259" s="48" t="e">
        <f>VLOOKUP(A259,RECEITAS!A:B,2,FALSE)</f>
        <v>#N/A</v>
      </c>
      <c r="N259" s="48" t="str">
        <f t="shared" ref="N259:N322" si="14">IF(J259=0,"",TEXT(J259,"ddd"))</f>
        <v>sáb</v>
      </c>
    </row>
    <row r="260" spans="1:14" x14ac:dyDescent="0.3">
      <c r="A260" t="s">
        <v>25</v>
      </c>
      <c r="B260" t="s">
        <v>29</v>
      </c>
      <c r="C260">
        <v>12</v>
      </c>
      <c r="D260">
        <v>0.1</v>
      </c>
      <c r="E260" t="s">
        <v>130</v>
      </c>
      <c r="F260" s="35">
        <v>43239</v>
      </c>
      <c r="G260">
        <v>6</v>
      </c>
      <c r="H260">
        <v>9.7200000000000006</v>
      </c>
      <c r="I260">
        <v>116.64</v>
      </c>
      <c r="J260" s="35">
        <v>43239</v>
      </c>
      <c r="K260" s="48">
        <f t="shared" si="12"/>
        <v>7.2000000000000011</v>
      </c>
      <c r="L260" s="48" t="str">
        <f t="shared" si="13"/>
        <v>sáb</v>
      </c>
      <c r="M260" s="48" t="str">
        <f>VLOOKUP(A260,RECEITAS!A:B,2,FALSE)</f>
        <v>DIRETO</v>
      </c>
      <c r="N260" s="48" t="str">
        <f t="shared" si="14"/>
        <v>sáb</v>
      </c>
    </row>
    <row r="261" spans="1:14" x14ac:dyDescent="0.3">
      <c r="A261" t="s">
        <v>27</v>
      </c>
      <c r="B261" t="s">
        <v>29</v>
      </c>
      <c r="C261">
        <v>15</v>
      </c>
      <c r="D261">
        <v>0.1</v>
      </c>
      <c r="E261" t="s">
        <v>130</v>
      </c>
      <c r="F261" s="35">
        <v>43239</v>
      </c>
      <c r="G261">
        <v>6</v>
      </c>
      <c r="H261">
        <v>8.76</v>
      </c>
      <c r="I261">
        <v>131.4</v>
      </c>
      <c r="J261" s="35">
        <v>43239</v>
      </c>
      <c r="K261" s="48">
        <f t="shared" si="12"/>
        <v>9.0000000000000018</v>
      </c>
      <c r="L261" s="48" t="str">
        <f t="shared" si="13"/>
        <v>sáb</v>
      </c>
      <c r="M261" s="48" t="str">
        <f>VLOOKUP(A261,RECEITAS!A:B,2,FALSE)</f>
        <v>DIRETO</v>
      </c>
      <c r="N261" s="48" t="str">
        <f t="shared" si="14"/>
        <v>sáb</v>
      </c>
    </row>
    <row r="262" spans="1:14" x14ac:dyDescent="0.3">
      <c r="A262" t="s">
        <v>28</v>
      </c>
      <c r="B262" t="s">
        <v>29</v>
      </c>
      <c r="C262">
        <v>6</v>
      </c>
      <c r="D262">
        <v>0.1</v>
      </c>
      <c r="E262" t="s">
        <v>130</v>
      </c>
      <c r="F262" s="35">
        <v>43239</v>
      </c>
      <c r="G262">
        <v>6</v>
      </c>
      <c r="H262">
        <v>10.8</v>
      </c>
      <c r="I262">
        <v>64.8</v>
      </c>
      <c r="J262" s="35">
        <v>43239</v>
      </c>
      <c r="K262" s="48">
        <f t="shared" si="12"/>
        <v>3.6000000000000005</v>
      </c>
      <c r="L262" s="48" t="str">
        <f t="shared" si="13"/>
        <v>sáb</v>
      </c>
      <c r="M262" s="48" t="str">
        <f>VLOOKUP(A262,RECEITAS!A:B,2,FALSE)</f>
        <v>DIRETO</v>
      </c>
      <c r="N262" s="48" t="str">
        <f t="shared" si="14"/>
        <v>sáb</v>
      </c>
    </row>
    <row r="263" spans="1:14" x14ac:dyDescent="0.3">
      <c r="A263" t="s">
        <v>52</v>
      </c>
      <c r="B263" t="s">
        <v>29</v>
      </c>
      <c r="C263">
        <v>6</v>
      </c>
      <c r="D263">
        <v>0.1</v>
      </c>
      <c r="E263" t="s">
        <v>136</v>
      </c>
      <c r="F263" s="35">
        <v>43239</v>
      </c>
      <c r="G263">
        <v>6</v>
      </c>
      <c r="H263">
        <v>9</v>
      </c>
      <c r="I263">
        <v>54</v>
      </c>
      <c r="J263" s="35">
        <v>43239</v>
      </c>
      <c r="K263" s="48">
        <f t="shared" si="12"/>
        <v>3.6000000000000005</v>
      </c>
      <c r="L263" s="48" t="str">
        <f t="shared" si="13"/>
        <v>sáb</v>
      </c>
      <c r="M263" s="48" t="str">
        <f>VLOOKUP(A263,RECEITAS!A:B,2,FALSE)</f>
        <v>DIRETO</v>
      </c>
      <c r="N263" s="48" t="str">
        <f t="shared" si="14"/>
        <v>sáb</v>
      </c>
    </row>
    <row r="264" spans="1:14" x14ac:dyDescent="0.3">
      <c r="A264" t="s">
        <v>48</v>
      </c>
      <c r="B264" t="s">
        <v>29</v>
      </c>
      <c r="C264">
        <v>18</v>
      </c>
      <c r="D264">
        <v>0.1</v>
      </c>
      <c r="E264" t="s">
        <v>136</v>
      </c>
      <c r="F264" s="35">
        <v>43239</v>
      </c>
      <c r="G264">
        <v>6</v>
      </c>
      <c r="H264">
        <v>9</v>
      </c>
      <c r="I264">
        <v>162</v>
      </c>
      <c r="J264" s="35">
        <v>43239</v>
      </c>
      <c r="K264" s="48">
        <f t="shared" si="12"/>
        <v>10.8</v>
      </c>
      <c r="L264" s="48" t="str">
        <f t="shared" si="13"/>
        <v>sáb</v>
      </c>
      <c r="M264" s="48" t="str">
        <f>VLOOKUP(A264,RECEITAS!A:B,2,FALSE)</f>
        <v>DIRETO</v>
      </c>
      <c r="N264" s="48" t="str">
        <f t="shared" si="14"/>
        <v>sáb</v>
      </c>
    </row>
    <row r="265" spans="1:14" x14ac:dyDescent="0.3">
      <c r="A265" t="s">
        <v>50</v>
      </c>
      <c r="B265" t="s">
        <v>29</v>
      </c>
      <c r="C265">
        <v>1</v>
      </c>
      <c r="D265">
        <v>0.1</v>
      </c>
      <c r="E265" t="s">
        <v>136</v>
      </c>
      <c r="F265" s="35">
        <v>43239</v>
      </c>
      <c r="G265">
        <v>6</v>
      </c>
      <c r="H265">
        <v>7.2</v>
      </c>
      <c r="I265">
        <v>7.2</v>
      </c>
      <c r="J265" s="35">
        <v>43239</v>
      </c>
      <c r="K265" s="48">
        <f t="shared" si="12"/>
        <v>0.60000000000000009</v>
      </c>
      <c r="L265" s="48" t="str">
        <f t="shared" si="13"/>
        <v>sáb</v>
      </c>
      <c r="M265" s="48" t="str">
        <f>VLOOKUP(A265,RECEITAS!A:B,2,FALSE)</f>
        <v>RÚSTICO</v>
      </c>
      <c r="N265" s="48" t="str">
        <f t="shared" si="14"/>
        <v>sáb</v>
      </c>
    </row>
    <row r="266" spans="1:14" x14ac:dyDescent="0.3">
      <c r="A266" t="s">
        <v>49</v>
      </c>
      <c r="B266" t="s">
        <v>29</v>
      </c>
      <c r="C266">
        <v>15</v>
      </c>
      <c r="D266">
        <v>0.1</v>
      </c>
      <c r="E266" t="s">
        <v>114</v>
      </c>
      <c r="F266" s="35">
        <v>43239</v>
      </c>
      <c r="G266">
        <v>6</v>
      </c>
      <c r="H266">
        <v>9</v>
      </c>
      <c r="I266">
        <v>135</v>
      </c>
      <c r="J266" s="35">
        <v>43239</v>
      </c>
      <c r="K266" s="48">
        <f t="shared" si="12"/>
        <v>9.0000000000000018</v>
      </c>
      <c r="L266" s="48" t="str">
        <f t="shared" si="13"/>
        <v>sáb</v>
      </c>
      <c r="M266" s="48" t="str">
        <f>VLOOKUP(A266,RECEITAS!A:B,2,FALSE)</f>
        <v>DIRETO</v>
      </c>
      <c r="N266" s="48" t="str">
        <f t="shared" si="14"/>
        <v>sáb</v>
      </c>
    </row>
    <row r="267" spans="1:14" x14ac:dyDescent="0.3">
      <c r="A267" t="s">
        <v>48</v>
      </c>
      <c r="B267" t="s">
        <v>29</v>
      </c>
      <c r="C267">
        <v>3</v>
      </c>
      <c r="D267">
        <v>0.1</v>
      </c>
      <c r="E267" t="s">
        <v>114</v>
      </c>
      <c r="F267" s="35">
        <v>43239</v>
      </c>
      <c r="G267">
        <v>6</v>
      </c>
      <c r="H267">
        <v>9</v>
      </c>
      <c r="I267">
        <v>27</v>
      </c>
      <c r="J267" s="35">
        <v>43239</v>
      </c>
      <c r="K267" s="48">
        <f t="shared" si="12"/>
        <v>1.8000000000000003</v>
      </c>
      <c r="L267" s="48" t="str">
        <f t="shared" si="13"/>
        <v>sáb</v>
      </c>
      <c r="M267" s="48" t="str">
        <f>VLOOKUP(A267,RECEITAS!A:B,2,FALSE)</f>
        <v>DIRETO</v>
      </c>
      <c r="N267" s="48" t="str">
        <f t="shared" si="14"/>
        <v>sáb</v>
      </c>
    </row>
    <row r="268" spans="1:14" x14ac:dyDescent="0.3">
      <c r="A268" t="s">
        <v>34</v>
      </c>
      <c r="B268" t="s">
        <v>29</v>
      </c>
      <c r="C268">
        <v>10</v>
      </c>
      <c r="D268">
        <v>0.11</v>
      </c>
      <c r="E268" t="s">
        <v>113</v>
      </c>
      <c r="F268" s="35">
        <v>43239</v>
      </c>
      <c r="G268">
        <v>6</v>
      </c>
      <c r="H268">
        <v>10.8</v>
      </c>
      <c r="I268">
        <v>108</v>
      </c>
      <c r="J268" s="35">
        <v>43239</v>
      </c>
      <c r="K268" s="48">
        <f t="shared" si="12"/>
        <v>6.6000000000000005</v>
      </c>
      <c r="L268" s="48" t="str">
        <f t="shared" si="13"/>
        <v>sáb</v>
      </c>
      <c r="M268" s="48" t="str">
        <f>VLOOKUP(A268,RECEITAS!A:B,2,FALSE)</f>
        <v>DIRETO</v>
      </c>
      <c r="N268" s="48" t="str">
        <f t="shared" si="14"/>
        <v>sáb</v>
      </c>
    </row>
    <row r="269" spans="1:14" x14ac:dyDescent="0.3">
      <c r="A269" t="s">
        <v>27</v>
      </c>
      <c r="B269" t="s">
        <v>29</v>
      </c>
      <c r="C269">
        <v>15</v>
      </c>
      <c r="D269">
        <v>0.1</v>
      </c>
      <c r="E269" t="s">
        <v>113</v>
      </c>
      <c r="F269" s="35">
        <v>43239</v>
      </c>
      <c r="G269">
        <v>6</v>
      </c>
      <c r="H269">
        <v>10.8</v>
      </c>
      <c r="I269">
        <v>162</v>
      </c>
      <c r="J269" s="35">
        <v>43239</v>
      </c>
      <c r="K269" s="48">
        <f t="shared" si="12"/>
        <v>9.0000000000000018</v>
      </c>
      <c r="L269" s="48" t="str">
        <f t="shared" si="13"/>
        <v>sáb</v>
      </c>
      <c r="M269" s="48" t="str">
        <f>VLOOKUP(A269,RECEITAS!A:B,2,FALSE)</f>
        <v>DIRETO</v>
      </c>
      <c r="N269" s="48" t="str">
        <f t="shared" si="14"/>
        <v>sáb</v>
      </c>
    </row>
    <row r="270" spans="1:14" x14ac:dyDescent="0.3">
      <c r="A270" t="s">
        <v>25</v>
      </c>
      <c r="B270" t="s">
        <v>29</v>
      </c>
      <c r="C270">
        <v>10</v>
      </c>
      <c r="D270">
        <v>0.1</v>
      </c>
      <c r="E270" t="s">
        <v>113</v>
      </c>
      <c r="F270" s="35">
        <v>43239</v>
      </c>
      <c r="G270">
        <v>6</v>
      </c>
      <c r="H270">
        <v>9.7200000000000006</v>
      </c>
      <c r="I270">
        <v>97.2</v>
      </c>
      <c r="J270" s="35">
        <v>43239</v>
      </c>
      <c r="K270" s="48">
        <f t="shared" si="12"/>
        <v>6.0000000000000009</v>
      </c>
      <c r="L270" s="48" t="str">
        <f t="shared" si="13"/>
        <v>sáb</v>
      </c>
      <c r="M270" s="48" t="str">
        <f>VLOOKUP(A270,RECEITAS!A:B,2,FALSE)</f>
        <v>DIRETO</v>
      </c>
      <c r="N270" s="48" t="str">
        <f t="shared" si="14"/>
        <v>sáb</v>
      </c>
    </row>
    <row r="271" spans="1:14" x14ac:dyDescent="0.3">
      <c r="A271" t="s">
        <v>27</v>
      </c>
      <c r="B271" t="s">
        <v>29</v>
      </c>
      <c r="C271">
        <v>12</v>
      </c>
      <c r="D271">
        <v>0.1</v>
      </c>
      <c r="E271" t="s">
        <v>113</v>
      </c>
      <c r="F271" s="35">
        <v>43239</v>
      </c>
      <c r="G271">
        <v>6</v>
      </c>
      <c r="H271">
        <v>8.76</v>
      </c>
      <c r="I271">
        <v>105.12</v>
      </c>
      <c r="J271" s="35">
        <v>43239</v>
      </c>
      <c r="K271" s="48">
        <f t="shared" si="12"/>
        <v>7.2000000000000011</v>
      </c>
      <c r="L271" s="48" t="str">
        <f t="shared" si="13"/>
        <v>sáb</v>
      </c>
      <c r="M271" s="48" t="str">
        <f>VLOOKUP(A271,RECEITAS!A:B,2,FALSE)</f>
        <v>DIRETO</v>
      </c>
      <c r="N271" s="48" t="str">
        <f t="shared" si="14"/>
        <v>sáb</v>
      </c>
    </row>
    <row r="272" spans="1:14" x14ac:dyDescent="0.3">
      <c r="A272" t="s">
        <v>25</v>
      </c>
      <c r="B272" t="s">
        <v>29</v>
      </c>
      <c r="C272">
        <v>16</v>
      </c>
      <c r="D272">
        <v>0.1</v>
      </c>
      <c r="E272" t="s">
        <v>46</v>
      </c>
      <c r="F272" s="35">
        <v>43239</v>
      </c>
      <c r="G272">
        <v>6</v>
      </c>
      <c r="H272">
        <v>9.7200000000000006</v>
      </c>
      <c r="I272">
        <v>155.52000000000001</v>
      </c>
      <c r="J272" s="35">
        <v>43239</v>
      </c>
      <c r="K272" s="48">
        <f t="shared" si="12"/>
        <v>9.6000000000000014</v>
      </c>
      <c r="L272" s="48" t="str">
        <f t="shared" si="13"/>
        <v>sáb</v>
      </c>
      <c r="M272" s="48" t="str">
        <f>VLOOKUP(A272,RECEITAS!A:B,2,FALSE)</f>
        <v>DIRETO</v>
      </c>
      <c r="N272" s="48" t="str">
        <f t="shared" si="14"/>
        <v>sáb</v>
      </c>
    </row>
    <row r="273" spans="1:14" x14ac:dyDescent="0.3">
      <c r="A273" t="s">
        <v>27</v>
      </c>
      <c r="B273" t="s">
        <v>29</v>
      </c>
      <c r="C273">
        <v>40</v>
      </c>
      <c r="D273">
        <v>0.1</v>
      </c>
      <c r="E273" t="s">
        <v>46</v>
      </c>
      <c r="F273" s="35">
        <v>43239</v>
      </c>
      <c r="G273">
        <v>6</v>
      </c>
      <c r="H273">
        <v>8.76</v>
      </c>
      <c r="I273">
        <v>350.4</v>
      </c>
      <c r="J273" s="35">
        <v>43239</v>
      </c>
      <c r="K273" s="48">
        <f t="shared" si="12"/>
        <v>24.000000000000004</v>
      </c>
      <c r="L273" s="48" t="str">
        <f t="shared" si="13"/>
        <v>sáb</v>
      </c>
      <c r="M273" s="48" t="str">
        <f>VLOOKUP(A273,RECEITAS!A:B,2,FALSE)</f>
        <v>DIRETO</v>
      </c>
      <c r="N273" s="48" t="str">
        <f t="shared" si="14"/>
        <v>sáb</v>
      </c>
    </row>
    <row r="274" spans="1:14" x14ac:dyDescent="0.3">
      <c r="A274" t="s">
        <v>27</v>
      </c>
      <c r="B274" t="s">
        <v>29</v>
      </c>
      <c r="C274">
        <v>3</v>
      </c>
      <c r="D274">
        <v>0.06</v>
      </c>
      <c r="E274" t="s">
        <v>46</v>
      </c>
      <c r="F274" s="35">
        <v>43239</v>
      </c>
      <c r="G274">
        <v>8</v>
      </c>
      <c r="H274">
        <v>5.36</v>
      </c>
      <c r="I274">
        <v>16.079999999999998</v>
      </c>
      <c r="J274" s="35">
        <v>43239</v>
      </c>
      <c r="K274" s="48">
        <f t="shared" si="12"/>
        <v>1.44</v>
      </c>
      <c r="L274" s="48" t="str">
        <f t="shared" si="13"/>
        <v>sáb</v>
      </c>
      <c r="M274" s="48" t="str">
        <f>VLOOKUP(A274,RECEITAS!A:B,2,FALSE)</f>
        <v>DIRETO</v>
      </c>
      <c r="N274" s="48" t="str">
        <f t="shared" si="14"/>
        <v>sáb</v>
      </c>
    </row>
    <row r="275" spans="1:14" x14ac:dyDescent="0.3">
      <c r="A275" t="s">
        <v>28</v>
      </c>
      <c r="B275" t="s">
        <v>29</v>
      </c>
      <c r="C275">
        <v>5</v>
      </c>
      <c r="D275">
        <v>0.1</v>
      </c>
      <c r="E275" t="s">
        <v>46</v>
      </c>
      <c r="F275" s="35">
        <v>43239</v>
      </c>
      <c r="G275">
        <v>6</v>
      </c>
      <c r="H275">
        <v>10.8</v>
      </c>
      <c r="I275">
        <v>54</v>
      </c>
      <c r="J275" s="35">
        <v>43239</v>
      </c>
      <c r="K275" s="48">
        <f t="shared" si="12"/>
        <v>3.0000000000000004</v>
      </c>
      <c r="L275" s="48" t="str">
        <f t="shared" si="13"/>
        <v>sáb</v>
      </c>
      <c r="M275" s="48" t="str">
        <f>VLOOKUP(A275,RECEITAS!A:B,2,FALSE)</f>
        <v>DIRETO</v>
      </c>
      <c r="N275" s="48" t="str">
        <f t="shared" si="14"/>
        <v>sáb</v>
      </c>
    </row>
    <row r="276" spans="1:14" x14ac:dyDescent="0.3">
      <c r="A276" t="s">
        <v>65</v>
      </c>
      <c r="B276" t="s">
        <v>29</v>
      </c>
      <c r="C276">
        <v>3</v>
      </c>
      <c r="D276">
        <v>0.08</v>
      </c>
      <c r="E276" t="s">
        <v>139</v>
      </c>
      <c r="F276" s="35">
        <v>43239</v>
      </c>
      <c r="G276">
        <v>6</v>
      </c>
      <c r="H276">
        <v>9.1199999999999992</v>
      </c>
      <c r="I276">
        <v>27.36</v>
      </c>
      <c r="J276" s="35">
        <v>43239</v>
      </c>
      <c r="K276" s="48">
        <f t="shared" si="12"/>
        <v>1.44</v>
      </c>
      <c r="L276" s="48" t="str">
        <f t="shared" si="13"/>
        <v>sáb</v>
      </c>
      <c r="M276" s="48" t="str">
        <f>VLOOKUP(A276,RECEITAS!A:B,2,FALSE)</f>
        <v>DIRETO</v>
      </c>
      <c r="N276" s="48" t="str">
        <f t="shared" si="14"/>
        <v>sáb</v>
      </c>
    </row>
    <row r="277" spans="1:14" x14ac:dyDescent="0.3">
      <c r="A277" t="s">
        <v>27</v>
      </c>
      <c r="B277" t="s">
        <v>29</v>
      </c>
      <c r="C277">
        <v>37</v>
      </c>
      <c r="D277">
        <v>0.08</v>
      </c>
      <c r="E277" t="s">
        <v>139</v>
      </c>
      <c r="F277" s="35">
        <v>43239</v>
      </c>
      <c r="G277">
        <v>6</v>
      </c>
      <c r="H277">
        <v>7.38</v>
      </c>
      <c r="I277">
        <v>273.06</v>
      </c>
      <c r="J277" s="35">
        <v>43239</v>
      </c>
      <c r="K277" s="48">
        <f t="shared" si="12"/>
        <v>17.759999999999998</v>
      </c>
      <c r="L277" s="48" t="str">
        <f t="shared" si="13"/>
        <v>sáb</v>
      </c>
      <c r="M277" s="48" t="str">
        <f>VLOOKUP(A277,RECEITAS!A:B,2,FALSE)</f>
        <v>DIRETO</v>
      </c>
      <c r="N277" s="48" t="str">
        <f t="shared" si="14"/>
        <v>sáb</v>
      </c>
    </row>
    <row r="278" spans="1:14" x14ac:dyDescent="0.3">
      <c r="A278" t="s">
        <v>27</v>
      </c>
      <c r="B278" t="s">
        <v>29</v>
      </c>
      <c r="C278">
        <v>2</v>
      </c>
      <c r="D278">
        <v>0.08</v>
      </c>
      <c r="E278" t="s">
        <v>139</v>
      </c>
      <c r="F278" s="35">
        <v>43239</v>
      </c>
      <c r="G278">
        <v>6</v>
      </c>
      <c r="H278">
        <v>10.199999999999999</v>
      </c>
      <c r="I278">
        <v>20.399999999999999</v>
      </c>
      <c r="J278" s="35">
        <v>43239</v>
      </c>
      <c r="K278" s="48">
        <f t="shared" si="12"/>
        <v>0.96</v>
      </c>
      <c r="L278" s="48" t="str">
        <f t="shared" si="13"/>
        <v>sáb</v>
      </c>
      <c r="M278" s="48" t="str">
        <f>VLOOKUP(A278,RECEITAS!A:B,2,FALSE)</f>
        <v>DIRETO</v>
      </c>
      <c r="N278" s="48" t="str">
        <f t="shared" si="14"/>
        <v>sáb</v>
      </c>
    </row>
    <row r="279" spans="1:14" x14ac:dyDescent="0.3">
      <c r="A279" t="s">
        <v>27</v>
      </c>
      <c r="B279" t="s">
        <v>26</v>
      </c>
      <c r="C279">
        <v>5</v>
      </c>
      <c r="D279">
        <v>0.14000000000000001</v>
      </c>
      <c r="E279" t="s">
        <v>140</v>
      </c>
      <c r="F279" s="35">
        <v>43239</v>
      </c>
      <c r="G279">
        <v>4</v>
      </c>
      <c r="H279">
        <v>6.5</v>
      </c>
      <c r="I279">
        <v>32.5</v>
      </c>
      <c r="J279" s="35">
        <v>43239</v>
      </c>
      <c r="K279" s="48">
        <f t="shared" si="12"/>
        <v>2.8000000000000003</v>
      </c>
      <c r="L279" s="48" t="str">
        <f t="shared" si="13"/>
        <v>sáb</v>
      </c>
      <c r="M279" s="48" t="str">
        <f>VLOOKUP(A279,RECEITAS!A:B,2,FALSE)</f>
        <v>DIRETO</v>
      </c>
      <c r="N279" s="48" t="str">
        <f t="shared" si="14"/>
        <v>sáb</v>
      </c>
    </row>
    <row r="280" spans="1:14" x14ac:dyDescent="0.3">
      <c r="A280" t="s">
        <v>27</v>
      </c>
      <c r="B280" t="s">
        <v>29</v>
      </c>
      <c r="C280">
        <v>18</v>
      </c>
      <c r="D280">
        <v>0.12</v>
      </c>
      <c r="E280" t="s">
        <v>140</v>
      </c>
      <c r="F280" s="35">
        <v>43239</v>
      </c>
      <c r="G280">
        <v>5</v>
      </c>
      <c r="H280">
        <v>9</v>
      </c>
      <c r="I280">
        <v>162</v>
      </c>
      <c r="J280" s="35">
        <v>43239</v>
      </c>
      <c r="K280" s="48">
        <f t="shared" si="12"/>
        <v>10.799999999999999</v>
      </c>
      <c r="L280" s="48" t="str">
        <f t="shared" si="13"/>
        <v>sáb</v>
      </c>
      <c r="M280" s="48" t="str">
        <f>VLOOKUP(A280,RECEITAS!A:B,2,FALSE)</f>
        <v>DIRETO</v>
      </c>
      <c r="N280" s="48" t="str">
        <f t="shared" si="14"/>
        <v>sáb</v>
      </c>
    </row>
    <row r="281" spans="1:14" x14ac:dyDescent="0.3">
      <c r="A281" t="s">
        <v>25</v>
      </c>
      <c r="B281" t="s">
        <v>29</v>
      </c>
      <c r="C281">
        <v>8</v>
      </c>
      <c r="D281">
        <v>0.1</v>
      </c>
      <c r="E281" t="s">
        <v>142</v>
      </c>
      <c r="F281" s="35">
        <v>43239</v>
      </c>
      <c r="G281">
        <v>6</v>
      </c>
      <c r="H281">
        <v>9.7200000000000006</v>
      </c>
      <c r="I281">
        <v>77.760000000000005</v>
      </c>
      <c r="J281" s="35">
        <v>43239</v>
      </c>
      <c r="K281" s="48">
        <f t="shared" si="12"/>
        <v>4.8000000000000007</v>
      </c>
      <c r="L281" s="48" t="str">
        <f t="shared" si="13"/>
        <v>sáb</v>
      </c>
      <c r="M281" s="48" t="str">
        <f>VLOOKUP(A281,RECEITAS!A:B,2,FALSE)</f>
        <v>DIRETO</v>
      </c>
      <c r="N281" s="48" t="str">
        <f t="shared" si="14"/>
        <v>sáb</v>
      </c>
    </row>
    <row r="282" spans="1:14" x14ac:dyDescent="0.3">
      <c r="A282" t="s">
        <v>34</v>
      </c>
      <c r="B282" t="s">
        <v>29</v>
      </c>
      <c r="C282">
        <v>8</v>
      </c>
      <c r="D282">
        <v>0.1</v>
      </c>
      <c r="E282" t="s">
        <v>142</v>
      </c>
      <c r="F282" s="35">
        <v>43239</v>
      </c>
      <c r="G282">
        <v>6</v>
      </c>
      <c r="H282">
        <v>10.8</v>
      </c>
      <c r="I282">
        <v>86.4</v>
      </c>
      <c r="J282" s="35">
        <v>43239</v>
      </c>
      <c r="K282" s="48">
        <f t="shared" si="12"/>
        <v>4.8000000000000007</v>
      </c>
      <c r="L282" s="48" t="str">
        <f t="shared" si="13"/>
        <v>sáb</v>
      </c>
      <c r="M282" s="48" t="str">
        <f>VLOOKUP(A282,RECEITAS!A:B,2,FALSE)</f>
        <v>DIRETO</v>
      </c>
      <c r="N282" s="48" t="str">
        <f t="shared" si="14"/>
        <v>sáb</v>
      </c>
    </row>
    <row r="283" spans="1:14" x14ac:dyDescent="0.3">
      <c r="A283" t="s">
        <v>30</v>
      </c>
      <c r="C283">
        <v>1</v>
      </c>
      <c r="D283">
        <v>0.35</v>
      </c>
      <c r="F283" s="51">
        <v>43239</v>
      </c>
      <c r="G283">
        <v>30</v>
      </c>
      <c r="H283">
        <v>7.5</v>
      </c>
      <c r="I283">
        <f>H283*G283</f>
        <v>225</v>
      </c>
      <c r="J283" s="35">
        <v>43239</v>
      </c>
      <c r="K283" s="48">
        <f t="shared" si="12"/>
        <v>10.5</v>
      </c>
      <c r="L283" s="48" t="str">
        <f t="shared" si="13"/>
        <v>sáb</v>
      </c>
      <c r="M283" s="48" t="str">
        <f>VLOOKUP(A283,RECEITAS!A:B,2,FALSE)</f>
        <v>RÚSTICO</v>
      </c>
      <c r="N283" s="48" t="str">
        <f t="shared" si="14"/>
        <v>sáb</v>
      </c>
    </row>
    <row r="284" spans="1:14" x14ac:dyDescent="0.3">
      <c r="A284" t="s">
        <v>40</v>
      </c>
      <c r="C284">
        <v>1</v>
      </c>
      <c r="D284">
        <v>0.08</v>
      </c>
      <c r="F284" s="35">
        <v>43239</v>
      </c>
      <c r="G284">
        <v>120</v>
      </c>
      <c r="H284">
        <v>0.42</v>
      </c>
      <c r="I284">
        <f>H284*G284</f>
        <v>50.4</v>
      </c>
      <c r="J284" s="35">
        <v>43239</v>
      </c>
      <c r="K284" s="48">
        <f t="shared" si="12"/>
        <v>9.6</v>
      </c>
      <c r="L284" s="48" t="str">
        <f t="shared" si="13"/>
        <v>sáb</v>
      </c>
      <c r="M284" s="48" t="str">
        <f>VLOOKUP(A284,RECEITAS!A:B,2,FALSE)</f>
        <v>DIRETO</v>
      </c>
      <c r="N284" s="48" t="str">
        <f t="shared" si="14"/>
        <v>sáb</v>
      </c>
    </row>
    <row r="285" spans="1:14" x14ac:dyDescent="0.3">
      <c r="A285" t="s">
        <v>38</v>
      </c>
      <c r="C285">
        <v>1</v>
      </c>
      <c r="D285">
        <v>0.4</v>
      </c>
      <c r="F285" s="35">
        <v>43239</v>
      </c>
      <c r="G285">
        <v>5</v>
      </c>
      <c r="H285">
        <v>3</v>
      </c>
      <c r="I285">
        <f>H285*G285</f>
        <v>15</v>
      </c>
      <c r="J285" s="35">
        <v>43239</v>
      </c>
      <c r="K285" s="48">
        <f t="shared" si="12"/>
        <v>2</v>
      </c>
      <c r="L285" s="48" t="str">
        <f t="shared" si="13"/>
        <v>sáb</v>
      </c>
      <c r="M285" s="48" t="str">
        <f>VLOOKUP(A285,RECEITAS!A:B,2,FALSE)</f>
        <v>DIRETO</v>
      </c>
      <c r="N285" s="48" t="str">
        <f t="shared" si="14"/>
        <v>sáb</v>
      </c>
    </row>
    <row r="286" spans="1:14" x14ac:dyDescent="0.3">
      <c r="K286" s="48">
        <f t="shared" si="12"/>
        <v>0</v>
      </c>
      <c r="L286" s="48" t="str">
        <f t="shared" si="13"/>
        <v/>
      </c>
      <c r="M286" s="48" t="e">
        <f>VLOOKUP(A286,RECEITAS!A:B,2,FALSE)</f>
        <v>#N/A</v>
      </c>
      <c r="N286" s="48" t="str">
        <f t="shared" si="14"/>
        <v/>
      </c>
    </row>
    <row r="287" spans="1:14" x14ac:dyDescent="0.3">
      <c r="K287" s="48">
        <f t="shared" si="12"/>
        <v>0</v>
      </c>
      <c r="L287" s="48" t="str">
        <f t="shared" si="13"/>
        <v/>
      </c>
      <c r="M287" s="48" t="e">
        <f>VLOOKUP(A287,RECEITAS!A:B,2,FALSE)</f>
        <v>#N/A</v>
      </c>
      <c r="N287" s="48" t="str">
        <f t="shared" si="14"/>
        <v/>
      </c>
    </row>
    <row r="288" spans="1:14" x14ac:dyDescent="0.3">
      <c r="K288" s="48">
        <f t="shared" si="12"/>
        <v>0</v>
      </c>
      <c r="L288" s="48" t="str">
        <f t="shared" si="13"/>
        <v/>
      </c>
      <c r="M288" s="48" t="e">
        <f>VLOOKUP(A288,RECEITAS!A:B,2,FALSE)</f>
        <v>#N/A</v>
      </c>
      <c r="N288" s="48" t="str">
        <f t="shared" si="14"/>
        <v/>
      </c>
    </row>
    <row r="289" spans="11:14" x14ac:dyDescent="0.3">
      <c r="K289" s="48">
        <f t="shared" si="12"/>
        <v>0</v>
      </c>
      <c r="L289" s="48" t="str">
        <f t="shared" si="13"/>
        <v/>
      </c>
      <c r="M289" s="48" t="e">
        <f>VLOOKUP(A289,RECEITAS!A:B,2,FALSE)</f>
        <v>#N/A</v>
      </c>
      <c r="N289" s="48" t="str">
        <f t="shared" si="14"/>
        <v/>
      </c>
    </row>
    <row r="290" spans="11:14" x14ac:dyDescent="0.3">
      <c r="K290" s="48">
        <f t="shared" si="12"/>
        <v>0</v>
      </c>
      <c r="L290" s="48" t="str">
        <f t="shared" si="13"/>
        <v/>
      </c>
      <c r="M290" s="48" t="e">
        <f>VLOOKUP(A290,RECEITAS!A:B,2,FALSE)</f>
        <v>#N/A</v>
      </c>
      <c r="N290" s="48" t="str">
        <f t="shared" si="14"/>
        <v/>
      </c>
    </row>
    <row r="291" spans="11:14" x14ac:dyDescent="0.3">
      <c r="K291" s="48">
        <f t="shared" si="12"/>
        <v>0</v>
      </c>
      <c r="L291" s="48" t="str">
        <f t="shared" si="13"/>
        <v/>
      </c>
      <c r="M291" s="48" t="e">
        <f>VLOOKUP(A291,RECEITAS!A:B,2,FALSE)</f>
        <v>#N/A</v>
      </c>
      <c r="N291" s="48" t="str">
        <f t="shared" si="14"/>
        <v/>
      </c>
    </row>
    <row r="292" spans="11:14" x14ac:dyDescent="0.3">
      <c r="K292" s="48">
        <f t="shared" si="12"/>
        <v>0</v>
      </c>
      <c r="L292" s="48" t="str">
        <f t="shared" si="13"/>
        <v/>
      </c>
      <c r="M292" s="48" t="e">
        <f>VLOOKUP(A292,RECEITAS!A:B,2,FALSE)</f>
        <v>#N/A</v>
      </c>
      <c r="N292" s="48" t="str">
        <f t="shared" si="14"/>
        <v/>
      </c>
    </row>
    <row r="293" spans="11:14" x14ac:dyDescent="0.3">
      <c r="K293" s="48">
        <f t="shared" si="12"/>
        <v>0</v>
      </c>
      <c r="L293" s="48" t="str">
        <f t="shared" si="13"/>
        <v/>
      </c>
      <c r="M293" s="48" t="e">
        <f>VLOOKUP(A293,RECEITAS!A:B,2,FALSE)</f>
        <v>#N/A</v>
      </c>
      <c r="N293" s="48" t="str">
        <f t="shared" si="14"/>
        <v/>
      </c>
    </row>
    <row r="294" spans="11:14" x14ac:dyDescent="0.3">
      <c r="K294" s="48">
        <f t="shared" si="12"/>
        <v>0</v>
      </c>
      <c r="L294" s="48" t="str">
        <f t="shared" si="13"/>
        <v/>
      </c>
      <c r="M294" s="48" t="e">
        <f>VLOOKUP(A294,RECEITAS!A:B,2,FALSE)</f>
        <v>#N/A</v>
      </c>
      <c r="N294" s="48" t="str">
        <f t="shared" si="14"/>
        <v/>
      </c>
    </row>
    <row r="295" spans="11:14" x14ac:dyDescent="0.3">
      <c r="K295" s="48">
        <f t="shared" si="12"/>
        <v>0</v>
      </c>
      <c r="L295" s="48" t="str">
        <f t="shared" si="13"/>
        <v/>
      </c>
      <c r="M295" s="48" t="e">
        <f>VLOOKUP(A295,RECEITAS!A:B,2,FALSE)</f>
        <v>#N/A</v>
      </c>
      <c r="N295" s="48" t="str">
        <f t="shared" si="14"/>
        <v/>
      </c>
    </row>
    <row r="296" spans="11:14" x14ac:dyDescent="0.3">
      <c r="K296" s="48">
        <f t="shared" si="12"/>
        <v>0</v>
      </c>
      <c r="L296" s="48" t="str">
        <f t="shared" si="13"/>
        <v/>
      </c>
      <c r="M296" s="48" t="e">
        <f>VLOOKUP(A296,RECEITAS!A:B,2,FALSE)</f>
        <v>#N/A</v>
      </c>
      <c r="N296" s="48" t="str">
        <f t="shared" si="14"/>
        <v/>
      </c>
    </row>
    <row r="297" spans="11:14" x14ac:dyDescent="0.3">
      <c r="K297" s="48">
        <f t="shared" si="12"/>
        <v>0</v>
      </c>
      <c r="L297" s="48" t="str">
        <f t="shared" si="13"/>
        <v/>
      </c>
      <c r="M297" s="48" t="e">
        <f>VLOOKUP(A297,RECEITAS!A:B,2,FALSE)</f>
        <v>#N/A</v>
      </c>
      <c r="N297" s="48" t="str">
        <f t="shared" si="14"/>
        <v/>
      </c>
    </row>
    <row r="298" spans="11:14" x14ac:dyDescent="0.3">
      <c r="K298" s="48">
        <f t="shared" si="12"/>
        <v>0</v>
      </c>
      <c r="L298" s="48" t="str">
        <f t="shared" si="13"/>
        <v/>
      </c>
      <c r="M298" s="48" t="e">
        <f>VLOOKUP(A298,RECEITAS!A:B,2,FALSE)</f>
        <v>#N/A</v>
      </c>
      <c r="N298" s="48" t="str">
        <f t="shared" si="14"/>
        <v/>
      </c>
    </row>
    <row r="299" spans="11:14" x14ac:dyDescent="0.3">
      <c r="K299" s="48">
        <f t="shared" si="12"/>
        <v>0</v>
      </c>
      <c r="L299" s="48" t="str">
        <f t="shared" si="13"/>
        <v/>
      </c>
      <c r="M299" s="48" t="e">
        <f>VLOOKUP(A299,RECEITAS!A:B,2,FALSE)</f>
        <v>#N/A</v>
      </c>
      <c r="N299" s="48" t="str">
        <f t="shared" si="14"/>
        <v/>
      </c>
    </row>
    <row r="300" spans="11:14" x14ac:dyDescent="0.3">
      <c r="K300" s="48">
        <f t="shared" si="12"/>
        <v>0</v>
      </c>
      <c r="L300" s="48" t="str">
        <f t="shared" si="13"/>
        <v/>
      </c>
      <c r="M300" s="48" t="e">
        <f>VLOOKUP(A300,RECEITAS!A:B,2,FALSE)</f>
        <v>#N/A</v>
      </c>
      <c r="N300" s="48" t="str">
        <f t="shared" si="14"/>
        <v/>
      </c>
    </row>
    <row r="301" spans="11:14" x14ac:dyDescent="0.3">
      <c r="K301" s="48">
        <f t="shared" si="12"/>
        <v>0</v>
      </c>
      <c r="L301" s="48" t="str">
        <f t="shared" si="13"/>
        <v/>
      </c>
      <c r="M301" s="48" t="e">
        <f>VLOOKUP(A301,RECEITAS!A:B,2,FALSE)</f>
        <v>#N/A</v>
      </c>
      <c r="N301" s="48" t="str">
        <f t="shared" si="14"/>
        <v/>
      </c>
    </row>
    <row r="302" spans="11:14" x14ac:dyDescent="0.3">
      <c r="K302" s="48">
        <f t="shared" si="12"/>
        <v>0</v>
      </c>
      <c r="L302" s="48" t="str">
        <f t="shared" si="13"/>
        <v/>
      </c>
      <c r="M302" s="48" t="e">
        <f>VLOOKUP(A302,RECEITAS!A:B,2,FALSE)</f>
        <v>#N/A</v>
      </c>
      <c r="N302" s="48" t="str">
        <f t="shared" si="14"/>
        <v/>
      </c>
    </row>
    <row r="303" spans="11:14" x14ac:dyDescent="0.3">
      <c r="K303" s="48">
        <f t="shared" si="12"/>
        <v>0</v>
      </c>
      <c r="L303" s="48" t="str">
        <f t="shared" si="13"/>
        <v/>
      </c>
      <c r="M303" s="48" t="e">
        <f>VLOOKUP(A303,RECEITAS!A:B,2,FALSE)</f>
        <v>#N/A</v>
      </c>
      <c r="N303" s="48" t="str">
        <f t="shared" si="14"/>
        <v/>
      </c>
    </row>
    <row r="304" spans="11:14" x14ac:dyDescent="0.3">
      <c r="K304" s="48">
        <f t="shared" si="12"/>
        <v>0</v>
      </c>
      <c r="L304" s="48" t="str">
        <f t="shared" si="13"/>
        <v/>
      </c>
      <c r="M304" s="48" t="e">
        <f>VLOOKUP(A304,RECEITAS!A:B,2,FALSE)</f>
        <v>#N/A</v>
      </c>
      <c r="N304" s="48" t="str">
        <f t="shared" si="14"/>
        <v/>
      </c>
    </row>
    <row r="305" spans="11:14" x14ac:dyDescent="0.3">
      <c r="K305" s="48">
        <f t="shared" si="12"/>
        <v>0</v>
      </c>
      <c r="L305" s="48" t="str">
        <f t="shared" si="13"/>
        <v/>
      </c>
      <c r="M305" s="48" t="e">
        <f>VLOOKUP(A305,RECEITAS!A:B,2,FALSE)</f>
        <v>#N/A</v>
      </c>
      <c r="N305" s="48" t="str">
        <f t="shared" si="14"/>
        <v/>
      </c>
    </row>
    <row r="306" spans="11:14" x14ac:dyDescent="0.3">
      <c r="K306" s="48">
        <f t="shared" si="12"/>
        <v>0</v>
      </c>
      <c r="L306" s="48" t="str">
        <f t="shared" si="13"/>
        <v/>
      </c>
      <c r="M306" s="48" t="e">
        <f>VLOOKUP(A306,RECEITAS!A:B,2,FALSE)</f>
        <v>#N/A</v>
      </c>
      <c r="N306" s="48" t="str">
        <f t="shared" si="14"/>
        <v/>
      </c>
    </row>
    <row r="307" spans="11:14" x14ac:dyDescent="0.3">
      <c r="K307" s="48">
        <f t="shared" si="12"/>
        <v>0</v>
      </c>
      <c r="L307" s="48" t="str">
        <f t="shared" si="13"/>
        <v/>
      </c>
      <c r="M307" s="48" t="e">
        <f>VLOOKUP(A307,RECEITAS!A:B,2,FALSE)</f>
        <v>#N/A</v>
      </c>
      <c r="N307" s="48" t="str">
        <f t="shared" si="14"/>
        <v/>
      </c>
    </row>
    <row r="308" spans="11:14" x14ac:dyDescent="0.3">
      <c r="K308" s="48">
        <f t="shared" si="12"/>
        <v>0</v>
      </c>
      <c r="L308" s="48" t="str">
        <f t="shared" si="13"/>
        <v/>
      </c>
      <c r="M308" s="48" t="e">
        <f>VLOOKUP(A308,RECEITAS!A:B,2,FALSE)</f>
        <v>#N/A</v>
      </c>
      <c r="N308" s="48" t="str">
        <f t="shared" si="14"/>
        <v/>
      </c>
    </row>
    <row r="309" spans="11:14" x14ac:dyDescent="0.3">
      <c r="K309" s="48">
        <f t="shared" si="12"/>
        <v>0</v>
      </c>
      <c r="L309" s="48" t="str">
        <f t="shared" si="13"/>
        <v/>
      </c>
      <c r="M309" s="48" t="e">
        <f>VLOOKUP(A309,RECEITAS!A:B,2,FALSE)</f>
        <v>#N/A</v>
      </c>
      <c r="N309" s="48" t="str">
        <f t="shared" si="14"/>
        <v/>
      </c>
    </row>
    <row r="310" spans="11:14" x14ac:dyDescent="0.3">
      <c r="K310" s="48">
        <f t="shared" si="12"/>
        <v>0</v>
      </c>
      <c r="L310" s="48" t="str">
        <f t="shared" si="13"/>
        <v/>
      </c>
      <c r="M310" s="48" t="e">
        <f>VLOOKUP(A310,RECEITAS!A:B,2,FALSE)</f>
        <v>#N/A</v>
      </c>
      <c r="N310" s="48" t="str">
        <f t="shared" si="14"/>
        <v/>
      </c>
    </row>
    <row r="311" spans="11:14" x14ac:dyDescent="0.3">
      <c r="K311" s="48">
        <f t="shared" si="12"/>
        <v>0</v>
      </c>
      <c r="L311" s="48" t="str">
        <f t="shared" si="13"/>
        <v/>
      </c>
      <c r="M311" s="48" t="e">
        <f>VLOOKUP(A311,RECEITAS!A:B,2,FALSE)</f>
        <v>#N/A</v>
      </c>
      <c r="N311" s="48" t="str">
        <f t="shared" si="14"/>
        <v/>
      </c>
    </row>
    <row r="312" spans="11:14" x14ac:dyDescent="0.3">
      <c r="K312" s="48">
        <f t="shared" si="12"/>
        <v>0</v>
      </c>
      <c r="L312" s="48" t="str">
        <f t="shared" si="13"/>
        <v/>
      </c>
      <c r="M312" s="48" t="e">
        <f>VLOOKUP(A312,RECEITAS!A:B,2,FALSE)</f>
        <v>#N/A</v>
      </c>
      <c r="N312" s="48" t="str">
        <f t="shared" si="14"/>
        <v/>
      </c>
    </row>
    <row r="313" spans="11:14" x14ac:dyDescent="0.3">
      <c r="K313" s="48">
        <f t="shared" si="12"/>
        <v>0</v>
      </c>
      <c r="L313" s="48" t="str">
        <f t="shared" si="13"/>
        <v/>
      </c>
      <c r="M313" s="48" t="e">
        <f>VLOOKUP(A313,RECEITAS!A:B,2,FALSE)</f>
        <v>#N/A</v>
      </c>
      <c r="N313" s="48" t="str">
        <f t="shared" si="14"/>
        <v/>
      </c>
    </row>
    <row r="314" spans="11:14" x14ac:dyDescent="0.3">
      <c r="K314" s="48">
        <f t="shared" si="12"/>
        <v>0</v>
      </c>
      <c r="L314" s="48" t="str">
        <f t="shared" si="13"/>
        <v/>
      </c>
      <c r="M314" s="48" t="e">
        <f>VLOOKUP(A314,RECEITAS!A:B,2,FALSE)</f>
        <v>#N/A</v>
      </c>
      <c r="N314" s="48" t="str">
        <f t="shared" si="14"/>
        <v/>
      </c>
    </row>
    <row r="315" spans="11:14" x14ac:dyDescent="0.3">
      <c r="K315" s="48">
        <f t="shared" si="12"/>
        <v>0</v>
      </c>
      <c r="L315" s="48" t="str">
        <f t="shared" si="13"/>
        <v/>
      </c>
      <c r="M315" s="48" t="e">
        <f>VLOOKUP(A315,RECEITAS!A:B,2,FALSE)</f>
        <v>#N/A</v>
      </c>
      <c r="N315" s="48" t="str">
        <f t="shared" si="14"/>
        <v/>
      </c>
    </row>
    <row r="316" spans="11:14" x14ac:dyDescent="0.3">
      <c r="K316" s="48">
        <f t="shared" si="12"/>
        <v>0</v>
      </c>
      <c r="L316" s="48" t="str">
        <f t="shared" si="13"/>
        <v/>
      </c>
      <c r="M316" s="48" t="e">
        <f>VLOOKUP(A316,RECEITAS!A:B,2,FALSE)</f>
        <v>#N/A</v>
      </c>
      <c r="N316" s="48" t="str">
        <f t="shared" si="14"/>
        <v/>
      </c>
    </row>
    <row r="317" spans="11:14" x14ac:dyDescent="0.3">
      <c r="K317" s="48">
        <f t="shared" si="12"/>
        <v>0</v>
      </c>
      <c r="L317" s="48" t="str">
        <f t="shared" si="13"/>
        <v/>
      </c>
      <c r="M317" s="48" t="e">
        <f>VLOOKUP(A317,RECEITAS!A:B,2,FALSE)</f>
        <v>#N/A</v>
      </c>
      <c r="N317" s="48" t="str">
        <f t="shared" si="14"/>
        <v/>
      </c>
    </row>
    <row r="318" spans="11:14" x14ac:dyDescent="0.3">
      <c r="K318" s="48">
        <f t="shared" si="12"/>
        <v>0</v>
      </c>
      <c r="L318" s="48" t="str">
        <f t="shared" si="13"/>
        <v/>
      </c>
      <c r="M318" s="48" t="e">
        <f>VLOOKUP(A318,RECEITAS!A:B,2,FALSE)</f>
        <v>#N/A</v>
      </c>
      <c r="N318" s="48" t="str">
        <f t="shared" si="14"/>
        <v/>
      </c>
    </row>
    <row r="319" spans="11:14" x14ac:dyDescent="0.3">
      <c r="K319" s="48">
        <f t="shared" si="12"/>
        <v>0</v>
      </c>
      <c r="L319" s="48" t="str">
        <f t="shared" si="13"/>
        <v/>
      </c>
      <c r="M319" s="48" t="e">
        <f>VLOOKUP(A319,RECEITAS!A:B,2,FALSE)</f>
        <v>#N/A</v>
      </c>
      <c r="N319" s="48" t="str">
        <f t="shared" si="14"/>
        <v/>
      </c>
    </row>
    <row r="320" spans="11:14" x14ac:dyDescent="0.3">
      <c r="K320" s="48">
        <f t="shared" si="12"/>
        <v>0</v>
      </c>
      <c r="L320" s="48" t="str">
        <f t="shared" si="13"/>
        <v/>
      </c>
      <c r="M320" s="48" t="e">
        <f>VLOOKUP(A320,RECEITAS!A:B,2,FALSE)</f>
        <v>#N/A</v>
      </c>
      <c r="N320" s="48" t="str">
        <f t="shared" si="14"/>
        <v/>
      </c>
    </row>
    <row r="321" spans="11:14" x14ac:dyDescent="0.3">
      <c r="K321" s="48">
        <f t="shared" si="12"/>
        <v>0</v>
      </c>
      <c r="L321" s="48" t="str">
        <f t="shared" si="13"/>
        <v/>
      </c>
      <c r="M321" s="48" t="e">
        <f>VLOOKUP(A321,RECEITAS!A:B,2,FALSE)</f>
        <v>#N/A</v>
      </c>
      <c r="N321" s="48" t="str">
        <f t="shared" si="14"/>
        <v/>
      </c>
    </row>
    <row r="322" spans="11:14" x14ac:dyDescent="0.3">
      <c r="K322" s="48">
        <f t="shared" si="12"/>
        <v>0</v>
      </c>
      <c r="L322" s="48" t="str">
        <f t="shared" si="13"/>
        <v/>
      </c>
      <c r="M322" s="48" t="e">
        <f>VLOOKUP(A322,RECEITAS!A:B,2,FALSE)</f>
        <v>#N/A</v>
      </c>
      <c r="N322" s="48" t="str">
        <f t="shared" si="14"/>
        <v/>
      </c>
    </row>
    <row r="323" spans="11:14" x14ac:dyDescent="0.3">
      <c r="K323" s="48">
        <f t="shared" ref="K323:K386" si="15">G323*D323*C323</f>
        <v>0</v>
      </c>
      <c r="L323" s="48" t="str">
        <f t="shared" ref="L323:L386" si="16">IF(F323=0,"",TEXT(F323,"DDD"))</f>
        <v/>
      </c>
      <c r="M323" s="48" t="e">
        <f>VLOOKUP(A323,RECEITAS!A:B,2,FALSE)</f>
        <v>#N/A</v>
      </c>
      <c r="N323" s="48" t="str">
        <f t="shared" ref="N323:N386" si="17">IF(J323=0,"",TEXT(J323,"ddd"))</f>
        <v/>
      </c>
    </row>
    <row r="324" spans="11:14" x14ac:dyDescent="0.3">
      <c r="K324" s="48">
        <f t="shared" si="15"/>
        <v>0</v>
      </c>
      <c r="L324" s="48" t="str">
        <f t="shared" si="16"/>
        <v/>
      </c>
      <c r="M324" s="48" t="e">
        <f>VLOOKUP(A324,RECEITAS!A:B,2,FALSE)</f>
        <v>#N/A</v>
      </c>
      <c r="N324" s="48" t="str">
        <f t="shared" si="17"/>
        <v/>
      </c>
    </row>
    <row r="325" spans="11:14" x14ac:dyDescent="0.3">
      <c r="K325" s="48">
        <f t="shared" si="15"/>
        <v>0</v>
      </c>
      <c r="L325" s="48" t="str">
        <f t="shared" si="16"/>
        <v/>
      </c>
      <c r="M325" s="48" t="e">
        <f>VLOOKUP(A325,RECEITAS!A:B,2,FALSE)</f>
        <v>#N/A</v>
      </c>
      <c r="N325" s="48" t="str">
        <f t="shared" si="17"/>
        <v/>
      </c>
    </row>
    <row r="326" spans="11:14" x14ac:dyDescent="0.3">
      <c r="K326" s="48">
        <f t="shared" si="15"/>
        <v>0</v>
      </c>
      <c r="L326" s="48" t="str">
        <f t="shared" si="16"/>
        <v/>
      </c>
      <c r="M326" s="48" t="e">
        <f>VLOOKUP(A326,RECEITAS!A:B,2,FALSE)</f>
        <v>#N/A</v>
      </c>
      <c r="N326" s="48" t="str">
        <f t="shared" si="17"/>
        <v/>
      </c>
    </row>
    <row r="327" spans="11:14" x14ac:dyDescent="0.3">
      <c r="K327" s="48">
        <f t="shared" si="15"/>
        <v>0</v>
      </c>
      <c r="L327" s="48" t="str">
        <f t="shared" si="16"/>
        <v/>
      </c>
      <c r="M327" s="48" t="e">
        <f>VLOOKUP(A327,RECEITAS!A:B,2,FALSE)</f>
        <v>#N/A</v>
      </c>
      <c r="N327" s="48" t="str">
        <f t="shared" si="17"/>
        <v/>
      </c>
    </row>
    <row r="328" spans="11:14" x14ac:dyDescent="0.3">
      <c r="K328" s="48">
        <f t="shared" si="15"/>
        <v>0</v>
      </c>
      <c r="L328" s="48" t="str">
        <f t="shared" si="16"/>
        <v/>
      </c>
      <c r="M328" s="48" t="e">
        <f>VLOOKUP(A328,RECEITAS!A:B,2,FALSE)</f>
        <v>#N/A</v>
      </c>
      <c r="N328" s="48" t="str">
        <f t="shared" si="17"/>
        <v/>
      </c>
    </row>
    <row r="329" spans="11:14" x14ac:dyDescent="0.3">
      <c r="K329" s="48">
        <f t="shared" si="15"/>
        <v>0</v>
      </c>
      <c r="L329" s="48" t="str">
        <f t="shared" si="16"/>
        <v/>
      </c>
      <c r="M329" s="48" t="e">
        <f>VLOOKUP(A329,RECEITAS!A:B,2,FALSE)</f>
        <v>#N/A</v>
      </c>
      <c r="N329" s="48" t="str">
        <f t="shared" si="17"/>
        <v/>
      </c>
    </row>
    <row r="330" spans="11:14" x14ac:dyDescent="0.3">
      <c r="K330" s="48">
        <f t="shared" si="15"/>
        <v>0</v>
      </c>
      <c r="L330" s="48" t="str">
        <f t="shared" si="16"/>
        <v/>
      </c>
      <c r="M330" s="48" t="e">
        <f>VLOOKUP(A330,RECEITAS!A:B,2,FALSE)</f>
        <v>#N/A</v>
      </c>
      <c r="N330" s="48" t="str">
        <f t="shared" si="17"/>
        <v/>
      </c>
    </row>
    <row r="331" spans="11:14" x14ac:dyDescent="0.3">
      <c r="K331" s="48">
        <f t="shared" si="15"/>
        <v>0</v>
      </c>
      <c r="L331" s="48" t="str">
        <f t="shared" si="16"/>
        <v/>
      </c>
      <c r="M331" s="48" t="e">
        <f>VLOOKUP(A331,RECEITAS!A:B,2,FALSE)</f>
        <v>#N/A</v>
      </c>
      <c r="N331" s="48" t="str">
        <f t="shared" si="17"/>
        <v/>
      </c>
    </row>
    <row r="332" spans="11:14" x14ac:dyDescent="0.3">
      <c r="K332" s="48">
        <f t="shared" si="15"/>
        <v>0</v>
      </c>
      <c r="L332" s="48" t="str">
        <f t="shared" si="16"/>
        <v/>
      </c>
      <c r="M332" s="48" t="e">
        <f>VLOOKUP(A332,RECEITAS!A:B,2,FALSE)</f>
        <v>#N/A</v>
      </c>
      <c r="N332" s="48" t="str">
        <f t="shared" si="17"/>
        <v/>
      </c>
    </row>
    <row r="333" spans="11:14" x14ac:dyDescent="0.3">
      <c r="K333" s="48">
        <f t="shared" si="15"/>
        <v>0</v>
      </c>
      <c r="L333" s="48" t="str">
        <f t="shared" si="16"/>
        <v/>
      </c>
      <c r="M333" s="48" t="e">
        <f>VLOOKUP(A333,RECEITAS!A:B,2,FALSE)</f>
        <v>#N/A</v>
      </c>
      <c r="N333" s="48" t="str">
        <f t="shared" si="17"/>
        <v/>
      </c>
    </row>
    <row r="334" spans="11:14" x14ac:dyDescent="0.3">
      <c r="K334" s="48">
        <f t="shared" si="15"/>
        <v>0</v>
      </c>
      <c r="L334" s="48" t="str">
        <f t="shared" si="16"/>
        <v/>
      </c>
      <c r="M334" s="48" t="e">
        <f>VLOOKUP(A334,RECEITAS!A:B,2,FALSE)</f>
        <v>#N/A</v>
      </c>
      <c r="N334" s="48" t="str">
        <f t="shared" si="17"/>
        <v/>
      </c>
    </row>
    <row r="335" spans="11:14" x14ac:dyDescent="0.3">
      <c r="K335" s="48">
        <f t="shared" si="15"/>
        <v>0</v>
      </c>
      <c r="L335" s="48" t="str">
        <f t="shared" si="16"/>
        <v/>
      </c>
      <c r="M335" s="48" t="e">
        <f>VLOOKUP(A335,RECEITAS!A:B,2,FALSE)</f>
        <v>#N/A</v>
      </c>
      <c r="N335" s="48" t="str">
        <f t="shared" si="17"/>
        <v/>
      </c>
    </row>
    <row r="336" spans="11:14" x14ac:dyDescent="0.3">
      <c r="K336" s="48">
        <f t="shared" si="15"/>
        <v>0</v>
      </c>
      <c r="L336" s="48" t="str">
        <f t="shared" si="16"/>
        <v/>
      </c>
      <c r="M336" s="48" t="e">
        <f>VLOOKUP(A336,RECEITAS!A:B,2,FALSE)</f>
        <v>#N/A</v>
      </c>
      <c r="N336" s="48" t="str">
        <f t="shared" si="17"/>
        <v/>
      </c>
    </row>
    <row r="337" spans="11:14" x14ac:dyDescent="0.3">
      <c r="K337" s="48">
        <f t="shared" si="15"/>
        <v>0</v>
      </c>
      <c r="L337" s="48" t="str">
        <f t="shared" si="16"/>
        <v/>
      </c>
      <c r="M337" s="48" t="e">
        <f>VLOOKUP(A337,RECEITAS!A:B,2,FALSE)</f>
        <v>#N/A</v>
      </c>
      <c r="N337" s="48" t="str">
        <f t="shared" si="17"/>
        <v/>
      </c>
    </row>
    <row r="338" spans="11:14" x14ac:dyDescent="0.3">
      <c r="K338" s="48">
        <f t="shared" si="15"/>
        <v>0</v>
      </c>
      <c r="L338" s="48" t="str">
        <f t="shared" si="16"/>
        <v/>
      </c>
      <c r="M338" s="48" t="e">
        <f>VLOOKUP(A338,RECEITAS!A:B,2,FALSE)</f>
        <v>#N/A</v>
      </c>
      <c r="N338" s="48" t="str">
        <f t="shared" si="17"/>
        <v/>
      </c>
    </row>
    <row r="339" spans="11:14" x14ac:dyDescent="0.3">
      <c r="K339" s="48">
        <f t="shared" si="15"/>
        <v>0</v>
      </c>
      <c r="L339" s="48" t="str">
        <f t="shared" si="16"/>
        <v/>
      </c>
      <c r="M339" s="48" t="e">
        <f>VLOOKUP(A339,RECEITAS!A:B,2,FALSE)</f>
        <v>#N/A</v>
      </c>
      <c r="N339" s="48" t="str">
        <f t="shared" si="17"/>
        <v/>
      </c>
    </row>
    <row r="340" spans="11:14" x14ac:dyDescent="0.3">
      <c r="K340" s="48">
        <f t="shared" si="15"/>
        <v>0</v>
      </c>
      <c r="L340" s="48" t="str">
        <f t="shared" si="16"/>
        <v/>
      </c>
      <c r="M340" s="48" t="e">
        <f>VLOOKUP(A340,RECEITAS!A:B,2,FALSE)</f>
        <v>#N/A</v>
      </c>
      <c r="N340" s="48" t="str">
        <f t="shared" si="17"/>
        <v/>
      </c>
    </row>
    <row r="341" spans="11:14" x14ac:dyDescent="0.3">
      <c r="K341" s="48">
        <f t="shared" si="15"/>
        <v>0</v>
      </c>
      <c r="L341" s="48" t="str">
        <f t="shared" si="16"/>
        <v/>
      </c>
      <c r="M341" s="48" t="e">
        <f>VLOOKUP(A341,RECEITAS!A:B,2,FALSE)</f>
        <v>#N/A</v>
      </c>
      <c r="N341" s="48" t="str">
        <f t="shared" si="17"/>
        <v/>
      </c>
    </row>
    <row r="342" spans="11:14" x14ac:dyDescent="0.3">
      <c r="K342" s="48">
        <f t="shared" si="15"/>
        <v>0</v>
      </c>
      <c r="L342" s="48" t="str">
        <f t="shared" si="16"/>
        <v/>
      </c>
      <c r="M342" s="48" t="e">
        <f>VLOOKUP(A342,RECEITAS!A:B,2,FALSE)</f>
        <v>#N/A</v>
      </c>
      <c r="N342" s="48" t="str">
        <f t="shared" si="17"/>
        <v/>
      </c>
    </row>
    <row r="343" spans="11:14" x14ac:dyDescent="0.3">
      <c r="K343" s="48">
        <f t="shared" si="15"/>
        <v>0</v>
      </c>
      <c r="L343" s="48" t="str">
        <f t="shared" si="16"/>
        <v/>
      </c>
      <c r="M343" s="48" t="e">
        <f>VLOOKUP(A343,RECEITAS!A:B,2,FALSE)</f>
        <v>#N/A</v>
      </c>
      <c r="N343" s="48" t="str">
        <f t="shared" si="17"/>
        <v/>
      </c>
    </row>
    <row r="344" spans="11:14" x14ac:dyDescent="0.3">
      <c r="K344" s="48">
        <f t="shared" si="15"/>
        <v>0</v>
      </c>
      <c r="L344" s="48" t="str">
        <f t="shared" si="16"/>
        <v/>
      </c>
      <c r="M344" s="48" t="e">
        <f>VLOOKUP(A344,RECEITAS!A:B,2,FALSE)</f>
        <v>#N/A</v>
      </c>
      <c r="N344" s="48" t="str">
        <f t="shared" si="17"/>
        <v/>
      </c>
    </row>
    <row r="345" spans="11:14" x14ac:dyDescent="0.3">
      <c r="K345" s="48">
        <f t="shared" si="15"/>
        <v>0</v>
      </c>
      <c r="L345" s="48" t="str">
        <f t="shared" si="16"/>
        <v/>
      </c>
      <c r="M345" s="48" t="e">
        <f>VLOOKUP(A345,RECEITAS!A:B,2,FALSE)</f>
        <v>#N/A</v>
      </c>
      <c r="N345" s="48" t="str">
        <f t="shared" si="17"/>
        <v/>
      </c>
    </row>
    <row r="346" spans="11:14" x14ac:dyDescent="0.3">
      <c r="K346" s="48">
        <f t="shared" si="15"/>
        <v>0</v>
      </c>
      <c r="L346" s="48" t="str">
        <f t="shared" si="16"/>
        <v/>
      </c>
      <c r="M346" s="48" t="e">
        <f>VLOOKUP(A346,RECEITAS!A:B,2,FALSE)</f>
        <v>#N/A</v>
      </c>
      <c r="N346" s="48" t="str">
        <f t="shared" si="17"/>
        <v/>
      </c>
    </row>
    <row r="347" spans="11:14" x14ac:dyDescent="0.3">
      <c r="K347" s="48">
        <f t="shared" si="15"/>
        <v>0</v>
      </c>
      <c r="L347" s="48" t="str">
        <f t="shared" si="16"/>
        <v/>
      </c>
      <c r="M347" s="48" t="e">
        <f>VLOOKUP(A347,RECEITAS!A:B,2,FALSE)</f>
        <v>#N/A</v>
      </c>
      <c r="N347" s="48" t="str">
        <f t="shared" si="17"/>
        <v/>
      </c>
    </row>
    <row r="348" spans="11:14" x14ac:dyDescent="0.3">
      <c r="K348" s="48">
        <f t="shared" si="15"/>
        <v>0</v>
      </c>
      <c r="L348" s="48" t="str">
        <f t="shared" si="16"/>
        <v/>
      </c>
      <c r="M348" s="48" t="e">
        <f>VLOOKUP(A348,RECEITAS!A:B,2,FALSE)</f>
        <v>#N/A</v>
      </c>
      <c r="N348" s="48" t="str">
        <f t="shared" si="17"/>
        <v/>
      </c>
    </row>
    <row r="349" spans="11:14" x14ac:dyDescent="0.3">
      <c r="K349" s="48">
        <f t="shared" si="15"/>
        <v>0</v>
      </c>
      <c r="L349" s="48" t="str">
        <f t="shared" si="16"/>
        <v/>
      </c>
      <c r="M349" s="48" t="e">
        <f>VLOOKUP(A349,RECEITAS!A:B,2,FALSE)</f>
        <v>#N/A</v>
      </c>
      <c r="N349" s="48" t="str">
        <f t="shared" si="17"/>
        <v/>
      </c>
    </row>
    <row r="350" spans="11:14" x14ac:dyDescent="0.3">
      <c r="K350" s="48">
        <f t="shared" si="15"/>
        <v>0</v>
      </c>
      <c r="L350" s="48" t="str">
        <f t="shared" si="16"/>
        <v/>
      </c>
      <c r="M350" s="48" t="e">
        <f>VLOOKUP(A350,RECEITAS!A:B,2,FALSE)</f>
        <v>#N/A</v>
      </c>
      <c r="N350" s="48" t="str">
        <f t="shared" si="17"/>
        <v/>
      </c>
    </row>
    <row r="351" spans="11:14" x14ac:dyDescent="0.3">
      <c r="K351" s="48">
        <f t="shared" si="15"/>
        <v>0</v>
      </c>
      <c r="L351" s="48" t="str">
        <f t="shared" si="16"/>
        <v/>
      </c>
      <c r="M351" s="48" t="e">
        <f>VLOOKUP(A351,RECEITAS!A:B,2,FALSE)</f>
        <v>#N/A</v>
      </c>
      <c r="N351" s="48" t="str">
        <f t="shared" si="17"/>
        <v/>
      </c>
    </row>
    <row r="352" spans="11:14" x14ac:dyDescent="0.3">
      <c r="K352" s="48">
        <f t="shared" si="15"/>
        <v>0</v>
      </c>
      <c r="L352" s="48" t="str">
        <f t="shared" si="16"/>
        <v/>
      </c>
      <c r="M352" s="48" t="e">
        <f>VLOOKUP(A352,RECEITAS!A:B,2,FALSE)</f>
        <v>#N/A</v>
      </c>
      <c r="N352" s="48" t="str">
        <f t="shared" si="17"/>
        <v/>
      </c>
    </row>
    <row r="353" spans="11:14" x14ac:dyDescent="0.3">
      <c r="K353" s="48">
        <f t="shared" si="15"/>
        <v>0</v>
      </c>
      <c r="L353" s="48" t="str">
        <f t="shared" si="16"/>
        <v/>
      </c>
      <c r="M353" s="48" t="e">
        <f>VLOOKUP(A353,RECEITAS!A:B,2,FALSE)</f>
        <v>#N/A</v>
      </c>
      <c r="N353" s="48" t="str">
        <f t="shared" si="17"/>
        <v/>
      </c>
    </row>
    <row r="354" spans="11:14" x14ac:dyDescent="0.3">
      <c r="K354" s="48">
        <f t="shared" si="15"/>
        <v>0</v>
      </c>
      <c r="L354" s="48" t="str">
        <f t="shared" si="16"/>
        <v/>
      </c>
      <c r="M354" s="48" t="e">
        <f>VLOOKUP(A354,RECEITAS!A:B,2,FALSE)</f>
        <v>#N/A</v>
      </c>
      <c r="N354" s="48" t="str">
        <f t="shared" si="17"/>
        <v/>
      </c>
    </row>
    <row r="355" spans="11:14" x14ac:dyDescent="0.3">
      <c r="K355" s="48">
        <f t="shared" si="15"/>
        <v>0</v>
      </c>
      <c r="L355" s="48" t="str">
        <f t="shared" si="16"/>
        <v/>
      </c>
      <c r="M355" s="48" t="e">
        <f>VLOOKUP(A355,RECEITAS!A:B,2,FALSE)</f>
        <v>#N/A</v>
      </c>
      <c r="N355" s="48" t="str">
        <f t="shared" si="17"/>
        <v/>
      </c>
    </row>
    <row r="356" spans="11:14" x14ac:dyDescent="0.3">
      <c r="K356" s="48">
        <f t="shared" si="15"/>
        <v>0</v>
      </c>
      <c r="L356" s="48" t="str">
        <f t="shared" si="16"/>
        <v/>
      </c>
      <c r="M356" s="48" t="e">
        <f>VLOOKUP(A356,RECEITAS!A:B,2,FALSE)</f>
        <v>#N/A</v>
      </c>
      <c r="N356" s="48" t="str">
        <f t="shared" si="17"/>
        <v/>
      </c>
    </row>
    <row r="357" spans="11:14" x14ac:dyDescent="0.3">
      <c r="K357" s="48">
        <f t="shared" si="15"/>
        <v>0</v>
      </c>
      <c r="L357" s="48" t="str">
        <f t="shared" si="16"/>
        <v/>
      </c>
      <c r="M357" s="48" t="e">
        <f>VLOOKUP(A357,RECEITAS!A:B,2,FALSE)</f>
        <v>#N/A</v>
      </c>
      <c r="N357" s="48" t="str">
        <f t="shared" si="17"/>
        <v/>
      </c>
    </row>
    <row r="358" spans="11:14" x14ac:dyDescent="0.3">
      <c r="K358" s="48">
        <f t="shared" si="15"/>
        <v>0</v>
      </c>
      <c r="L358" s="48" t="str">
        <f t="shared" si="16"/>
        <v/>
      </c>
      <c r="M358" s="48" t="e">
        <f>VLOOKUP(A358,RECEITAS!A:B,2,FALSE)</f>
        <v>#N/A</v>
      </c>
      <c r="N358" s="48" t="str">
        <f t="shared" si="17"/>
        <v/>
      </c>
    </row>
    <row r="359" spans="11:14" x14ac:dyDescent="0.3">
      <c r="K359" s="48">
        <f t="shared" si="15"/>
        <v>0</v>
      </c>
      <c r="L359" s="48" t="str">
        <f t="shared" si="16"/>
        <v/>
      </c>
      <c r="M359" s="48" t="e">
        <f>VLOOKUP(A359,RECEITAS!A:B,2,FALSE)</f>
        <v>#N/A</v>
      </c>
      <c r="N359" s="48" t="str">
        <f t="shared" si="17"/>
        <v/>
      </c>
    </row>
    <row r="360" spans="11:14" x14ac:dyDescent="0.3">
      <c r="K360" s="48">
        <f t="shared" si="15"/>
        <v>0</v>
      </c>
      <c r="L360" s="48" t="str">
        <f t="shared" si="16"/>
        <v/>
      </c>
      <c r="M360" s="48" t="e">
        <f>VLOOKUP(A360,RECEITAS!A:B,2,FALSE)</f>
        <v>#N/A</v>
      </c>
      <c r="N360" s="48" t="str">
        <f t="shared" si="17"/>
        <v/>
      </c>
    </row>
    <row r="361" spans="11:14" x14ac:dyDescent="0.3">
      <c r="K361" s="48">
        <f t="shared" si="15"/>
        <v>0</v>
      </c>
      <c r="L361" s="48" t="str">
        <f t="shared" si="16"/>
        <v/>
      </c>
      <c r="M361" s="48" t="e">
        <f>VLOOKUP(A361,RECEITAS!A:B,2,FALSE)</f>
        <v>#N/A</v>
      </c>
      <c r="N361" s="48" t="str">
        <f t="shared" si="17"/>
        <v/>
      </c>
    </row>
    <row r="362" spans="11:14" x14ac:dyDescent="0.3">
      <c r="K362" s="48">
        <f t="shared" si="15"/>
        <v>0</v>
      </c>
      <c r="L362" s="48" t="str">
        <f t="shared" si="16"/>
        <v/>
      </c>
      <c r="M362" s="48" t="e">
        <f>VLOOKUP(A362,RECEITAS!A:B,2,FALSE)</f>
        <v>#N/A</v>
      </c>
      <c r="N362" s="48" t="str">
        <f t="shared" si="17"/>
        <v/>
      </c>
    </row>
    <row r="363" spans="11:14" x14ac:dyDescent="0.3">
      <c r="K363" s="48">
        <f t="shared" si="15"/>
        <v>0</v>
      </c>
      <c r="L363" s="48" t="str">
        <f t="shared" si="16"/>
        <v/>
      </c>
      <c r="M363" s="48" t="e">
        <f>VLOOKUP(A363,RECEITAS!A:B,2,FALSE)</f>
        <v>#N/A</v>
      </c>
      <c r="N363" s="48" t="str">
        <f t="shared" si="17"/>
        <v/>
      </c>
    </row>
    <row r="364" spans="11:14" x14ac:dyDescent="0.3">
      <c r="K364" s="48">
        <f t="shared" si="15"/>
        <v>0</v>
      </c>
      <c r="L364" s="48" t="str">
        <f t="shared" si="16"/>
        <v/>
      </c>
      <c r="M364" s="48" t="e">
        <f>VLOOKUP(A364,RECEITAS!A:B,2,FALSE)</f>
        <v>#N/A</v>
      </c>
      <c r="N364" s="48" t="str">
        <f t="shared" si="17"/>
        <v/>
      </c>
    </row>
    <row r="365" spans="11:14" x14ac:dyDescent="0.3">
      <c r="K365" s="48">
        <f t="shared" si="15"/>
        <v>0</v>
      </c>
      <c r="L365" s="48" t="str">
        <f t="shared" si="16"/>
        <v/>
      </c>
      <c r="M365" s="48" t="e">
        <f>VLOOKUP(A365,RECEITAS!A:B,2,FALSE)</f>
        <v>#N/A</v>
      </c>
      <c r="N365" s="48" t="str">
        <f t="shared" si="17"/>
        <v/>
      </c>
    </row>
    <row r="366" spans="11:14" x14ac:dyDescent="0.3">
      <c r="K366" s="48">
        <f t="shared" si="15"/>
        <v>0</v>
      </c>
      <c r="L366" s="48" t="str">
        <f t="shared" si="16"/>
        <v/>
      </c>
      <c r="M366" s="48" t="e">
        <f>VLOOKUP(A366,RECEITAS!A:B,2,FALSE)</f>
        <v>#N/A</v>
      </c>
      <c r="N366" s="48" t="str">
        <f t="shared" si="17"/>
        <v/>
      </c>
    </row>
    <row r="367" spans="11:14" x14ac:dyDescent="0.3">
      <c r="K367" s="48">
        <f t="shared" si="15"/>
        <v>0</v>
      </c>
      <c r="L367" s="48" t="str">
        <f t="shared" si="16"/>
        <v/>
      </c>
      <c r="M367" s="48" t="e">
        <f>VLOOKUP(A367,RECEITAS!A:B,2,FALSE)</f>
        <v>#N/A</v>
      </c>
      <c r="N367" s="48" t="str">
        <f t="shared" si="17"/>
        <v/>
      </c>
    </row>
    <row r="368" spans="11:14" x14ac:dyDescent="0.3">
      <c r="K368" s="48">
        <f t="shared" si="15"/>
        <v>0</v>
      </c>
      <c r="L368" s="48" t="str">
        <f t="shared" si="16"/>
        <v/>
      </c>
      <c r="M368" s="48" t="e">
        <f>VLOOKUP(A368,RECEITAS!A:B,2,FALSE)</f>
        <v>#N/A</v>
      </c>
      <c r="N368" s="48" t="str">
        <f t="shared" si="17"/>
        <v/>
      </c>
    </row>
    <row r="369" spans="11:14" x14ac:dyDescent="0.3">
      <c r="K369" s="48">
        <f t="shared" si="15"/>
        <v>0</v>
      </c>
      <c r="L369" s="48" t="str">
        <f t="shared" si="16"/>
        <v/>
      </c>
      <c r="M369" s="48" t="e">
        <f>VLOOKUP(A369,RECEITAS!A:B,2,FALSE)</f>
        <v>#N/A</v>
      </c>
      <c r="N369" s="48" t="str">
        <f t="shared" si="17"/>
        <v/>
      </c>
    </row>
    <row r="370" spans="11:14" x14ac:dyDescent="0.3">
      <c r="K370" s="48">
        <f t="shared" si="15"/>
        <v>0</v>
      </c>
      <c r="L370" s="48" t="str">
        <f t="shared" si="16"/>
        <v/>
      </c>
      <c r="M370" s="48" t="e">
        <f>VLOOKUP(A370,RECEITAS!A:B,2,FALSE)</f>
        <v>#N/A</v>
      </c>
      <c r="N370" s="48" t="str">
        <f t="shared" si="17"/>
        <v/>
      </c>
    </row>
    <row r="371" spans="11:14" x14ac:dyDescent="0.3">
      <c r="K371" s="48">
        <f t="shared" si="15"/>
        <v>0</v>
      </c>
      <c r="L371" s="48" t="str">
        <f t="shared" si="16"/>
        <v/>
      </c>
      <c r="M371" s="48" t="e">
        <f>VLOOKUP(A371,RECEITAS!A:B,2,FALSE)</f>
        <v>#N/A</v>
      </c>
      <c r="N371" s="48" t="str">
        <f t="shared" si="17"/>
        <v/>
      </c>
    </row>
    <row r="372" spans="11:14" x14ac:dyDescent="0.3">
      <c r="K372" s="48">
        <f t="shared" si="15"/>
        <v>0</v>
      </c>
      <c r="L372" s="48" t="str">
        <f t="shared" si="16"/>
        <v/>
      </c>
      <c r="M372" s="48" t="e">
        <f>VLOOKUP(A372,RECEITAS!A:B,2,FALSE)</f>
        <v>#N/A</v>
      </c>
      <c r="N372" s="48" t="str">
        <f t="shared" si="17"/>
        <v/>
      </c>
    </row>
    <row r="373" spans="11:14" x14ac:dyDescent="0.3">
      <c r="K373" s="48">
        <f t="shared" si="15"/>
        <v>0</v>
      </c>
      <c r="L373" s="48" t="str">
        <f t="shared" si="16"/>
        <v/>
      </c>
      <c r="M373" s="48" t="e">
        <f>VLOOKUP(A373,RECEITAS!A:B,2,FALSE)</f>
        <v>#N/A</v>
      </c>
      <c r="N373" s="48" t="str">
        <f t="shared" si="17"/>
        <v/>
      </c>
    </row>
    <row r="374" spans="11:14" x14ac:dyDescent="0.3">
      <c r="K374" s="48">
        <f t="shared" si="15"/>
        <v>0</v>
      </c>
      <c r="L374" s="48" t="str">
        <f t="shared" si="16"/>
        <v/>
      </c>
      <c r="M374" s="48" t="e">
        <f>VLOOKUP(A374,RECEITAS!A:B,2,FALSE)</f>
        <v>#N/A</v>
      </c>
      <c r="N374" s="48" t="str">
        <f t="shared" si="17"/>
        <v/>
      </c>
    </row>
    <row r="375" spans="11:14" x14ac:dyDescent="0.3">
      <c r="K375" s="48">
        <f t="shared" si="15"/>
        <v>0</v>
      </c>
      <c r="L375" s="48" t="str">
        <f t="shared" si="16"/>
        <v/>
      </c>
      <c r="M375" s="48" t="e">
        <f>VLOOKUP(A375,RECEITAS!A:B,2,FALSE)</f>
        <v>#N/A</v>
      </c>
      <c r="N375" s="48" t="str">
        <f t="shared" si="17"/>
        <v/>
      </c>
    </row>
    <row r="376" spans="11:14" x14ac:dyDescent="0.3">
      <c r="K376" s="48">
        <f t="shared" si="15"/>
        <v>0</v>
      </c>
      <c r="L376" s="48" t="str">
        <f t="shared" si="16"/>
        <v/>
      </c>
      <c r="M376" s="48" t="e">
        <f>VLOOKUP(A376,RECEITAS!A:B,2,FALSE)</f>
        <v>#N/A</v>
      </c>
      <c r="N376" s="48" t="str">
        <f t="shared" si="17"/>
        <v/>
      </c>
    </row>
    <row r="377" spans="11:14" x14ac:dyDescent="0.3">
      <c r="K377" s="48">
        <f t="shared" si="15"/>
        <v>0</v>
      </c>
      <c r="L377" s="48" t="str">
        <f t="shared" si="16"/>
        <v/>
      </c>
      <c r="M377" s="48" t="e">
        <f>VLOOKUP(A377,RECEITAS!A:B,2,FALSE)</f>
        <v>#N/A</v>
      </c>
      <c r="N377" s="48" t="str">
        <f t="shared" si="17"/>
        <v/>
      </c>
    </row>
    <row r="378" spans="11:14" x14ac:dyDescent="0.3">
      <c r="K378" s="48">
        <f t="shared" si="15"/>
        <v>0</v>
      </c>
      <c r="L378" s="48" t="str">
        <f t="shared" si="16"/>
        <v/>
      </c>
      <c r="M378" s="48" t="e">
        <f>VLOOKUP(A378,RECEITAS!A:B,2,FALSE)</f>
        <v>#N/A</v>
      </c>
      <c r="N378" s="48" t="str">
        <f t="shared" si="17"/>
        <v/>
      </c>
    </row>
    <row r="379" spans="11:14" x14ac:dyDescent="0.3">
      <c r="K379" s="48">
        <f t="shared" si="15"/>
        <v>0</v>
      </c>
      <c r="L379" s="48" t="str">
        <f t="shared" si="16"/>
        <v/>
      </c>
      <c r="M379" s="48" t="e">
        <f>VLOOKUP(A379,RECEITAS!A:B,2,FALSE)</f>
        <v>#N/A</v>
      </c>
      <c r="N379" s="48" t="str">
        <f t="shared" si="17"/>
        <v/>
      </c>
    </row>
    <row r="380" spans="11:14" x14ac:dyDescent="0.3">
      <c r="K380" s="48">
        <f t="shared" si="15"/>
        <v>0</v>
      </c>
      <c r="L380" s="48" t="str">
        <f t="shared" si="16"/>
        <v/>
      </c>
      <c r="M380" s="48" t="e">
        <f>VLOOKUP(A380,RECEITAS!A:B,2,FALSE)</f>
        <v>#N/A</v>
      </c>
      <c r="N380" s="48" t="str">
        <f t="shared" si="17"/>
        <v/>
      </c>
    </row>
    <row r="381" spans="11:14" x14ac:dyDescent="0.3">
      <c r="K381" s="48">
        <f t="shared" si="15"/>
        <v>0</v>
      </c>
      <c r="L381" s="48" t="str">
        <f t="shared" si="16"/>
        <v/>
      </c>
      <c r="M381" s="48" t="e">
        <f>VLOOKUP(A381,RECEITAS!A:B,2,FALSE)</f>
        <v>#N/A</v>
      </c>
      <c r="N381" s="48" t="str">
        <f t="shared" si="17"/>
        <v/>
      </c>
    </row>
    <row r="382" spans="11:14" x14ac:dyDescent="0.3">
      <c r="K382" s="48">
        <f t="shared" si="15"/>
        <v>0</v>
      </c>
      <c r="L382" s="48" t="str">
        <f t="shared" si="16"/>
        <v/>
      </c>
      <c r="M382" s="48" t="e">
        <f>VLOOKUP(A382,RECEITAS!A:B,2,FALSE)</f>
        <v>#N/A</v>
      </c>
      <c r="N382" s="48" t="str">
        <f t="shared" si="17"/>
        <v/>
      </c>
    </row>
    <row r="383" spans="11:14" x14ac:dyDescent="0.3">
      <c r="K383" s="48">
        <f t="shared" si="15"/>
        <v>0</v>
      </c>
      <c r="L383" s="48" t="str">
        <f t="shared" si="16"/>
        <v/>
      </c>
      <c r="M383" s="48" t="e">
        <f>VLOOKUP(A383,RECEITAS!A:B,2,FALSE)</f>
        <v>#N/A</v>
      </c>
      <c r="N383" s="48" t="str">
        <f t="shared" si="17"/>
        <v/>
      </c>
    </row>
    <row r="384" spans="11:14" x14ac:dyDescent="0.3">
      <c r="K384" s="48">
        <f t="shared" si="15"/>
        <v>0</v>
      </c>
      <c r="L384" s="48" t="str">
        <f t="shared" si="16"/>
        <v/>
      </c>
      <c r="M384" s="48" t="e">
        <f>VLOOKUP(A384,RECEITAS!A:B,2,FALSE)</f>
        <v>#N/A</v>
      </c>
      <c r="N384" s="48" t="str">
        <f t="shared" si="17"/>
        <v/>
      </c>
    </row>
    <row r="385" spans="11:14" x14ac:dyDescent="0.3">
      <c r="K385" s="48">
        <f t="shared" si="15"/>
        <v>0</v>
      </c>
      <c r="L385" s="48" t="str">
        <f t="shared" si="16"/>
        <v/>
      </c>
      <c r="M385" s="48" t="e">
        <f>VLOOKUP(A385,RECEITAS!A:B,2,FALSE)</f>
        <v>#N/A</v>
      </c>
      <c r="N385" s="48" t="str">
        <f t="shared" si="17"/>
        <v/>
      </c>
    </row>
    <row r="386" spans="11:14" x14ac:dyDescent="0.3">
      <c r="K386" s="48">
        <f t="shared" si="15"/>
        <v>0</v>
      </c>
      <c r="L386" s="48" t="str">
        <f t="shared" si="16"/>
        <v/>
      </c>
      <c r="M386" s="48" t="e">
        <f>VLOOKUP(A386,RECEITAS!A:B,2,FALSE)</f>
        <v>#N/A</v>
      </c>
      <c r="N386" s="48" t="str">
        <f t="shared" si="17"/>
        <v/>
      </c>
    </row>
    <row r="387" spans="11:14" x14ac:dyDescent="0.3">
      <c r="K387" s="48">
        <f t="shared" ref="K387:K450" si="18">G387*D387*C387</f>
        <v>0</v>
      </c>
      <c r="L387" s="48" t="str">
        <f t="shared" ref="L387:L450" si="19">IF(F387=0,"",TEXT(F387,"DDD"))</f>
        <v/>
      </c>
      <c r="M387" s="48" t="e">
        <f>VLOOKUP(A387,RECEITAS!A:B,2,FALSE)</f>
        <v>#N/A</v>
      </c>
      <c r="N387" s="48" t="str">
        <f t="shared" ref="N387:N450" si="20">IF(J387=0,"",TEXT(J387,"ddd"))</f>
        <v/>
      </c>
    </row>
    <row r="388" spans="11:14" x14ac:dyDescent="0.3">
      <c r="K388" s="48">
        <f t="shared" si="18"/>
        <v>0</v>
      </c>
      <c r="L388" s="48" t="str">
        <f t="shared" si="19"/>
        <v/>
      </c>
      <c r="M388" s="48" t="e">
        <f>VLOOKUP(A388,RECEITAS!A:B,2,FALSE)</f>
        <v>#N/A</v>
      </c>
      <c r="N388" s="48" t="str">
        <f t="shared" si="20"/>
        <v/>
      </c>
    </row>
    <row r="389" spans="11:14" x14ac:dyDescent="0.3">
      <c r="K389" s="48">
        <f t="shared" si="18"/>
        <v>0</v>
      </c>
      <c r="L389" s="48" t="str">
        <f t="shared" si="19"/>
        <v/>
      </c>
      <c r="M389" s="48" t="e">
        <f>VLOOKUP(A389,RECEITAS!A:B,2,FALSE)</f>
        <v>#N/A</v>
      </c>
      <c r="N389" s="48" t="str">
        <f t="shared" si="20"/>
        <v/>
      </c>
    </row>
    <row r="390" spans="11:14" x14ac:dyDescent="0.3">
      <c r="K390" s="48">
        <f t="shared" si="18"/>
        <v>0</v>
      </c>
      <c r="L390" s="48" t="str">
        <f t="shared" si="19"/>
        <v/>
      </c>
      <c r="M390" s="48" t="e">
        <f>VLOOKUP(A390,RECEITAS!A:B,2,FALSE)</f>
        <v>#N/A</v>
      </c>
      <c r="N390" s="48" t="str">
        <f t="shared" si="20"/>
        <v/>
      </c>
    </row>
    <row r="391" spans="11:14" x14ac:dyDescent="0.3">
      <c r="K391" s="48">
        <f t="shared" si="18"/>
        <v>0</v>
      </c>
      <c r="L391" s="48" t="str">
        <f t="shared" si="19"/>
        <v/>
      </c>
      <c r="M391" s="48" t="e">
        <f>VLOOKUP(A391,RECEITAS!A:B,2,FALSE)</f>
        <v>#N/A</v>
      </c>
      <c r="N391" s="48" t="str">
        <f t="shared" si="20"/>
        <v/>
      </c>
    </row>
    <row r="392" spans="11:14" x14ac:dyDescent="0.3">
      <c r="K392" s="48">
        <f t="shared" si="18"/>
        <v>0</v>
      </c>
      <c r="L392" s="48" t="str">
        <f t="shared" si="19"/>
        <v/>
      </c>
      <c r="M392" s="48" t="e">
        <f>VLOOKUP(A392,RECEITAS!A:B,2,FALSE)</f>
        <v>#N/A</v>
      </c>
      <c r="N392" s="48" t="str">
        <f t="shared" si="20"/>
        <v/>
      </c>
    </row>
    <row r="393" spans="11:14" x14ac:dyDescent="0.3">
      <c r="K393" s="48">
        <f t="shared" si="18"/>
        <v>0</v>
      </c>
      <c r="L393" s="48" t="str">
        <f t="shared" si="19"/>
        <v/>
      </c>
      <c r="M393" s="48" t="e">
        <f>VLOOKUP(A393,RECEITAS!A:B,2,FALSE)</f>
        <v>#N/A</v>
      </c>
      <c r="N393" s="48" t="str">
        <f t="shared" si="20"/>
        <v/>
      </c>
    </row>
    <row r="394" spans="11:14" x14ac:dyDescent="0.3">
      <c r="K394" s="48">
        <f t="shared" si="18"/>
        <v>0</v>
      </c>
      <c r="L394" s="48" t="str">
        <f t="shared" si="19"/>
        <v/>
      </c>
      <c r="M394" s="48" t="e">
        <f>VLOOKUP(A394,RECEITAS!A:B,2,FALSE)</f>
        <v>#N/A</v>
      </c>
      <c r="N394" s="48" t="str">
        <f t="shared" si="20"/>
        <v/>
      </c>
    </row>
    <row r="395" spans="11:14" x14ac:dyDescent="0.3">
      <c r="K395" s="48">
        <f t="shared" si="18"/>
        <v>0</v>
      </c>
      <c r="L395" s="48" t="str">
        <f t="shared" si="19"/>
        <v/>
      </c>
      <c r="M395" s="48" t="e">
        <f>VLOOKUP(A395,RECEITAS!A:B,2,FALSE)</f>
        <v>#N/A</v>
      </c>
      <c r="N395" s="48" t="str">
        <f t="shared" si="20"/>
        <v/>
      </c>
    </row>
    <row r="396" spans="11:14" x14ac:dyDescent="0.3">
      <c r="K396" s="48">
        <f t="shared" si="18"/>
        <v>0</v>
      </c>
      <c r="L396" s="48" t="str">
        <f t="shared" si="19"/>
        <v/>
      </c>
      <c r="M396" s="48" t="e">
        <f>VLOOKUP(A396,RECEITAS!A:B,2,FALSE)</f>
        <v>#N/A</v>
      </c>
      <c r="N396" s="48" t="str">
        <f t="shared" si="20"/>
        <v/>
      </c>
    </row>
    <row r="397" spans="11:14" x14ac:dyDescent="0.3">
      <c r="K397" s="48">
        <f t="shared" si="18"/>
        <v>0</v>
      </c>
      <c r="L397" s="48" t="str">
        <f t="shared" si="19"/>
        <v/>
      </c>
      <c r="M397" s="48" t="e">
        <f>VLOOKUP(A397,RECEITAS!A:B,2,FALSE)</f>
        <v>#N/A</v>
      </c>
      <c r="N397" s="48" t="str">
        <f t="shared" si="20"/>
        <v/>
      </c>
    </row>
    <row r="398" spans="11:14" x14ac:dyDescent="0.3">
      <c r="K398" s="48">
        <f t="shared" si="18"/>
        <v>0</v>
      </c>
      <c r="L398" s="48" t="str">
        <f t="shared" si="19"/>
        <v/>
      </c>
      <c r="M398" s="48" t="e">
        <f>VLOOKUP(A398,RECEITAS!A:B,2,FALSE)</f>
        <v>#N/A</v>
      </c>
      <c r="N398" s="48" t="str">
        <f t="shared" si="20"/>
        <v/>
      </c>
    </row>
    <row r="399" spans="11:14" x14ac:dyDescent="0.3">
      <c r="K399" s="48">
        <f t="shared" si="18"/>
        <v>0</v>
      </c>
      <c r="L399" s="48" t="str">
        <f t="shared" si="19"/>
        <v/>
      </c>
      <c r="M399" s="48" t="e">
        <f>VLOOKUP(A399,RECEITAS!A:B,2,FALSE)</f>
        <v>#N/A</v>
      </c>
      <c r="N399" s="48" t="str">
        <f t="shared" si="20"/>
        <v/>
      </c>
    </row>
    <row r="400" spans="11:14" x14ac:dyDescent="0.3">
      <c r="K400" s="48">
        <f t="shared" si="18"/>
        <v>0</v>
      </c>
      <c r="L400" s="48" t="str">
        <f t="shared" si="19"/>
        <v/>
      </c>
      <c r="M400" s="48" t="e">
        <f>VLOOKUP(A400,RECEITAS!A:B,2,FALSE)</f>
        <v>#N/A</v>
      </c>
      <c r="N400" s="48" t="str">
        <f t="shared" si="20"/>
        <v/>
      </c>
    </row>
    <row r="401" spans="11:14" x14ac:dyDescent="0.3">
      <c r="K401" s="48">
        <f t="shared" si="18"/>
        <v>0</v>
      </c>
      <c r="L401" s="48" t="str">
        <f t="shared" si="19"/>
        <v/>
      </c>
      <c r="M401" s="48" t="e">
        <f>VLOOKUP(A401,RECEITAS!A:B,2,FALSE)</f>
        <v>#N/A</v>
      </c>
      <c r="N401" s="48" t="str">
        <f t="shared" si="20"/>
        <v/>
      </c>
    </row>
    <row r="402" spans="11:14" x14ac:dyDescent="0.3">
      <c r="K402" s="48">
        <f t="shared" si="18"/>
        <v>0</v>
      </c>
      <c r="L402" s="48" t="str">
        <f t="shared" si="19"/>
        <v/>
      </c>
      <c r="M402" s="48" t="e">
        <f>VLOOKUP(A402,RECEITAS!A:B,2,FALSE)</f>
        <v>#N/A</v>
      </c>
      <c r="N402" s="48" t="str">
        <f t="shared" si="20"/>
        <v/>
      </c>
    </row>
    <row r="403" spans="11:14" x14ac:dyDescent="0.3">
      <c r="K403" s="48">
        <f t="shared" si="18"/>
        <v>0</v>
      </c>
      <c r="L403" s="48" t="str">
        <f t="shared" si="19"/>
        <v/>
      </c>
      <c r="M403" s="48" t="e">
        <f>VLOOKUP(A403,RECEITAS!A:B,2,FALSE)</f>
        <v>#N/A</v>
      </c>
      <c r="N403" s="48" t="str">
        <f t="shared" si="20"/>
        <v/>
      </c>
    </row>
    <row r="404" spans="11:14" x14ac:dyDescent="0.3">
      <c r="K404" s="48">
        <f t="shared" si="18"/>
        <v>0</v>
      </c>
      <c r="L404" s="48" t="str">
        <f t="shared" si="19"/>
        <v/>
      </c>
      <c r="M404" s="48" t="e">
        <f>VLOOKUP(A404,RECEITAS!A:B,2,FALSE)</f>
        <v>#N/A</v>
      </c>
      <c r="N404" s="48" t="str">
        <f t="shared" si="20"/>
        <v/>
      </c>
    </row>
    <row r="405" spans="11:14" x14ac:dyDescent="0.3">
      <c r="K405" s="48">
        <f t="shared" si="18"/>
        <v>0</v>
      </c>
      <c r="L405" s="48" t="str">
        <f t="shared" si="19"/>
        <v/>
      </c>
      <c r="M405" s="48" t="e">
        <f>VLOOKUP(A405,RECEITAS!A:B,2,FALSE)</f>
        <v>#N/A</v>
      </c>
      <c r="N405" s="48" t="str">
        <f t="shared" si="20"/>
        <v/>
      </c>
    </row>
    <row r="406" spans="11:14" x14ac:dyDescent="0.3">
      <c r="K406" s="48">
        <f t="shared" si="18"/>
        <v>0</v>
      </c>
      <c r="L406" s="48" t="str">
        <f t="shared" si="19"/>
        <v/>
      </c>
      <c r="M406" s="48" t="e">
        <f>VLOOKUP(A406,RECEITAS!A:B,2,FALSE)</f>
        <v>#N/A</v>
      </c>
      <c r="N406" s="48" t="str">
        <f t="shared" si="20"/>
        <v/>
      </c>
    </row>
    <row r="407" spans="11:14" x14ac:dyDescent="0.3">
      <c r="K407" s="48">
        <f t="shared" si="18"/>
        <v>0</v>
      </c>
      <c r="L407" s="48" t="str">
        <f t="shared" si="19"/>
        <v/>
      </c>
      <c r="M407" s="48" t="e">
        <f>VLOOKUP(A407,RECEITAS!A:B,2,FALSE)</f>
        <v>#N/A</v>
      </c>
      <c r="N407" s="48" t="str">
        <f t="shared" si="20"/>
        <v/>
      </c>
    </row>
    <row r="408" spans="11:14" x14ac:dyDescent="0.3">
      <c r="K408" s="48">
        <f t="shared" si="18"/>
        <v>0</v>
      </c>
      <c r="L408" s="48" t="str">
        <f t="shared" si="19"/>
        <v/>
      </c>
      <c r="M408" s="48" t="e">
        <f>VLOOKUP(A408,RECEITAS!A:B,2,FALSE)</f>
        <v>#N/A</v>
      </c>
      <c r="N408" s="48" t="str">
        <f t="shared" si="20"/>
        <v/>
      </c>
    </row>
    <row r="409" spans="11:14" x14ac:dyDescent="0.3">
      <c r="K409" s="48">
        <f t="shared" si="18"/>
        <v>0</v>
      </c>
      <c r="L409" s="48" t="str">
        <f t="shared" si="19"/>
        <v/>
      </c>
      <c r="M409" s="48" t="e">
        <f>VLOOKUP(A409,RECEITAS!A:B,2,FALSE)</f>
        <v>#N/A</v>
      </c>
      <c r="N409" s="48" t="str">
        <f t="shared" si="20"/>
        <v/>
      </c>
    </row>
    <row r="410" spans="11:14" x14ac:dyDescent="0.3">
      <c r="K410" s="48">
        <f t="shared" si="18"/>
        <v>0</v>
      </c>
      <c r="L410" s="48" t="str">
        <f t="shared" si="19"/>
        <v/>
      </c>
      <c r="M410" s="48" t="e">
        <f>VLOOKUP(A410,RECEITAS!A:B,2,FALSE)</f>
        <v>#N/A</v>
      </c>
      <c r="N410" s="48" t="str">
        <f t="shared" si="20"/>
        <v/>
      </c>
    </row>
    <row r="411" spans="11:14" x14ac:dyDescent="0.3">
      <c r="K411" s="48">
        <f t="shared" si="18"/>
        <v>0</v>
      </c>
      <c r="L411" s="48" t="str">
        <f t="shared" si="19"/>
        <v/>
      </c>
      <c r="M411" s="48" t="e">
        <f>VLOOKUP(A411,RECEITAS!A:B,2,FALSE)</f>
        <v>#N/A</v>
      </c>
      <c r="N411" s="48" t="str">
        <f t="shared" si="20"/>
        <v/>
      </c>
    </row>
    <row r="412" spans="11:14" x14ac:dyDescent="0.3">
      <c r="K412" s="48">
        <f t="shared" si="18"/>
        <v>0</v>
      </c>
      <c r="L412" s="48" t="str">
        <f t="shared" si="19"/>
        <v/>
      </c>
      <c r="M412" s="48" t="e">
        <f>VLOOKUP(A412,RECEITAS!A:B,2,FALSE)</f>
        <v>#N/A</v>
      </c>
      <c r="N412" s="48" t="str">
        <f t="shared" si="20"/>
        <v/>
      </c>
    </row>
    <row r="413" spans="11:14" x14ac:dyDescent="0.3">
      <c r="K413" s="48">
        <f t="shared" si="18"/>
        <v>0</v>
      </c>
      <c r="L413" s="48" t="str">
        <f t="shared" si="19"/>
        <v/>
      </c>
      <c r="M413" s="48" t="e">
        <f>VLOOKUP(A413,RECEITAS!A:B,2,FALSE)</f>
        <v>#N/A</v>
      </c>
      <c r="N413" s="48" t="str">
        <f t="shared" si="20"/>
        <v/>
      </c>
    </row>
    <row r="414" spans="11:14" x14ac:dyDescent="0.3">
      <c r="K414" s="48">
        <f t="shared" si="18"/>
        <v>0</v>
      </c>
      <c r="L414" s="48" t="str">
        <f t="shared" si="19"/>
        <v/>
      </c>
      <c r="M414" s="48" t="e">
        <f>VLOOKUP(A414,RECEITAS!A:B,2,FALSE)</f>
        <v>#N/A</v>
      </c>
      <c r="N414" s="48" t="str">
        <f t="shared" si="20"/>
        <v/>
      </c>
    </row>
    <row r="415" spans="11:14" x14ac:dyDescent="0.3">
      <c r="K415" s="48">
        <f t="shared" si="18"/>
        <v>0</v>
      </c>
      <c r="L415" s="48" t="str">
        <f t="shared" si="19"/>
        <v/>
      </c>
      <c r="M415" s="48" t="e">
        <f>VLOOKUP(A415,RECEITAS!A:B,2,FALSE)</f>
        <v>#N/A</v>
      </c>
      <c r="N415" s="48" t="str">
        <f t="shared" si="20"/>
        <v/>
      </c>
    </row>
    <row r="416" spans="11:14" x14ac:dyDescent="0.3">
      <c r="K416" s="48">
        <f t="shared" si="18"/>
        <v>0</v>
      </c>
      <c r="L416" s="48" t="str">
        <f t="shared" si="19"/>
        <v/>
      </c>
      <c r="M416" s="48" t="e">
        <f>VLOOKUP(A416,RECEITAS!A:B,2,FALSE)</f>
        <v>#N/A</v>
      </c>
      <c r="N416" s="48" t="str">
        <f t="shared" si="20"/>
        <v/>
      </c>
    </row>
    <row r="417" spans="11:14" x14ac:dyDescent="0.3">
      <c r="K417" s="48">
        <f t="shared" si="18"/>
        <v>0</v>
      </c>
      <c r="L417" s="48" t="str">
        <f t="shared" si="19"/>
        <v/>
      </c>
      <c r="M417" s="48" t="e">
        <f>VLOOKUP(A417,RECEITAS!A:B,2,FALSE)</f>
        <v>#N/A</v>
      </c>
      <c r="N417" s="48" t="str">
        <f t="shared" si="20"/>
        <v/>
      </c>
    </row>
    <row r="418" spans="11:14" x14ac:dyDescent="0.3">
      <c r="K418" s="48">
        <f t="shared" si="18"/>
        <v>0</v>
      </c>
      <c r="L418" s="48" t="str">
        <f t="shared" si="19"/>
        <v/>
      </c>
      <c r="M418" s="48" t="e">
        <f>VLOOKUP(A418,RECEITAS!A:B,2,FALSE)</f>
        <v>#N/A</v>
      </c>
      <c r="N418" s="48" t="str">
        <f t="shared" si="20"/>
        <v/>
      </c>
    </row>
    <row r="419" spans="11:14" x14ac:dyDescent="0.3">
      <c r="K419" s="48">
        <f t="shared" si="18"/>
        <v>0</v>
      </c>
      <c r="L419" s="48" t="str">
        <f t="shared" si="19"/>
        <v/>
      </c>
      <c r="M419" s="48" t="e">
        <f>VLOOKUP(A419,RECEITAS!A:B,2,FALSE)</f>
        <v>#N/A</v>
      </c>
      <c r="N419" s="48" t="str">
        <f t="shared" si="20"/>
        <v/>
      </c>
    </row>
    <row r="420" spans="11:14" x14ac:dyDescent="0.3">
      <c r="K420" s="48">
        <f t="shared" si="18"/>
        <v>0</v>
      </c>
      <c r="L420" s="48" t="str">
        <f t="shared" si="19"/>
        <v/>
      </c>
      <c r="M420" s="48" t="e">
        <f>VLOOKUP(A420,RECEITAS!A:B,2,FALSE)</f>
        <v>#N/A</v>
      </c>
      <c r="N420" s="48" t="str">
        <f t="shared" si="20"/>
        <v/>
      </c>
    </row>
    <row r="421" spans="11:14" x14ac:dyDescent="0.3">
      <c r="K421" s="48">
        <f t="shared" si="18"/>
        <v>0</v>
      </c>
      <c r="L421" s="48" t="str">
        <f t="shared" si="19"/>
        <v/>
      </c>
      <c r="M421" s="48" t="e">
        <f>VLOOKUP(A421,RECEITAS!A:B,2,FALSE)</f>
        <v>#N/A</v>
      </c>
      <c r="N421" s="48" t="str">
        <f t="shared" si="20"/>
        <v/>
      </c>
    </row>
    <row r="422" spans="11:14" x14ac:dyDescent="0.3">
      <c r="K422" s="48">
        <f t="shared" si="18"/>
        <v>0</v>
      </c>
      <c r="L422" s="48" t="str">
        <f t="shared" si="19"/>
        <v/>
      </c>
      <c r="M422" s="48" t="e">
        <f>VLOOKUP(A422,RECEITAS!A:B,2,FALSE)</f>
        <v>#N/A</v>
      </c>
      <c r="N422" s="48" t="str">
        <f t="shared" si="20"/>
        <v/>
      </c>
    </row>
    <row r="423" spans="11:14" x14ac:dyDescent="0.3">
      <c r="K423" s="48">
        <f t="shared" si="18"/>
        <v>0</v>
      </c>
      <c r="L423" s="48" t="str">
        <f t="shared" si="19"/>
        <v/>
      </c>
      <c r="M423" s="48" t="e">
        <f>VLOOKUP(A423,RECEITAS!A:B,2,FALSE)</f>
        <v>#N/A</v>
      </c>
      <c r="N423" s="48" t="str">
        <f t="shared" si="20"/>
        <v/>
      </c>
    </row>
    <row r="424" spans="11:14" x14ac:dyDescent="0.3">
      <c r="K424" s="48">
        <f t="shared" si="18"/>
        <v>0</v>
      </c>
      <c r="L424" s="48" t="str">
        <f t="shared" si="19"/>
        <v/>
      </c>
      <c r="M424" s="48" t="e">
        <f>VLOOKUP(A424,RECEITAS!A:B,2,FALSE)</f>
        <v>#N/A</v>
      </c>
      <c r="N424" s="48" t="str">
        <f t="shared" si="20"/>
        <v/>
      </c>
    </row>
    <row r="425" spans="11:14" x14ac:dyDescent="0.3">
      <c r="K425" s="48">
        <f t="shared" si="18"/>
        <v>0</v>
      </c>
      <c r="L425" s="48" t="str">
        <f t="shared" si="19"/>
        <v/>
      </c>
      <c r="M425" s="48" t="e">
        <f>VLOOKUP(A425,RECEITAS!A:B,2,FALSE)</f>
        <v>#N/A</v>
      </c>
      <c r="N425" s="48" t="str">
        <f t="shared" si="20"/>
        <v/>
      </c>
    </row>
    <row r="426" spans="11:14" x14ac:dyDescent="0.3">
      <c r="K426" s="48">
        <f t="shared" si="18"/>
        <v>0</v>
      </c>
      <c r="L426" s="48" t="str">
        <f t="shared" si="19"/>
        <v/>
      </c>
      <c r="M426" s="48" t="e">
        <f>VLOOKUP(A426,RECEITAS!A:B,2,FALSE)</f>
        <v>#N/A</v>
      </c>
      <c r="N426" s="48" t="str">
        <f t="shared" si="20"/>
        <v/>
      </c>
    </row>
    <row r="427" spans="11:14" x14ac:dyDescent="0.3">
      <c r="K427" s="48">
        <f t="shared" si="18"/>
        <v>0</v>
      </c>
      <c r="L427" s="48" t="str">
        <f t="shared" si="19"/>
        <v/>
      </c>
      <c r="M427" s="48" t="e">
        <f>VLOOKUP(A427,RECEITAS!A:B,2,FALSE)</f>
        <v>#N/A</v>
      </c>
      <c r="N427" s="48" t="str">
        <f t="shared" si="20"/>
        <v/>
      </c>
    </row>
    <row r="428" spans="11:14" x14ac:dyDescent="0.3">
      <c r="K428" s="48">
        <f t="shared" si="18"/>
        <v>0</v>
      </c>
      <c r="L428" s="48" t="str">
        <f t="shared" si="19"/>
        <v/>
      </c>
      <c r="M428" s="48" t="e">
        <f>VLOOKUP(A428,RECEITAS!A:B,2,FALSE)</f>
        <v>#N/A</v>
      </c>
      <c r="N428" s="48" t="str">
        <f t="shared" si="20"/>
        <v/>
      </c>
    </row>
    <row r="429" spans="11:14" x14ac:dyDescent="0.3">
      <c r="K429" s="48">
        <f t="shared" si="18"/>
        <v>0</v>
      </c>
      <c r="L429" s="48" t="str">
        <f t="shared" si="19"/>
        <v/>
      </c>
      <c r="M429" s="48" t="e">
        <f>VLOOKUP(A429,RECEITAS!A:B,2,FALSE)</f>
        <v>#N/A</v>
      </c>
      <c r="N429" s="48" t="str">
        <f t="shared" si="20"/>
        <v/>
      </c>
    </row>
    <row r="430" spans="11:14" x14ac:dyDescent="0.3">
      <c r="K430" s="48">
        <f t="shared" si="18"/>
        <v>0</v>
      </c>
      <c r="L430" s="48" t="str">
        <f t="shared" si="19"/>
        <v/>
      </c>
      <c r="M430" s="48" t="e">
        <f>VLOOKUP(A430,RECEITAS!A:B,2,FALSE)</f>
        <v>#N/A</v>
      </c>
      <c r="N430" s="48" t="str">
        <f t="shared" si="20"/>
        <v/>
      </c>
    </row>
    <row r="431" spans="11:14" x14ac:dyDescent="0.3">
      <c r="K431" s="48">
        <f t="shared" si="18"/>
        <v>0</v>
      </c>
      <c r="L431" s="48" t="str">
        <f t="shared" si="19"/>
        <v/>
      </c>
      <c r="M431" s="48" t="e">
        <f>VLOOKUP(A431,RECEITAS!A:B,2,FALSE)</f>
        <v>#N/A</v>
      </c>
      <c r="N431" s="48" t="str">
        <f t="shared" si="20"/>
        <v/>
      </c>
    </row>
    <row r="432" spans="11:14" x14ac:dyDescent="0.3">
      <c r="K432" s="48">
        <f t="shared" si="18"/>
        <v>0</v>
      </c>
      <c r="L432" s="48" t="str">
        <f t="shared" si="19"/>
        <v/>
      </c>
      <c r="M432" s="48" t="e">
        <f>VLOOKUP(A432,RECEITAS!A:B,2,FALSE)</f>
        <v>#N/A</v>
      </c>
      <c r="N432" s="48" t="str">
        <f t="shared" si="20"/>
        <v/>
      </c>
    </row>
    <row r="433" spans="11:14" x14ac:dyDescent="0.3">
      <c r="K433" s="48">
        <f t="shared" si="18"/>
        <v>0</v>
      </c>
      <c r="L433" s="48" t="str">
        <f t="shared" si="19"/>
        <v/>
      </c>
      <c r="M433" s="48" t="e">
        <f>VLOOKUP(A433,RECEITAS!A:B,2,FALSE)</f>
        <v>#N/A</v>
      </c>
      <c r="N433" s="48" t="str">
        <f t="shared" si="20"/>
        <v/>
      </c>
    </row>
    <row r="434" spans="11:14" x14ac:dyDescent="0.3">
      <c r="K434" s="48">
        <f t="shared" si="18"/>
        <v>0</v>
      </c>
      <c r="L434" s="48" t="str">
        <f t="shared" si="19"/>
        <v/>
      </c>
      <c r="M434" s="48" t="e">
        <f>VLOOKUP(A434,RECEITAS!A:B,2,FALSE)</f>
        <v>#N/A</v>
      </c>
      <c r="N434" s="48" t="str">
        <f t="shared" si="20"/>
        <v/>
      </c>
    </row>
    <row r="435" spans="11:14" x14ac:dyDescent="0.3">
      <c r="K435" s="48">
        <f t="shared" si="18"/>
        <v>0</v>
      </c>
      <c r="L435" s="48" t="str">
        <f t="shared" si="19"/>
        <v/>
      </c>
      <c r="M435" s="48" t="e">
        <f>VLOOKUP(A435,RECEITAS!A:B,2,FALSE)</f>
        <v>#N/A</v>
      </c>
      <c r="N435" s="48" t="str">
        <f t="shared" si="20"/>
        <v/>
      </c>
    </row>
    <row r="436" spans="11:14" x14ac:dyDescent="0.3">
      <c r="K436" s="48">
        <f t="shared" si="18"/>
        <v>0</v>
      </c>
      <c r="L436" s="48" t="str">
        <f t="shared" si="19"/>
        <v/>
      </c>
      <c r="M436" s="48" t="e">
        <f>VLOOKUP(A436,RECEITAS!A:B,2,FALSE)</f>
        <v>#N/A</v>
      </c>
      <c r="N436" s="48" t="str">
        <f t="shared" si="20"/>
        <v/>
      </c>
    </row>
    <row r="437" spans="11:14" x14ac:dyDescent="0.3">
      <c r="K437" s="48">
        <f t="shared" si="18"/>
        <v>0</v>
      </c>
      <c r="L437" s="48" t="str">
        <f t="shared" si="19"/>
        <v/>
      </c>
      <c r="M437" s="48" t="e">
        <f>VLOOKUP(A437,RECEITAS!A:B,2,FALSE)</f>
        <v>#N/A</v>
      </c>
      <c r="N437" s="48" t="str">
        <f t="shared" si="20"/>
        <v/>
      </c>
    </row>
    <row r="438" spans="11:14" x14ac:dyDescent="0.3">
      <c r="K438" s="48">
        <f t="shared" si="18"/>
        <v>0</v>
      </c>
      <c r="L438" s="48" t="str">
        <f t="shared" si="19"/>
        <v/>
      </c>
      <c r="M438" s="48" t="e">
        <f>VLOOKUP(A438,RECEITAS!A:B,2,FALSE)</f>
        <v>#N/A</v>
      </c>
      <c r="N438" s="48" t="str">
        <f t="shared" si="20"/>
        <v/>
      </c>
    </row>
    <row r="439" spans="11:14" x14ac:dyDescent="0.3">
      <c r="K439" s="48">
        <f t="shared" si="18"/>
        <v>0</v>
      </c>
      <c r="L439" s="48" t="str">
        <f t="shared" si="19"/>
        <v/>
      </c>
      <c r="M439" s="48" t="e">
        <f>VLOOKUP(A439,RECEITAS!A:B,2,FALSE)</f>
        <v>#N/A</v>
      </c>
      <c r="N439" s="48" t="str">
        <f t="shared" si="20"/>
        <v/>
      </c>
    </row>
    <row r="440" spans="11:14" x14ac:dyDescent="0.3">
      <c r="K440" s="48">
        <f t="shared" si="18"/>
        <v>0</v>
      </c>
      <c r="L440" s="48" t="str">
        <f t="shared" si="19"/>
        <v/>
      </c>
      <c r="M440" s="48" t="e">
        <f>VLOOKUP(A440,RECEITAS!A:B,2,FALSE)</f>
        <v>#N/A</v>
      </c>
      <c r="N440" s="48" t="str">
        <f t="shared" si="20"/>
        <v/>
      </c>
    </row>
    <row r="441" spans="11:14" x14ac:dyDescent="0.3">
      <c r="K441" s="48">
        <f t="shared" si="18"/>
        <v>0</v>
      </c>
      <c r="L441" s="48" t="str">
        <f t="shared" si="19"/>
        <v/>
      </c>
      <c r="M441" s="48" t="e">
        <f>VLOOKUP(A441,RECEITAS!A:B,2,FALSE)</f>
        <v>#N/A</v>
      </c>
      <c r="N441" s="48" t="str">
        <f t="shared" si="20"/>
        <v/>
      </c>
    </row>
    <row r="442" spans="11:14" x14ac:dyDescent="0.3">
      <c r="K442" s="48">
        <f t="shared" si="18"/>
        <v>0</v>
      </c>
      <c r="L442" s="48" t="str">
        <f t="shared" si="19"/>
        <v/>
      </c>
      <c r="M442" s="48" t="e">
        <f>VLOOKUP(A442,RECEITAS!A:B,2,FALSE)</f>
        <v>#N/A</v>
      </c>
      <c r="N442" s="48" t="str">
        <f t="shared" si="20"/>
        <v/>
      </c>
    </row>
    <row r="443" spans="11:14" x14ac:dyDescent="0.3">
      <c r="K443" s="48">
        <f t="shared" si="18"/>
        <v>0</v>
      </c>
      <c r="L443" s="48" t="str">
        <f t="shared" si="19"/>
        <v/>
      </c>
      <c r="M443" s="48" t="e">
        <f>VLOOKUP(A443,RECEITAS!A:B,2,FALSE)</f>
        <v>#N/A</v>
      </c>
      <c r="N443" s="48" t="str">
        <f t="shared" si="20"/>
        <v/>
      </c>
    </row>
    <row r="444" spans="11:14" x14ac:dyDescent="0.3">
      <c r="K444" s="48">
        <f t="shared" si="18"/>
        <v>0</v>
      </c>
      <c r="L444" s="48" t="str">
        <f t="shared" si="19"/>
        <v/>
      </c>
      <c r="M444" s="48" t="e">
        <f>VLOOKUP(A444,RECEITAS!A:B,2,FALSE)</f>
        <v>#N/A</v>
      </c>
      <c r="N444" s="48" t="str">
        <f t="shared" si="20"/>
        <v/>
      </c>
    </row>
    <row r="445" spans="11:14" x14ac:dyDescent="0.3">
      <c r="K445" s="48">
        <f t="shared" si="18"/>
        <v>0</v>
      </c>
      <c r="L445" s="48" t="str">
        <f t="shared" si="19"/>
        <v/>
      </c>
      <c r="M445" s="48" t="e">
        <f>VLOOKUP(A445,RECEITAS!A:B,2,FALSE)</f>
        <v>#N/A</v>
      </c>
      <c r="N445" s="48" t="str">
        <f t="shared" si="20"/>
        <v/>
      </c>
    </row>
    <row r="446" spans="11:14" x14ac:dyDescent="0.3">
      <c r="K446" s="48">
        <f t="shared" si="18"/>
        <v>0</v>
      </c>
      <c r="L446" s="48" t="str">
        <f t="shared" si="19"/>
        <v/>
      </c>
      <c r="M446" s="48" t="e">
        <f>VLOOKUP(A446,RECEITAS!A:B,2,FALSE)</f>
        <v>#N/A</v>
      </c>
      <c r="N446" s="48" t="str">
        <f t="shared" si="20"/>
        <v/>
      </c>
    </row>
    <row r="447" spans="11:14" x14ac:dyDescent="0.3">
      <c r="K447" s="48">
        <f t="shared" si="18"/>
        <v>0</v>
      </c>
      <c r="L447" s="48" t="str">
        <f t="shared" si="19"/>
        <v/>
      </c>
      <c r="M447" s="48" t="e">
        <f>VLOOKUP(A447,RECEITAS!A:B,2,FALSE)</f>
        <v>#N/A</v>
      </c>
      <c r="N447" s="48" t="str">
        <f t="shared" si="20"/>
        <v/>
      </c>
    </row>
    <row r="448" spans="11:14" x14ac:dyDescent="0.3">
      <c r="K448" s="48">
        <f t="shared" si="18"/>
        <v>0</v>
      </c>
      <c r="L448" s="48" t="str">
        <f t="shared" si="19"/>
        <v/>
      </c>
      <c r="M448" s="48" t="e">
        <f>VLOOKUP(A448,RECEITAS!A:B,2,FALSE)</f>
        <v>#N/A</v>
      </c>
      <c r="N448" s="48" t="str">
        <f t="shared" si="20"/>
        <v/>
      </c>
    </row>
    <row r="449" spans="11:14" x14ac:dyDescent="0.3">
      <c r="K449" s="48">
        <f t="shared" si="18"/>
        <v>0</v>
      </c>
      <c r="L449" s="48" t="str">
        <f t="shared" si="19"/>
        <v/>
      </c>
      <c r="M449" s="48" t="e">
        <f>VLOOKUP(A449,RECEITAS!A:B,2,FALSE)</f>
        <v>#N/A</v>
      </c>
      <c r="N449" s="48" t="str">
        <f t="shared" si="20"/>
        <v/>
      </c>
    </row>
    <row r="450" spans="11:14" x14ac:dyDescent="0.3">
      <c r="K450" s="48">
        <f t="shared" si="18"/>
        <v>0</v>
      </c>
      <c r="L450" s="48" t="str">
        <f t="shared" si="19"/>
        <v/>
      </c>
      <c r="M450" s="48" t="e">
        <f>VLOOKUP(A450,RECEITAS!A:B,2,FALSE)</f>
        <v>#N/A</v>
      </c>
      <c r="N450" s="48" t="str">
        <f t="shared" si="20"/>
        <v/>
      </c>
    </row>
    <row r="451" spans="11:14" x14ac:dyDescent="0.3">
      <c r="K451" s="48">
        <f t="shared" ref="K451:K473" si="21">G451*D451*C451</f>
        <v>0</v>
      </c>
      <c r="L451" s="48" t="str">
        <f t="shared" ref="L451:L473" si="22">IF(F451=0,"",TEXT(F451,"DDD"))</f>
        <v/>
      </c>
      <c r="M451" s="48" t="e">
        <f>VLOOKUP(A451,RECEITAS!A:B,2,FALSE)</f>
        <v>#N/A</v>
      </c>
      <c r="N451" s="48" t="str">
        <f t="shared" ref="N451:N473" si="23">IF(J451=0,"",TEXT(J451,"ddd"))</f>
        <v/>
      </c>
    </row>
    <row r="452" spans="11:14" x14ac:dyDescent="0.3">
      <c r="K452" s="48">
        <f t="shared" si="21"/>
        <v>0</v>
      </c>
      <c r="L452" s="48" t="str">
        <f t="shared" si="22"/>
        <v/>
      </c>
      <c r="M452" s="48" t="e">
        <f>VLOOKUP(A452,RECEITAS!A:B,2,FALSE)</f>
        <v>#N/A</v>
      </c>
      <c r="N452" s="48" t="str">
        <f t="shared" si="23"/>
        <v/>
      </c>
    </row>
    <row r="453" spans="11:14" x14ac:dyDescent="0.3">
      <c r="K453" s="48">
        <f t="shared" si="21"/>
        <v>0</v>
      </c>
      <c r="L453" s="48" t="str">
        <f t="shared" si="22"/>
        <v/>
      </c>
      <c r="M453" s="48" t="e">
        <f>VLOOKUP(A453,RECEITAS!A:B,2,FALSE)</f>
        <v>#N/A</v>
      </c>
      <c r="N453" s="48" t="str">
        <f t="shared" si="23"/>
        <v/>
      </c>
    </row>
    <row r="454" spans="11:14" x14ac:dyDescent="0.3">
      <c r="K454" s="48">
        <f t="shared" si="21"/>
        <v>0</v>
      </c>
      <c r="L454" s="48" t="str">
        <f t="shared" si="22"/>
        <v/>
      </c>
      <c r="M454" s="48" t="e">
        <f>VLOOKUP(A454,RECEITAS!A:B,2,FALSE)</f>
        <v>#N/A</v>
      </c>
      <c r="N454" s="48" t="str">
        <f t="shared" si="23"/>
        <v/>
      </c>
    </row>
    <row r="455" spans="11:14" x14ac:dyDescent="0.3">
      <c r="K455" s="48">
        <f t="shared" si="21"/>
        <v>0</v>
      </c>
      <c r="L455" s="48" t="str">
        <f t="shared" si="22"/>
        <v/>
      </c>
      <c r="M455" s="48" t="e">
        <f>VLOOKUP(A455,RECEITAS!A:B,2,FALSE)</f>
        <v>#N/A</v>
      </c>
      <c r="N455" s="48" t="str">
        <f t="shared" si="23"/>
        <v/>
      </c>
    </row>
    <row r="456" spans="11:14" x14ac:dyDescent="0.3">
      <c r="K456" s="48">
        <f t="shared" si="21"/>
        <v>0</v>
      </c>
      <c r="L456" s="48" t="str">
        <f t="shared" si="22"/>
        <v/>
      </c>
      <c r="M456" s="48" t="e">
        <f>VLOOKUP(A456,RECEITAS!A:B,2,FALSE)</f>
        <v>#N/A</v>
      </c>
      <c r="N456" s="48" t="str">
        <f t="shared" si="23"/>
        <v/>
      </c>
    </row>
    <row r="457" spans="11:14" x14ac:dyDescent="0.3">
      <c r="K457" s="48">
        <f t="shared" si="21"/>
        <v>0</v>
      </c>
      <c r="L457" s="48" t="str">
        <f t="shared" si="22"/>
        <v/>
      </c>
      <c r="M457" s="48" t="e">
        <f>VLOOKUP(A457,RECEITAS!A:B,2,FALSE)</f>
        <v>#N/A</v>
      </c>
      <c r="N457" s="48" t="str">
        <f t="shared" si="23"/>
        <v/>
      </c>
    </row>
    <row r="458" spans="11:14" x14ac:dyDescent="0.3">
      <c r="K458" s="48">
        <f t="shared" si="21"/>
        <v>0</v>
      </c>
      <c r="L458" s="48" t="str">
        <f t="shared" si="22"/>
        <v/>
      </c>
      <c r="M458" s="48" t="e">
        <f>VLOOKUP(A458,RECEITAS!A:B,2,FALSE)</f>
        <v>#N/A</v>
      </c>
      <c r="N458" s="48" t="str">
        <f t="shared" si="23"/>
        <v/>
      </c>
    </row>
    <row r="459" spans="11:14" x14ac:dyDescent="0.3">
      <c r="K459" s="48">
        <f t="shared" si="21"/>
        <v>0</v>
      </c>
      <c r="L459" s="48" t="str">
        <f t="shared" si="22"/>
        <v/>
      </c>
      <c r="M459" s="48" t="e">
        <f>VLOOKUP(A459,RECEITAS!A:B,2,FALSE)</f>
        <v>#N/A</v>
      </c>
      <c r="N459" s="48" t="str">
        <f t="shared" si="23"/>
        <v/>
      </c>
    </row>
    <row r="460" spans="11:14" x14ac:dyDescent="0.3">
      <c r="K460" s="48">
        <f t="shared" si="21"/>
        <v>0</v>
      </c>
      <c r="L460" s="48" t="str">
        <f t="shared" si="22"/>
        <v/>
      </c>
      <c r="M460" s="48" t="e">
        <f>VLOOKUP(A460,RECEITAS!A:B,2,FALSE)</f>
        <v>#N/A</v>
      </c>
      <c r="N460" s="48" t="str">
        <f t="shared" si="23"/>
        <v/>
      </c>
    </row>
    <row r="461" spans="11:14" x14ac:dyDescent="0.3">
      <c r="K461" s="48">
        <f t="shared" si="21"/>
        <v>0</v>
      </c>
      <c r="L461" s="48" t="str">
        <f t="shared" si="22"/>
        <v/>
      </c>
      <c r="M461" s="48" t="e">
        <f>VLOOKUP(A461,RECEITAS!A:B,2,FALSE)</f>
        <v>#N/A</v>
      </c>
      <c r="N461" s="48" t="str">
        <f t="shared" si="23"/>
        <v/>
      </c>
    </row>
    <row r="462" spans="11:14" x14ac:dyDescent="0.3">
      <c r="K462" s="48">
        <f t="shared" si="21"/>
        <v>0</v>
      </c>
      <c r="L462" s="48" t="str">
        <f t="shared" si="22"/>
        <v/>
      </c>
      <c r="M462" s="48" t="e">
        <f>VLOOKUP(A462,RECEITAS!A:B,2,FALSE)</f>
        <v>#N/A</v>
      </c>
      <c r="N462" s="48" t="str">
        <f t="shared" si="23"/>
        <v/>
      </c>
    </row>
    <row r="463" spans="11:14" x14ac:dyDescent="0.3">
      <c r="K463" s="48">
        <f t="shared" si="21"/>
        <v>0</v>
      </c>
      <c r="L463" s="48" t="str">
        <f t="shared" si="22"/>
        <v/>
      </c>
      <c r="M463" s="48" t="e">
        <f>VLOOKUP(A463,RECEITAS!A:B,2,FALSE)</f>
        <v>#N/A</v>
      </c>
      <c r="N463" s="48" t="str">
        <f t="shared" si="23"/>
        <v/>
      </c>
    </row>
    <row r="464" spans="11:14" x14ac:dyDescent="0.3">
      <c r="K464" s="48">
        <f t="shared" si="21"/>
        <v>0</v>
      </c>
      <c r="L464" s="48" t="str">
        <f t="shared" si="22"/>
        <v/>
      </c>
      <c r="M464" s="48" t="e">
        <f>VLOOKUP(A464,RECEITAS!A:B,2,FALSE)</f>
        <v>#N/A</v>
      </c>
      <c r="N464" s="48" t="str">
        <f t="shared" si="23"/>
        <v/>
      </c>
    </row>
    <row r="465" spans="11:18" x14ac:dyDescent="0.3">
      <c r="K465" s="48">
        <f t="shared" si="21"/>
        <v>0</v>
      </c>
      <c r="L465" s="48" t="str">
        <f t="shared" si="22"/>
        <v/>
      </c>
      <c r="M465" s="48" t="e">
        <f>VLOOKUP(A465,RECEITAS!A:B,2,FALSE)</f>
        <v>#N/A</v>
      </c>
      <c r="N465" s="48" t="str">
        <f t="shared" si="23"/>
        <v/>
      </c>
    </row>
    <row r="466" spans="11:18" x14ac:dyDescent="0.3">
      <c r="K466" s="48">
        <f t="shared" si="21"/>
        <v>0</v>
      </c>
      <c r="L466" s="48" t="str">
        <f t="shared" si="22"/>
        <v/>
      </c>
      <c r="M466" s="48" t="e">
        <f>VLOOKUP(A466,RECEITAS!A:B,2,FALSE)</f>
        <v>#N/A</v>
      </c>
      <c r="N466" s="48" t="str">
        <f t="shared" si="23"/>
        <v/>
      </c>
    </row>
    <row r="467" spans="11:18" x14ac:dyDescent="0.3">
      <c r="K467" s="48">
        <f t="shared" si="21"/>
        <v>0</v>
      </c>
      <c r="L467" s="48" t="str">
        <f t="shared" si="22"/>
        <v/>
      </c>
      <c r="M467" s="48" t="e">
        <f>VLOOKUP(A467,RECEITAS!A:B,2,FALSE)</f>
        <v>#N/A</v>
      </c>
      <c r="N467" s="48" t="str">
        <f t="shared" si="23"/>
        <v/>
      </c>
    </row>
    <row r="468" spans="11:18" x14ac:dyDescent="0.3">
      <c r="K468" s="48">
        <f t="shared" si="21"/>
        <v>0</v>
      </c>
      <c r="L468" s="48" t="str">
        <f t="shared" si="22"/>
        <v/>
      </c>
      <c r="M468" s="48" t="e">
        <f>VLOOKUP(A468,RECEITAS!A:B,2,FALSE)</f>
        <v>#N/A</v>
      </c>
      <c r="N468" s="48" t="str">
        <f t="shared" si="23"/>
        <v/>
      </c>
    </row>
    <row r="469" spans="11:18" x14ac:dyDescent="0.3">
      <c r="K469" s="48">
        <f t="shared" si="21"/>
        <v>0</v>
      </c>
      <c r="L469" s="48" t="str">
        <f t="shared" si="22"/>
        <v/>
      </c>
      <c r="M469" s="48" t="e">
        <f>VLOOKUP(A469,RECEITAS!A:B,2,FALSE)</f>
        <v>#N/A</v>
      </c>
      <c r="N469" s="48" t="str">
        <f t="shared" si="23"/>
        <v/>
      </c>
    </row>
    <row r="470" spans="11:18" x14ac:dyDescent="0.3">
      <c r="K470" s="48">
        <f t="shared" si="21"/>
        <v>0</v>
      </c>
      <c r="L470" s="48" t="str">
        <f t="shared" si="22"/>
        <v/>
      </c>
      <c r="M470" s="48" t="e">
        <f>VLOOKUP(A470,RECEITAS!A:B,2,FALSE)</f>
        <v>#N/A</v>
      </c>
      <c r="N470" s="48" t="str">
        <f t="shared" si="23"/>
        <v/>
      </c>
    </row>
    <row r="471" spans="11:18" x14ac:dyDescent="0.3">
      <c r="K471" s="48">
        <f t="shared" si="21"/>
        <v>0</v>
      </c>
      <c r="L471" s="48" t="str">
        <f t="shared" si="22"/>
        <v/>
      </c>
      <c r="M471" s="48" t="e">
        <f>VLOOKUP(A471,RECEITAS!A:B,2,FALSE)</f>
        <v>#N/A</v>
      </c>
      <c r="N471" s="48" t="str">
        <f t="shared" si="23"/>
        <v/>
      </c>
    </row>
    <row r="472" spans="11:18" x14ac:dyDescent="0.3">
      <c r="K472" s="48">
        <f t="shared" si="21"/>
        <v>0</v>
      </c>
      <c r="L472" s="48" t="str">
        <f t="shared" si="22"/>
        <v/>
      </c>
      <c r="M472" s="48" t="e">
        <f>VLOOKUP(A472,RECEITAS!A:B,2,FALSE)</f>
        <v>#N/A</v>
      </c>
      <c r="N472" s="48" t="str">
        <f t="shared" si="23"/>
        <v/>
      </c>
    </row>
    <row r="473" spans="11:18" x14ac:dyDescent="0.3">
      <c r="K473" s="48">
        <f t="shared" si="21"/>
        <v>0</v>
      </c>
      <c r="L473" s="48" t="str">
        <f t="shared" si="22"/>
        <v/>
      </c>
      <c r="M473" s="48" t="e">
        <f>VLOOKUP(A473,RECEITAS!A:B,2,FALSE)</f>
        <v>#N/A</v>
      </c>
      <c r="N473" s="48" t="str">
        <f t="shared" si="23"/>
        <v/>
      </c>
    </row>
    <row r="480" spans="11:18" x14ac:dyDescent="0.3">
      <c r="R480" t="s">
        <v>25</v>
      </c>
    </row>
    <row r="481" spans="18:18" x14ac:dyDescent="0.3">
      <c r="R481" t="s">
        <v>28</v>
      </c>
    </row>
    <row r="482" spans="18:18" x14ac:dyDescent="0.3">
      <c r="R482" t="s">
        <v>34</v>
      </c>
    </row>
    <row r="483" spans="18:18" x14ac:dyDescent="0.3">
      <c r="R483" t="s">
        <v>27</v>
      </c>
    </row>
    <row r="484" spans="18:18" x14ac:dyDescent="0.3">
      <c r="R484" t="s">
        <v>44</v>
      </c>
    </row>
    <row r="485" spans="18:18" x14ac:dyDescent="0.3">
      <c r="R485" t="s">
        <v>80</v>
      </c>
    </row>
    <row r="486" spans="18:18" x14ac:dyDescent="0.3">
      <c r="R486" t="s">
        <v>63</v>
      </c>
    </row>
    <row r="487" spans="18:18" x14ac:dyDescent="0.3">
      <c r="R487" t="s">
        <v>72</v>
      </c>
    </row>
    <row r="488" spans="18:18" x14ac:dyDescent="0.3">
      <c r="R488" t="s">
        <v>48</v>
      </c>
    </row>
    <row r="489" spans="18:18" x14ac:dyDescent="0.3">
      <c r="R489" t="s">
        <v>145</v>
      </c>
    </row>
    <row r="490" spans="18:18" x14ac:dyDescent="0.3">
      <c r="R490" t="s">
        <v>87</v>
      </c>
    </row>
    <row r="491" spans="18:18" x14ac:dyDescent="0.3">
      <c r="R491" t="s">
        <v>74</v>
      </c>
    </row>
    <row r="492" spans="18:18" x14ac:dyDescent="0.3">
      <c r="R492" t="s">
        <v>75</v>
      </c>
    </row>
    <row r="493" spans="18:18" x14ac:dyDescent="0.3">
      <c r="R493" t="s">
        <v>76</v>
      </c>
    </row>
    <row r="494" spans="18:18" x14ac:dyDescent="0.3">
      <c r="R494" t="s">
        <v>49</v>
      </c>
    </row>
    <row r="495" spans="18:18" x14ac:dyDescent="0.3">
      <c r="R495" t="s">
        <v>52</v>
      </c>
    </row>
    <row r="496" spans="18:18" x14ac:dyDescent="0.3">
      <c r="R496" t="s">
        <v>51</v>
      </c>
    </row>
  </sheetData>
  <autoFilter ref="A1:O473" xr:uid="{17055A92-52B6-4D7F-9D14-E6F801017EB9}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U23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9" sqref="B9"/>
    </sheetView>
  </sheetViews>
  <sheetFormatPr defaultRowHeight="14.4" x14ac:dyDescent="0.3"/>
  <cols>
    <col min="2" max="2" width="31.33203125" bestFit="1" customWidth="1"/>
    <col min="3" max="3" width="12.66406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154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2" t="s">
        <v>156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32" t="str">
        <f>AP_CRONO_SEG!E9</f>
        <v>PESAGEM</v>
      </c>
      <c r="E7" s="71" t="str">
        <f>AP_CRONO_SEG!F9</f>
        <v>INC_BATIMENTO</v>
      </c>
      <c r="F7" s="71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25</v>
      </c>
      <c r="C8" s="36">
        <f>SUMIFS(ENCOMENDA!K:K,ENCOMENDA!A:A,B8,ENCOMENDA!L:L,Crono_Seg!$D$1)</f>
        <v>24.28</v>
      </c>
      <c r="D8" s="29">
        <f>AP_CRONO_SEG!E10</f>
        <v>0.19305555555555556</v>
      </c>
      <c r="E8" s="29">
        <v>0.20833333333333334</v>
      </c>
      <c r="F8" s="29">
        <f>AP_CRONO_SEG!G10</f>
        <v>0.22222222222222224</v>
      </c>
      <c r="G8" s="29">
        <f>AP_CRONO_SEG!H10</f>
        <v>0.22222222222222224</v>
      </c>
      <c r="H8" s="29">
        <f>AP_CRONO_SEG!I10</f>
        <v>0.22569444444444445</v>
      </c>
      <c r="I8" s="29">
        <f>AP_CRONO_SEG!J10</f>
        <v>0.23402777777777778</v>
      </c>
      <c r="J8" s="29">
        <f>AP_CRONO_SEG!K10</f>
        <v>0.24236111111111111</v>
      </c>
      <c r="K8" s="29">
        <f>AP_CRONO_SEG!L10</f>
        <v>0.24583333333333332</v>
      </c>
      <c r="L8" s="29">
        <f>AP_CRONO_SEG!M10</f>
        <v>0.27361111111111108</v>
      </c>
      <c r="M8" s="29">
        <f>AP_CRONO_SEG!N10</f>
        <v>0.33958333333333329</v>
      </c>
      <c r="N8" s="29">
        <f>AP_CRONO_SEG!O10</f>
        <v>0.36388888888888882</v>
      </c>
      <c r="O8" s="29">
        <f>AP_CRONO_SEG!P10</f>
        <v>0.42986111111111103</v>
      </c>
      <c r="P8" s="29">
        <f>AP_CRONO_SEG!Q10</f>
        <v>0.46249999999999991</v>
      </c>
      <c r="Q8" s="29">
        <f>AP_CRONO_SEG!R10</f>
        <v>0.52819444444444441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1</v>
      </c>
      <c r="B9" t="s">
        <v>27</v>
      </c>
      <c r="C9" s="36">
        <f>SUMIFS(ENCOMENDA!K:K,ENCOMENDA!A:A,B9,ENCOMENDA!L:L,Crono_Seg!$D$1)</f>
        <v>36.280000000000008</v>
      </c>
      <c r="D9" s="29">
        <f>AP_CRONO_SEG!E11</f>
        <v>0.19861111111111113</v>
      </c>
      <c r="E9" s="29">
        <f>E8+((15/60)/24)</f>
        <v>0.21875</v>
      </c>
      <c r="F9" s="29">
        <f>AP_CRONO_SEG!G11</f>
        <v>0.2326388888888889</v>
      </c>
      <c r="G9" s="29">
        <f>AP_CRONO_SEG!H11</f>
        <v>0.2326388888888889</v>
      </c>
      <c r="H9" s="29">
        <f>AP_CRONO_SEG!I11</f>
        <v>0.2361111111111111</v>
      </c>
      <c r="I9" s="29">
        <f>AP_CRONO_SEG!J11</f>
        <v>0.24444444444444444</v>
      </c>
      <c r="J9" s="29">
        <f>AP_CRONO_SEG!K11</f>
        <v>0.25277777777777777</v>
      </c>
      <c r="K9" s="29">
        <f>AP_CRONO_SEG!L11</f>
        <v>0.25624999999999998</v>
      </c>
      <c r="L9" s="29">
        <f>AP_CRONO_SEG!M11</f>
        <v>0.28402777777777777</v>
      </c>
      <c r="M9" s="29">
        <f>AP_CRONO_SEG!N11</f>
        <v>0.35</v>
      </c>
      <c r="N9" s="29">
        <f>AP_CRONO_SEG!O11</f>
        <v>0.37430555555555556</v>
      </c>
      <c r="O9" s="29">
        <f>AP_CRONO_SEG!P11</f>
        <v>0.44027777777777777</v>
      </c>
      <c r="P9" s="29">
        <f>AP_CRONO_SEG!Q11</f>
        <v>0.47291666666666665</v>
      </c>
      <c r="Q9" s="29">
        <f>AP_CRONO_SEG!R11</f>
        <v>0.53861111111111115</v>
      </c>
    </row>
    <row r="10" spans="1:21" s="26" customFormat="1" x14ac:dyDescent="0.3">
      <c r="A10" s="26">
        <v>1</v>
      </c>
      <c r="B10" t="s">
        <v>28</v>
      </c>
      <c r="C10" s="36">
        <f>SUMIFS(ENCOMENDA!K:K,ENCOMENDA!A:A,B10,ENCOMENDA!L:L,Crono_Seg!$D$1)</f>
        <v>6.120000000000001</v>
      </c>
      <c r="D10" s="29">
        <f>AP_CRONO_SEG!E12</f>
        <v>0.20416666666666669</v>
      </c>
      <c r="E10" s="29">
        <f t="shared" ref="E10:E22" si="0">E9+((15/60)/24)</f>
        <v>0.22916666666666666</v>
      </c>
      <c r="F10" s="29">
        <f>AP_CRONO_SEG!G12</f>
        <v>0.24305555555555555</v>
      </c>
      <c r="G10" s="29">
        <f>AP_CRONO_SEG!H12</f>
        <v>0.24305555555555555</v>
      </c>
      <c r="H10" s="29">
        <f>AP_CRONO_SEG!I12</f>
        <v>0.24652777777777776</v>
      </c>
      <c r="I10" s="29">
        <f>AP_CRONO_SEG!J12</f>
        <v>0.25486111111111109</v>
      </c>
      <c r="J10" s="29">
        <f>AP_CRONO_SEG!K12</f>
        <v>0.26319444444444445</v>
      </c>
      <c r="K10" s="29">
        <f>AP_CRONO_SEG!L12</f>
        <v>0.26666666666666666</v>
      </c>
      <c r="L10" s="29">
        <f>AP_CRONO_SEG!M12</f>
        <v>0.29444444444444445</v>
      </c>
      <c r="M10" s="29">
        <f>AP_CRONO_SEG!N12</f>
        <v>0.36041666666666666</v>
      </c>
      <c r="N10" s="29">
        <f>AP_CRONO_SEG!O12</f>
        <v>0.38472222222222219</v>
      </c>
      <c r="O10" s="29">
        <f>AP_CRONO_SEG!P12</f>
        <v>0.4506944444444444</v>
      </c>
      <c r="P10" s="29">
        <f>AP_CRONO_SEG!Q12</f>
        <v>0.48333333333333328</v>
      </c>
      <c r="Q10" s="29">
        <f>AP_CRONO_SEG!R12</f>
        <v>0.54902777777777767</v>
      </c>
    </row>
    <row r="11" spans="1:21" s="26" customFormat="1" x14ac:dyDescent="0.3">
      <c r="A11" s="26">
        <v>2</v>
      </c>
      <c r="B11" t="s">
        <v>30</v>
      </c>
      <c r="C11" s="36">
        <f>SUMIFS(ENCOMENDA!K:K,ENCOMENDA!A:A,B11,ENCOMENDA!L:L,Crono_Seg!$D$1)</f>
        <v>10.55</v>
      </c>
      <c r="D11" s="29">
        <f>AP_CRONO_SEG!E13</f>
        <v>0.20972222222222225</v>
      </c>
      <c r="E11" s="29">
        <f t="shared" si="0"/>
        <v>0.23958333333333331</v>
      </c>
      <c r="F11" s="29">
        <f>AP_CRONO_SEG!G13</f>
        <v>0.25347222222222221</v>
      </c>
      <c r="G11" s="29">
        <f>AP_CRONO_SEG!H13</f>
        <v>0.25347222222222221</v>
      </c>
      <c r="H11" s="29">
        <f>AP_CRONO_SEG!I13</f>
        <v>0.25694444444444442</v>
      </c>
      <c r="I11" s="29">
        <f>AP_CRONO_SEG!J13</f>
        <v>0.30208333333333331</v>
      </c>
      <c r="J11" s="29">
        <f>AP_CRONO_SEG!K13</f>
        <v>0.32291666666666663</v>
      </c>
      <c r="K11" s="29">
        <f>AP_CRONO_SEG!L13</f>
        <v>0.35416666666666663</v>
      </c>
      <c r="L11" s="29">
        <f>AP_CRONO_SEG!M13</f>
        <v>0.37499999999999994</v>
      </c>
      <c r="M11" s="29">
        <f>AP_CRONO_SEG!N13</f>
        <v>0.42013888888888884</v>
      </c>
      <c r="N11" s="29">
        <f>AP_CRONO_SEG!O13</f>
        <v>0.45138888888888884</v>
      </c>
      <c r="O11" s="29">
        <f>AP_CRONO_SEG!P13</f>
        <v>0.51736111111111105</v>
      </c>
      <c r="P11" s="29">
        <f>AP_CRONO_SEG!Q13</f>
        <v>0.52083333333333326</v>
      </c>
      <c r="Q11" s="29">
        <f>AP_CRONO_SEG!R13</f>
        <v>0.59374999999999989</v>
      </c>
    </row>
    <row r="12" spans="1:21" s="26" customFormat="1" x14ac:dyDescent="0.3">
      <c r="A12" s="26">
        <v>2</v>
      </c>
      <c r="B12" t="s">
        <v>33</v>
      </c>
      <c r="C12" s="36">
        <f>SUMIFS(ENCOMENDA!K:K,ENCOMENDA!A:A,B12,ENCOMENDA!L:L,Crono_Seg!$D$1)</f>
        <v>8.75</v>
      </c>
      <c r="D12" s="29">
        <f>AP_CRONO_SEG!E14</f>
        <v>0.21527777777777782</v>
      </c>
      <c r="E12" s="29">
        <f t="shared" si="0"/>
        <v>0.24999999999999997</v>
      </c>
      <c r="F12" s="29">
        <f>AP_CRONO_SEG!G14</f>
        <v>0.26388888888888884</v>
      </c>
      <c r="G12" s="29">
        <f>AP_CRONO_SEG!H14</f>
        <v>0.26388888888888884</v>
      </c>
      <c r="H12" s="29">
        <f>AP_CRONO_SEG!I14</f>
        <v>0.26736111111111105</v>
      </c>
      <c r="I12" s="29">
        <f>AP_CRONO_SEG!J14</f>
        <v>0.31249999999999994</v>
      </c>
      <c r="J12" s="29">
        <f>AP_CRONO_SEG!K14</f>
        <v>0.33333333333333326</v>
      </c>
      <c r="K12" s="29">
        <f>AP_CRONO_SEG!L14</f>
        <v>0.36458333333333326</v>
      </c>
      <c r="L12" s="29">
        <f>AP_CRONO_SEG!M14</f>
        <v>0.38541666666666657</v>
      </c>
      <c r="M12" s="29">
        <f>AP_CRONO_SEG!N14</f>
        <v>0.43055555555555547</v>
      </c>
      <c r="N12" s="29">
        <f>AP_CRONO_SEG!O14</f>
        <v>0.46180555555555547</v>
      </c>
      <c r="O12" s="29">
        <f>AP_CRONO_SEG!P14</f>
        <v>0.52777777777777768</v>
      </c>
      <c r="P12" s="29">
        <f>AP_CRONO_SEG!Q14</f>
        <v>0.53124999999999989</v>
      </c>
      <c r="Q12" s="29">
        <f>AP_CRONO_SEG!R14</f>
        <v>0.60416666666666652</v>
      </c>
    </row>
    <row r="13" spans="1:21" s="26" customFormat="1" x14ac:dyDescent="0.3">
      <c r="A13" s="26">
        <v>2</v>
      </c>
      <c r="B13" t="s">
        <v>34</v>
      </c>
      <c r="C13" s="36">
        <f>SUMIFS(ENCOMENDA!K:K,ENCOMENDA!A:A,B13,ENCOMENDA!L:L,Crono_Seg!$D$1)</f>
        <v>8.31</v>
      </c>
      <c r="D13" s="29">
        <f>AP_CRONO_SEG!E15</f>
        <v>0.22083333333333338</v>
      </c>
      <c r="E13" s="29">
        <f t="shared" si="0"/>
        <v>0.26041666666666663</v>
      </c>
      <c r="F13" s="29">
        <f>AP_CRONO_SEG!G15</f>
        <v>0.27430555555555552</v>
      </c>
      <c r="G13" s="29">
        <f>AP_CRONO_SEG!H15</f>
        <v>0.27430555555555552</v>
      </c>
      <c r="H13" s="29">
        <f>AP_CRONO_SEG!I15</f>
        <v>0.27777777777777773</v>
      </c>
      <c r="I13" s="29">
        <f>AP_CRONO_SEG!J15</f>
        <v>0.28611111111111109</v>
      </c>
      <c r="J13" s="29">
        <f>AP_CRONO_SEG!K15</f>
        <v>0.29444444444444445</v>
      </c>
      <c r="K13" s="29">
        <f>AP_CRONO_SEG!L15</f>
        <v>0.29791666666666666</v>
      </c>
      <c r="L13" s="29">
        <f>AP_CRONO_SEG!M15</f>
        <v>0.32569444444444445</v>
      </c>
      <c r="M13" s="29">
        <f>AP_CRONO_SEG!N15</f>
        <v>0.39166666666666666</v>
      </c>
      <c r="N13" s="29">
        <f>AP_CRONO_SEG!O15</f>
        <v>0.41597222222222219</v>
      </c>
      <c r="O13" s="29">
        <f>AP_CRONO_SEG!P15</f>
        <v>0.4819444444444444</v>
      </c>
      <c r="P13" s="29">
        <f>AP_CRONO_SEG!Q15</f>
        <v>0.51458333333333328</v>
      </c>
      <c r="Q13" s="29">
        <f>AP_CRONO_SEG!R15</f>
        <v>0.58027777777777767</v>
      </c>
    </row>
    <row r="14" spans="1:21" s="26" customFormat="1" x14ac:dyDescent="0.3">
      <c r="A14" s="26">
        <v>3</v>
      </c>
      <c r="B14" t="s">
        <v>36</v>
      </c>
      <c r="C14" s="36">
        <f>SUMIFS(ENCOMENDA!K:K,ENCOMENDA!A:A,B14,ENCOMENDA!L:L,Crono_Seg!$D$1)</f>
        <v>6.24</v>
      </c>
      <c r="D14" s="29">
        <f>AP_CRONO_SEG!E16</f>
        <v>0.22638888888888895</v>
      </c>
      <c r="E14" s="29">
        <f t="shared" si="0"/>
        <v>0.27083333333333331</v>
      </c>
      <c r="F14" s="29">
        <f>AP_CRONO_SEG!G16</f>
        <v>0.28472222222222221</v>
      </c>
      <c r="G14" s="29">
        <f>AP_CRONO_SEG!H16</f>
        <v>0.28472222222222221</v>
      </c>
      <c r="H14" s="29">
        <f>AP_CRONO_SEG!I16</f>
        <v>0.28819444444444442</v>
      </c>
      <c r="I14" s="29">
        <f>AP_CRONO_SEG!J16</f>
        <v>0.33333333333333331</v>
      </c>
      <c r="J14" s="29">
        <f>AP_CRONO_SEG!K16</f>
        <v>0.35416666666666663</v>
      </c>
      <c r="K14" s="29">
        <f>AP_CRONO_SEG!L16</f>
        <v>0.38541666666666663</v>
      </c>
      <c r="L14" s="29">
        <f>AP_CRONO_SEG!M16</f>
        <v>0.40624999999999994</v>
      </c>
      <c r="M14" s="29">
        <f>AP_CRONO_SEG!N16</f>
        <v>0.45138888888888884</v>
      </c>
      <c r="N14" s="29">
        <f>AP_CRONO_SEG!O16</f>
        <v>0.48263888888888884</v>
      </c>
      <c r="O14" s="29">
        <f>AP_CRONO_SEG!P16</f>
        <v>0.54861111111111105</v>
      </c>
      <c r="P14" s="29">
        <f>AP_CRONO_SEG!Q16</f>
        <v>0.55208333333333326</v>
      </c>
      <c r="Q14" s="29">
        <f>AP_CRONO_SEG!R16</f>
        <v>0.62499999999999989</v>
      </c>
    </row>
    <row r="15" spans="1:21" x14ac:dyDescent="0.3">
      <c r="A15" s="26">
        <v>3</v>
      </c>
      <c r="B15" t="s">
        <v>38</v>
      </c>
      <c r="C15" s="36">
        <f>SUMIFS(ENCOMENDA!K:K,ENCOMENDA!A:A,B15,ENCOMENDA!L:L,Crono_Seg!$D$1)</f>
        <v>4.95</v>
      </c>
      <c r="D15" s="31">
        <f>AP_CRONO_SEG!E17</f>
        <v>0.23194444444444451</v>
      </c>
      <c r="E15" s="29">
        <f t="shared" si="0"/>
        <v>0.28125</v>
      </c>
      <c r="F15" s="31">
        <f>AP_CRONO_SEG!G17</f>
        <v>0.2951388888888889</v>
      </c>
      <c r="G15" s="31">
        <f>AP_CRONO_SEG!H17</f>
        <v>0.2951388888888889</v>
      </c>
      <c r="H15" s="31">
        <f>AP_CRONO_SEG!I17</f>
        <v>0.2986111111111111</v>
      </c>
      <c r="I15" s="31">
        <f>AP_CRONO_SEG!J17</f>
        <v>0.30694444444444446</v>
      </c>
      <c r="J15" s="31">
        <f>AP_CRONO_SEG!K17</f>
        <v>0.31527777777777782</v>
      </c>
      <c r="K15" s="31">
        <f>AP_CRONO_SEG!L17</f>
        <v>0.31875000000000003</v>
      </c>
      <c r="L15" s="31">
        <f>AP_CRONO_SEG!M17</f>
        <v>0.34652777777777782</v>
      </c>
      <c r="M15" s="31">
        <f>AP_CRONO_SEG!N17</f>
        <v>0.41250000000000003</v>
      </c>
      <c r="N15" s="31">
        <f>AP_CRONO_SEG!O17</f>
        <v>0.43680555555555556</v>
      </c>
      <c r="O15" s="31">
        <f>AP_CRONO_SEG!P17</f>
        <v>0.50277777777777777</v>
      </c>
      <c r="P15" s="31">
        <f>AP_CRONO_SEG!Q17</f>
        <v>0.53541666666666665</v>
      </c>
      <c r="Q15" s="31">
        <f>AP_CRONO_SEG!R17</f>
        <v>0.60111111111111115</v>
      </c>
    </row>
    <row r="16" spans="1:21" x14ac:dyDescent="0.3">
      <c r="A16" s="26">
        <v>3</v>
      </c>
      <c r="B16" t="s">
        <v>40</v>
      </c>
      <c r="C16" s="36">
        <f>SUMIFS(ENCOMENDA!K:K,ENCOMENDA!A:A,B16,ENCOMENDA!L:L,Crono_Seg!$D$1)</f>
        <v>5.4</v>
      </c>
      <c r="D16" s="31">
        <f>AP_CRONO_SEG!E18</f>
        <v>0.23750000000000007</v>
      </c>
      <c r="E16" s="29">
        <f t="shared" si="0"/>
        <v>0.29166666666666669</v>
      </c>
      <c r="F16" s="31">
        <f>AP_CRONO_SEG!G18</f>
        <v>0.30555555555555558</v>
      </c>
      <c r="G16" s="31">
        <f>AP_CRONO_SEG!H18</f>
        <v>0.30555555555555558</v>
      </c>
      <c r="H16" s="31">
        <f>AP_CRONO_SEG!I18</f>
        <v>0.30902777777777779</v>
      </c>
      <c r="I16" s="31">
        <f>AP_CRONO_SEG!J18</f>
        <v>0.31736111111111115</v>
      </c>
      <c r="J16" s="31">
        <f>AP_CRONO_SEG!K18</f>
        <v>0.32569444444444451</v>
      </c>
      <c r="K16" s="31">
        <f>AP_CRONO_SEG!L18</f>
        <v>0.32916666666666672</v>
      </c>
      <c r="L16" s="31">
        <f>AP_CRONO_SEG!M18</f>
        <v>0.35694444444444451</v>
      </c>
      <c r="M16" s="31">
        <f>AP_CRONO_SEG!N18</f>
        <v>0.42291666666666672</v>
      </c>
      <c r="N16" s="31">
        <f>AP_CRONO_SEG!O18</f>
        <v>0.4472222222222223</v>
      </c>
      <c r="O16" s="31">
        <f>AP_CRONO_SEG!P18</f>
        <v>0.51319444444444451</v>
      </c>
      <c r="P16" s="31">
        <f>AP_CRONO_SEG!Q18</f>
        <v>0.54583333333333339</v>
      </c>
      <c r="Q16" s="31">
        <f>AP_CRONO_SEG!R18</f>
        <v>0.61152777777777789</v>
      </c>
    </row>
    <row r="17" spans="1:17" x14ac:dyDescent="0.3">
      <c r="A17" s="26">
        <v>4</v>
      </c>
      <c r="B17" t="s">
        <v>41</v>
      </c>
      <c r="C17" s="36">
        <f>SUMIFS(ENCOMENDA!K:K,ENCOMENDA!A:A,B17,ENCOMENDA!L:L,Crono_Seg!$D$1)</f>
        <v>14.8</v>
      </c>
      <c r="D17" s="31">
        <f>AP_CRONO_SEG!E19</f>
        <v>0.24305555555555564</v>
      </c>
      <c r="E17" s="29">
        <f t="shared" si="0"/>
        <v>0.30208333333333337</v>
      </c>
      <c r="F17" s="31">
        <f>AP_CRONO_SEG!G19</f>
        <v>0.31597222222222227</v>
      </c>
      <c r="G17" s="31">
        <f>AP_CRONO_SEG!H19</f>
        <v>0.31597222222222227</v>
      </c>
      <c r="H17" s="31">
        <f>AP_CRONO_SEG!I19</f>
        <v>0.31944444444444448</v>
      </c>
      <c r="I17" s="31">
        <f>AP_CRONO_SEG!J19</f>
        <v>0.36458333333333337</v>
      </c>
      <c r="J17" s="31">
        <f>AP_CRONO_SEG!K19</f>
        <v>0.38541666666666669</v>
      </c>
      <c r="K17" s="31">
        <f>AP_CRONO_SEG!L19</f>
        <v>0.41666666666666669</v>
      </c>
      <c r="L17" s="31">
        <f>AP_CRONO_SEG!M19</f>
        <v>0.4375</v>
      </c>
      <c r="M17" s="31">
        <f>AP_CRONO_SEG!N19</f>
        <v>0.4826388888888889</v>
      </c>
      <c r="N17" s="31">
        <f>AP_CRONO_SEG!O19</f>
        <v>0.51388888888888884</v>
      </c>
      <c r="O17" s="31">
        <f>AP_CRONO_SEG!P19</f>
        <v>0.57986111111111105</v>
      </c>
      <c r="P17" s="31">
        <f>AP_CRONO_SEG!Q19</f>
        <v>0.58333333333333326</v>
      </c>
      <c r="Q17" s="31">
        <f>AP_CRONO_SEG!R19</f>
        <v>0.65624999999999989</v>
      </c>
    </row>
    <row r="18" spans="1:17" x14ac:dyDescent="0.3">
      <c r="A18" s="26">
        <v>4</v>
      </c>
      <c r="B18" t="s">
        <v>44</v>
      </c>
      <c r="C18" s="36">
        <f>SUMIFS(ENCOMENDA!K:K,ENCOMENDA!A:A,B18,ENCOMENDA!L:L,Crono_Seg!$D$1)</f>
        <v>1</v>
      </c>
      <c r="D18" s="31">
        <f>AP_CRONO_SEG!E20</f>
        <v>0.2486111111111112</v>
      </c>
      <c r="E18" s="29">
        <f t="shared" si="0"/>
        <v>0.31250000000000006</v>
      </c>
      <c r="F18" s="31">
        <f>AP_CRONO_SEG!G20</f>
        <v>0.32638888888888895</v>
      </c>
      <c r="G18" s="31">
        <f>AP_CRONO_SEG!H20</f>
        <v>0.32638888888888895</v>
      </c>
      <c r="H18" s="31">
        <f>AP_CRONO_SEG!I20</f>
        <v>0.32986111111111116</v>
      </c>
      <c r="I18" s="31">
        <f>AP_CRONO_SEG!J20</f>
        <v>0.37500000000000006</v>
      </c>
      <c r="J18" s="31">
        <f>AP_CRONO_SEG!K20</f>
        <v>0.39583333333333337</v>
      </c>
      <c r="K18" s="31">
        <f>AP_CRONO_SEG!L20</f>
        <v>0.42708333333333337</v>
      </c>
      <c r="L18" s="31">
        <f>AP_CRONO_SEG!M20</f>
        <v>0.44791666666666669</v>
      </c>
      <c r="M18" s="31">
        <f>AP_CRONO_SEG!N20</f>
        <v>0.49305555555555558</v>
      </c>
      <c r="N18" s="31">
        <f>AP_CRONO_SEG!O20</f>
        <v>0.52430555555555558</v>
      </c>
      <c r="O18" s="31">
        <f>AP_CRONO_SEG!P20</f>
        <v>0.59027777777777779</v>
      </c>
      <c r="P18" s="31">
        <f>AP_CRONO_SEG!Q20</f>
        <v>0.59375</v>
      </c>
      <c r="Q18" s="31">
        <f>AP_CRONO_SEG!R20</f>
        <v>0.66666666666666663</v>
      </c>
    </row>
    <row r="19" spans="1:17" x14ac:dyDescent="0.3">
      <c r="A19" s="26">
        <v>5</v>
      </c>
      <c r="B19" t="s">
        <v>49</v>
      </c>
      <c r="C19" s="36">
        <f>SUMIFS(ENCOMENDA!K:K,ENCOMENDA!A:A,B19,ENCOMENDA!L:L,Crono_Seg!$D$1)</f>
        <v>16.200000000000003</v>
      </c>
      <c r="D19" s="31">
        <f>AP_CRONO_SEG!E21</f>
        <v>0.25416666666666676</v>
      </c>
      <c r="E19" s="29">
        <f t="shared" si="0"/>
        <v>0.32291666666666674</v>
      </c>
      <c r="F19" s="31">
        <f>AP_CRONO_SEG!G21</f>
        <v>0.33680555555555564</v>
      </c>
      <c r="G19" s="31">
        <f>AP_CRONO_SEG!H21</f>
        <v>0.33680555555555564</v>
      </c>
      <c r="H19" s="31">
        <f>AP_CRONO_SEG!I21</f>
        <v>0.34027777777777785</v>
      </c>
      <c r="I19" s="31">
        <f>AP_CRONO_SEG!J21</f>
        <v>0.3486111111111112</v>
      </c>
      <c r="J19" s="31">
        <f>AP_CRONO_SEG!K21</f>
        <v>0.35694444444444456</v>
      </c>
      <c r="K19" s="31">
        <f>AP_CRONO_SEG!L21</f>
        <v>0.36041666666666677</v>
      </c>
      <c r="L19" s="31">
        <f>AP_CRONO_SEG!M21</f>
        <v>0.38819444444444456</v>
      </c>
      <c r="M19" s="31">
        <f>AP_CRONO_SEG!N21</f>
        <v>0.45416666666666677</v>
      </c>
      <c r="N19" s="31">
        <f>AP_CRONO_SEG!O21</f>
        <v>0.4784722222222223</v>
      </c>
      <c r="O19" s="31">
        <f>AP_CRONO_SEG!P21</f>
        <v>0.54444444444444451</v>
      </c>
      <c r="P19" s="31">
        <f>AP_CRONO_SEG!Q21</f>
        <v>0.57708333333333339</v>
      </c>
      <c r="Q19" s="31">
        <f>AP_CRONO_SEG!R21</f>
        <v>0.64277777777777789</v>
      </c>
    </row>
    <row r="20" spans="1:17" x14ac:dyDescent="0.3">
      <c r="A20" s="26">
        <v>5</v>
      </c>
      <c r="B20" t="s">
        <v>50</v>
      </c>
      <c r="C20" s="36">
        <f>SUMIFS(ENCOMENDA!K:K,ENCOMENDA!A:A,B20,ENCOMENDA!L:L,Crono_Seg!$D$1)</f>
        <v>0.60000000000000009</v>
      </c>
      <c r="D20" s="31">
        <f>AP_CRONO_SEG!E22</f>
        <v>0.2597222222222223</v>
      </c>
      <c r="E20" s="29">
        <f t="shared" si="0"/>
        <v>0.33333333333333343</v>
      </c>
      <c r="F20" s="31">
        <f>AP_CRONO_SEG!G22</f>
        <v>0.34722222222222232</v>
      </c>
      <c r="G20" s="31">
        <f>AP_CRONO_SEG!H22</f>
        <v>0.34722222222222232</v>
      </c>
      <c r="H20" s="31">
        <f>AP_CRONO_SEG!I22</f>
        <v>0.35069444444444453</v>
      </c>
      <c r="I20" s="31">
        <f>AP_CRONO_SEG!J22</f>
        <v>0.39583333333333343</v>
      </c>
      <c r="J20" s="31">
        <f>AP_CRONO_SEG!K22</f>
        <v>0.41666666666666674</v>
      </c>
      <c r="K20" s="31">
        <f>AP_CRONO_SEG!L22</f>
        <v>0.44791666666666674</v>
      </c>
      <c r="L20" s="31">
        <f>AP_CRONO_SEG!M22</f>
        <v>0.46875000000000006</v>
      </c>
      <c r="M20" s="31">
        <f>AP_CRONO_SEG!N22</f>
        <v>0.51388888888888895</v>
      </c>
      <c r="N20" s="31">
        <f>AP_CRONO_SEG!O22</f>
        <v>0.54513888888888895</v>
      </c>
      <c r="O20" s="31">
        <f>AP_CRONO_SEG!P22</f>
        <v>0.61111111111111116</v>
      </c>
      <c r="P20" s="31">
        <f>AP_CRONO_SEG!Q22</f>
        <v>0.61458333333333337</v>
      </c>
      <c r="Q20" s="31">
        <f>AP_CRONO_SEG!R22</f>
        <v>0.6875</v>
      </c>
    </row>
    <row r="21" spans="1:17" x14ac:dyDescent="0.3">
      <c r="A21" s="26">
        <v>5</v>
      </c>
      <c r="B21" t="s">
        <v>52</v>
      </c>
      <c r="C21" s="36">
        <f>SUMIFS(ENCOMENDA!K:K,ENCOMENDA!A:A,B21,ENCOMENDA!L:L,Crono_Seg!$D$1)</f>
        <v>3.0000000000000004</v>
      </c>
      <c r="D21" s="31">
        <f>AP_CRONO_SEG!E23</f>
        <v>0.26527777777777783</v>
      </c>
      <c r="E21" s="29">
        <f t="shared" si="0"/>
        <v>0.34375000000000011</v>
      </c>
      <c r="F21" s="31">
        <f>AP_CRONO_SEG!G23</f>
        <v>0.35763888888888901</v>
      </c>
      <c r="G21" s="31">
        <f>AP_CRONO_SEG!H23</f>
        <v>0.35763888888888901</v>
      </c>
      <c r="H21" s="31">
        <f>AP_CRONO_SEG!I23</f>
        <v>0.36111111111111122</v>
      </c>
      <c r="I21" s="31">
        <f>AP_CRONO_SEG!J23</f>
        <v>0.36944444444444458</v>
      </c>
      <c r="J21" s="31">
        <f>AP_CRONO_SEG!K23</f>
        <v>0.37777777777777793</v>
      </c>
      <c r="K21" s="31">
        <f>AP_CRONO_SEG!L23</f>
        <v>0.38125000000000014</v>
      </c>
      <c r="L21" s="31">
        <f>AP_CRONO_SEG!M23</f>
        <v>0.40902777777777793</v>
      </c>
      <c r="M21" s="31">
        <f>AP_CRONO_SEG!N23</f>
        <v>0.47500000000000014</v>
      </c>
      <c r="N21" s="31">
        <f>AP_CRONO_SEG!O23</f>
        <v>0.49930555555555567</v>
      </c>
      <c r="O21" s="31">
        <f>AP_CRONO_SEG!P23</f>
        <v>0.56527777777777788</v>
      </c>
      <c r="P21" s="31">
        <f>AP_CRONO_SEG!Q23</f>
        <v>0.59791666666666676</v>
      </c>
      <c r="Q21" s="31">
        <f>AP_CRONO_SEG!R23</f>
        <v>0.66361111111111115</v>
      </c>
    </row>
    <row r="22" spans="1:17" x14ac:dyDescent="0.3">
      <c r="A22" s="26">
        <v>6</v>
      </c>
      <c r="B22" t="s">
        <v>48</v>
      </c>
      <c r="C22" s="36">
        <f>SUMIFS(ENCOMENDA!K:K,ENCOMENDA!A:A,B22,ENCOMENDA!L:L,Crono_Seg!$D$1)</f>
        <v>2.4000000000000004</v>
      </c>
      <c r="D22" s="31">
        <f>AP_CRONO_SEG!E24</f>
        <v>0.27083333333333337</v>
      </c>
      <c r="E22" s="29">
        <f t="shared" si="0"/>
        <v>0.3541666666666668</v>
      </c>
      <c r="F22" s="31">
        <f>AP_CRONO_SEG!G24</f>
        <v>0.36805555555555569</v>
      </c>
      <c r="G22" s="31">
        <f>AP_CRONO_SEG!H24</f>
        <v>0.36805555555555569</v>
      </c>
      <c r="H22" s="31">
        <f>AP_CRONO_SEG!I24</f>
        <v>0.3715277777777779</v>
      </c>
      <c r="I22" s="31">
        <f>AP_CRONO_SEG!J24</f>
        <v>0.37986111111111126</v>
      </c>
      <c r="J22" s="31">
        <f>AP_CRONO_SEG!K24</f>
        <v>0.38819444444444462</v>
      </c>
      <c r="K22" s="31">
        <f>AP_CRONO_SEG!L24</f>
        <v>0.39166666666666683</v>
      </c>
      <c r="L22" s="31">
        <f>AP_CRONO_SEG!M24</f>
        <v>0.41944444444444462</v>
      </c>
      <c r="M22" s="31">
        <f>AP_CRONO_SEG!N24</f>
        <v>0.48541666666666683</v>
      </c>
      <c r="N22" s="31">
        <f>AP_CRONO_SEG!O24</f>
        <v>0.50972222222222241</v>
      </c>
      <c r="O22" s="31">
        <f>AP_CRONO_SEG!P24</f>
        <v>0.57569444444444462</v>
      </c>
      <c r="P22" s="31">
        <f>AP_CRONO_SEG!Q24</f>
        <v>0.6083333333333335</v>
      </c>
      <c r="Q22" s="31">
        <f>AP_CRONO_SEG!R24</f>
        <v>0.67402777777777789</v>
      </c>
    </row>
    <row r="23" spans="1:17" x14ac:dyDescent="0.3">
      <c r="A23" s="26"/>
      <c r="C23" s="36">
        <f>SUMIFS(ENCOMENDA!K:K,ENCOMENDA!A:A,B23,ENCOMENDA!L:L,Crono_Seg!$D$1)</f>
        <v>0</v>
      </c>
      <c r="D23" s="31" t="str">
        <f>AP_CRONO_SEG!E25</f>
        <v/>
      </c>
      <c r="E23" s="29"/>
      <c r="F23" s="31" t="str">
        <f>AP_CRONO_SEG!G25</f>
        <v/>
      </c>
      <c r="G23" s="31" t="str">
        <f>AP_CRONO_SEG!H25</f>
        <v/>
      </c>
      <c r="H23" s="31" t="str">
        <f>AP_CRONO_SEG!I25</f>
        <v/>
      </c>
      <c r="I23" s="31" t="str">
        <f>AP_CRONO_SEG!J25</f>
        <v/>
      </c>
      <c r="J23" s="31" t="str">
        <f>AP_CRONO_SEG!K25</f>
        <v/>
      </c>
      <c r="K23" s="31" t="str">
        <f>AP_CRONO_SEG!L25</f>
        <v/>
      </c>
      <c r="L23" s="31" t="str">
        <f>AP_CRONO_SEG!M25</f>
        <v/>
      </c>
      <c r="M23" s="31" t="str">
        <f>AP_CRONO_SEG!N25</f>
        <v/>
      </c>
      <c r="N23" s="31" t="str">
        <f>AP_CRONO_SEG!O25</f>
        <v/>
      </c>
      <c r="O23" s="31" t="str">
        <f>AP_CRONO_SEG!P25</f>
        <v/>
      </c>
      <c r="P23" s="31" t="str">
        <f>AP_CRONO_SEG!Q25</f>
        <v/>
      </c>
      <c r="Q23" s="31" t="str">
        <f>AP_CRONO_SEG!R25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Q23">
    <cfRule type="cellIs" dxfId="17" priority="1" operator="lessThan">
      <formula>$T$8</formula>
    </cfRule>
  </conditionalFormatting>
  <conditionalFormatting sqref="D8:Q23">
    <cfRule type="cellIs" dxfId="16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20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I25" sqref="I25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163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2" t="s">
        <v>157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32" t="str">
        <f>AP_CRONO_SEG!E9</f>
        <v>PESAGEM</v>
      </c>
      <c r="E7" s="71" t="str">
        <f>AP_CRONO_SEG!F9</f>
        <v>INC_BATIMENTO</v>
      </c>
      <c r="F7" s="71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27</v>
      </c>
      <c r="C8" s="36">
        <f>SUMIFS(ENCOMENDA!K:K,ENCOMENDA!A:A,B8,ENCOMENDA!L:L,D$1)</f>
        <v>49.079999999999991</v>
      </c>
      <c r="D8" s="29">
        <f>AP_CRONO_TER!E10</f>
        <v>0.19305555555555556</v>
      </c>
      <c r="E8" s="29">
        <v>0.20833333333333334</v>
      </c>
      <c r="F8" s="29">
        <f>AP_CRONO_TER!G10</f>
        <v>0.22222222222222224</v>
      </c>
      <c r="G8" s="29">
        <f>AP_CRONO_TER!H10</f>
        <v>0.22222222222222224</v>
      </c>
      <c r="H8" s="29">
        <f>AP_CRONO_TER!I10</f>
        <v>0.22569444444444445</v>
      </c>
      <c r="I8" s="29">
        <f>AP_CRONO_TER!J10</f>
        <v>0.23402777777777778</v>
      </c>
      <c r="J8" s="29">
        <f>AP_CRONO_TER!K10</f>
        <v>0.24236111111111111</v>
      </c>
      <c r="K8" s="29">
        <f>AP_CRONO_TER!L10</f>
        <v>0.24583333333333332</v>
      </c>
      <c r="L8" s="29">
        <f>AP_CRONO_TER!M10</f>
        <v>0.27361111111111108</v>
      </c>
      <c r="M8" s="29">
        <f>AP_CRONO_TER!N10</f>
        <v>0.33958333333333329</v>
      </c>
      <c r="N8" s="29">
        <f>AP_CRONO_TER!O10</f>
        <v>0.36388888888888882</v>
      </c>
      <c r="O8" s="29">
        <f>AP_CRONO_TER!P10</f>
        <v>0.42986111111111103</v>
      </c>
      <c r="P8" s="29">
        <f>AP_CRONO_TER!Q10</f>
        <v>0.46249999999999991</v>
      </c>
      <c r="Q8" s="29">
        <f>AP_CRONO_TER!R10</f>
        <v>0.52819444444444441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2</v>
      </c>
      <c r="B9" t="s">
        <v>25</v>
      </c>
      <c r="C9" s="36">
        <f>SUMIFS(ENCOMENDA!K:K,ENCOMENDA!A:A,B9,ENCOMENDA!L:L,D$1)</f>
        <v>10.64</v>
      </c>
      <c r="D9" s="29">
        <f>AP_CRONO_TER!E11</f>
        <v>0.19861111111111113</v>
      </c>
      <c r="E9" s="29">
        <f>E8+((15/60)/24)</f>
        <v>0.21875</v>
      </c>
      <c r="F9" s="29">
        <f>AP_CRONO_TER!G11</f>
        <v>0.2326388888888889</v>
      </c>
      <c r="G9" s="29">
        <f>AP_CRONO_TER!H11</f>
        <v>0.2326388888888889</v>
      </c>
      <c r="H9" s="29">
        <f>AP_CRONO_TER!I11</f>
        <v>0.2361111111111111</v>
      </c>
      <c r="I9" s="29">
        <f>AP_CRONO_TER!J11</f>
        <v>0.24444444444444444</v>
      </c>
      <c r="J9" s="29">
        <f>AP_CRONO_TER!K11</f>
        <v>0.25277777777777777</v>
      </c>
      <c r="K9" s="29">
        <f>AP_CRONO_TER!L11</f>
        <v>0.25624999999999998</v>
      </c>
      <c r="L9" s="29">
        <f>AP_CRONO_TER!M11</f>
        <v>0.28402777777777777</v>
      </c>
      <c r="M9" s="29">
        <f>AP_CRONO_TER!N11</f>
        <v>0.35</v>
      </c>
      <c r="N9" s="29">
        <f>AP_CRONO_TER!O11</f>
        <v>0.37430555555555556</v>
      </c>
      <c r="O9" s="29">
        <f>AP_CRONO_TER!P11</f>
        <v>0.44027777777777777</v>
      </c>
      <c r="P9" s="29">
        <f>AP_CRONO_TER!Q11</f>
        <v>0.47291666666666665</v>
      </c>
      <c r="Q9" s="29">
        <f>AP_CRONO_TER!R11</f>
        <v>0.53861111111111115</v>
      </c>
    </row>
    <row r="10" spans="1:21" s="26" customFormat="1" x14ac:dyDescent="0.3">
      <c r="A10" s="26">
        <v>2</v>
      </c>
      <c r="B10" t="s">
        <v>28</v>
      </c>
      <c r="C10" s="36">
        <f>SUMIFS(ENCOMENDA!K:K,ENCOMENDA!A:A,B10,ENCOMENDA!L:L,D$1)</f>
        <v>2.8800000000000003</v>
      </c>
      <c r="D10" s="29">
        <f>AP_CRONO_TER!E12</f>
        <v>0.20416666666666669</v>
      </c>
      <c r="E10" s="29">
        <v>0.21875</v>
      </c>
      <c r="F10" s="29">
        <f>AP_CRONO_TER!G12</f>
        <v>0.2326388888888889</v>
      </c>
      <c r="G10" s="29">
        <f>AP_CRONO_TER!H12</f>
        <v>0.2326388888888889</v>
      </c>
      <c r="H10" s="29">
        <f>AP_CRONO_TER!I12</f>
        <v>0.2361111111111111</v>
      </c>
      <c r="I10" s="29">
        <f>AP_CRONO_TER!J12</f>
        <v>0.24444444444444444</v>
      </c>
      <c r="J10" s="29">
        <f>AP_CRONO_TER!K12</f>
        <v>0.25277777777777777</v>
      </c>
      <c r="K10" s="29">
        <f>AP_CRONO_TER!L12</f>
        <v>0.25624999999999998</v>
      </c>
      <c r="L10" s="29">
        <f>AP_CRONO_TER!M12</f>
        <v>0.28402777777777777</v>
      </c>
      <c r="M10" s="29">
        <f>AP_CRONO_TER!N12</f>
        <v>0.35</v>
      </c>
      <c r="N10" s="29">
        <f>AP_CRONO_TER!O12</f>
        <v>0.37430555555555556</v>
      </c>
      <c r="O10" s="29">
        <f>AP_CRONO_TER!P12</f>
        <v>0.44027777777777777</v>
      </c>
      <c r="P10" s="29">
        <f>AP_CRONO_TER!Q12</f>
        <v>0.47291666666666665</v>
      </c>
      <c r="Q10" s="29">
        <f>AP_CRONO_TER!R12</f>
        <v>0.53861111111111115</v>
      </c>
    </row>
    <row r="11" spans="1:21" s="26" customFormat="1" x14ac:dyDescent="0.3">
      <c r="A11" s="26">
        <v>2</v>
      </c>
      <c r="B11" t="s">
        <v>47</v>
      </c>
      <c r="C11" s="36">
        <f>SUMIFS(ENCOMENDA!K:K,ENCOMENDA!A:A,B11,ENCOMENDA!L:L,D$1)</f>
        <v>1.6800000000000002</v>
      </c>
      <c r="D11" s="29">
        <f>AP_CRONO_TER!E13</f>
        <v>0.20972222222222225</v>
      </c>
      <c r="E11" s="29">
        <v>0.21875</v>
      </c>
      <c r="F11" s="29">
        <f>AP_CRONO_TER!G13</f>
        <v>0.2326388888888889</v>
      </c>
      <c r="G11" s="29">
        <f>AP_CRONO_TER!H13</f>
        <v>0.2326388888888889</v>
      </c>
      <c r="H11" s="29">
        <f>AP_CRONO_TER!I13</f>
        <v>0.2361111111111111</v>
      </c>
      <c r="I11" s="29">
        <f>AP_CRONO_TER!J13</f>
        <v>0.24444444444444444</v>
      </c>
      <c r="J11" s="29">
        <f>AP_CRONO_TER!K13</f>
        <v>0.25277777777777777</v>
      </c>
      <c r="K11" s="29">
        <f>AP_CRONO_TER!L13</f>
        <v>0.25624999999999998</v>
      </c>
      <c r="L11" s="29">
        <f>AP_CRONO_TER!M13</f>
        <v>0.28402777777777777</v>
      </c>
      <c r="M11" s="29">
        <f>AP_CRONO_TER!N13</f>
        <v>0.35</v>
      </c>
      <c r="N11" s="29">
        <f>AP_CRONO_TER!O13</f>
        <v>0.37430555555555556</v>
      </c>
      <c r="O11" s="29">
        <f>AP_CRONO_TER!P13</f>
        <v>0.44027777777777777</v>
      </c>
      <c r="P11" s="29">
        <f>AP_CRONO_TER!Q13</f>
        <v>0.47291666666666665</v>
      </c>
      <c r="Q11" s="29">
        <f>AP_CRONO_TER!R13</f>
        <v>0.53861111111111115</v>
      </c>
    </row>
    <row r="12" spans="1:21" s="26" customFormat="1" x14ac:dyDescent="0.3">
      <c r="A12" s="26">
        <v>3</v>
      </c>
      <c r="B12" t="s">
        <v>48</v>
      </c>
      <c r="C12" s="36">
        <f>SUMIFS(ENCOMENDA!K:K,ENCOMENDA!A:A,B12,ENCOMENDA!L:L,D$1)</f>
        <v>3.4800000000000004</v>
      </c>
      <c r="D12" s="29">
        <f>AP_CRONO_TER!E14</f>
        <v>0.21527777777777782</v>
      </c>
      <c r="E12" s="29">
        <f t="shared" ref="E12:E20" si="0">E11+((15/60)/24)</f>
        <v>0.22916666666666666</v>
      </c>
      <c r="F12" s="29">
        <f>AP_CRONO_TER!G14</f>
        <v>0.24305555555555555</v>
      </c>
      <c r="G12" s="29">
        <f>AP_CRONO_TER!H14</f>
        <v>0.24305555555555555</v>
      </c>
      <c r="H12" s="29">
        <f>AP_CRONO_TER!I14</f>
        <v>0.24652777777777776</v>
      </c>
      <c r="I12" s="29">
        <f>AP_CRONO_TER!J14</f>
        <v>0.25486111111111109</v>
      </c>
      <c r="J12" s="29">
        <f>AP_CRONO_TER!K14</f>
        <v>0.26319444444444445</v>
      </c>
      <c r="K12" s="29">
        <f>AP_CRONO_TER!L14</f>
        <v>0.26666666666666666</v>
      </c>
      <c r="L12" s="29">
        <f>AP_CRONO_TER!M14</f>
        <v>0.29444444444444445</v>
      </c>
      <c r="M12" s="29">
        <f>AP_CRONO_TER!N14</f>
        <v>0.36041666666666666</v>
      </c>
      <c r="N12" s="29">
        <f>AP_CRONO_TER!O14</f>
        <v>0.38472222222222219</v>
      </c>
      <c r="O12" s="29">
        <f>AP_CRONO_TER!P14</f>
        <v>0.4506944444444444</v>
      </c>
      <c r="P12" s="29">
        <f>AP_CRONO_TER!Q14</f>
        <v>0.48333333333333328</v>
      </c>
      <c r="Q12" s="29">
        <f>AP_CRONO_TER!R14</f>
        <v>0.54902777777777767</v>
      </c>
    </row>
    <row r="13" spans="1:21" s="26" customFormat="1" x14ac:dyDescent="0.3">
      <c r="A13" s="26">
        <v>3</v>
      </c>
      <c r="B13" t="s">
        <v>51</v>
      </c>
      <c r="C13" s="36">
        <f>SUMIFS(ENCOMENDA!K:K,ENCOMENDA!A:A,B13,ENCOMENDA!L:L,D$1)</f>
        <v>16.8</v>
      </c>
      <c r="D13" s="29">
        <f>AP_CRONO_TER!E15</f>
        <v>0.22083333333333338</v>
      </c>
      <c r="E13" s="29">
        <f t="shared" si="0"/>
        <v>0.23958333333333331</v>
      </c>
      <c r="F13" s="29">
        <f>AP_CRONO_TER!G15</f>
        <v>0.25347222222222221</v>
      </c>
      <c r="G13" s="29">
        <f>AP_CRONO_TER!H15</f>
        <v>0.25347222222222221</v>
      </c>
      <c r="H13" s="29">
        <f>AP_CRONO_TER!I15</f>
        <v>0.25694444444444442</v>
      </c>
      <c r="I13" s="29">
        <f>AP_CRONO_TER!J15</f>
        <v>0.26527777777777778</v>
      </c>
      <c r="J13" s="29">
        <f>AP_CRONO_TER!K15</f>
        <v>0.27361111111111114</v>
      </c>
      <c r="K13" s="29">
        <f>AP_CRONO_TER!L15</f>
        <v>0.27708333333333335</v>
      </c>
      <c r="L13" s="29">
        <f>AP_CRONO_TER!M15</f>
        <v>0.30486111111111114</v>
      </c>
      <c r="M13" s="29">
        <f>AP_CRONO_TER!N15</f>
        <v>0.37083333333333335</v>
      </c>
      <c r="N13" s="29">
        <f>AP_CRONO_TER!O15</f>
        <v>0.39513888888888893</v>
      </c>
      <c r="O13" s="29">
        <f>AP_CRONO_TER!P15</f>
        <v>0.46111111111111114</v>
      </c>
      <c r="P13" s="29">
        <f>AP_CRONO_TER!Q15</f>
        <v>0.49375000000000002</v>
      </c>
      <c r="Q13" s="29">
        <f>AP_CRONO_TER!R15</f>
        <v>0.55944444444444441</v>
      </c>
    </row>
    <row r="14" spans="1:21" s="26" customFormat="1" x14ac:dyDescent="0.3">
      <c r="A14" s="26">
        <v>3</v>
      </c>
      <c r="B14" t="s">
        <v>30</v>
      </c>
      <c r="C14" s="36">
        <f>SUMIFS(ENCOMENDA!K:K,ENCOMENDA!A:A,B14,ENCOMENDA!L:L,D$1)</f>
        <v>2.13</v>
      </c>
      <c r="D14" s="29">
        <f>AP_CRONO_TER!E16</f>
        <v>0.22638888888888895</v>
      </c>
      <c r="E14" s="29">
        <f t="shared" si="0"/>
        <v>0.24999999999999997</v>
      </c>
      <c r="F14" s="29">
        <f>AP_CRONO_TER!G16</f>
        <v>0.26388888888888884</v>
      </c>
      <c r="G14" s="29">
        <f>AP_CRONO_TER!H16</f>
        <v>0.26388888888888884</v>
      </c>
      <c r="H14" s="29">
        <f>AP_CRONO_TER!I16</f>
        <v>0.26736111111111105</v>
      </c>
      <c r="I14" s="29">
        <f>AP_CRONO_TER!J16</f>
        <v>0.31249999999999994</v>
      </c>
      <c r="J14" s="29">
        <f>AP_CRONO_TER!K16</f>
        <v>0.33333333333333326</v>
      </c>
      <c r="K14" s="29">
        <f>AP_CRONO_TER!L16</f>
        <v>0.36458333333333326</v>
      </c>
      <c r="L14" s="29">
        <f>AP_CRONO_TER!M16</f>
        <v>0.38541666666666657</v>
      </c>
      <c r="M14" s="29">
        <f>AP_CRONO_TER!N16</f>
        <v>0.43055555555555547</v>
      </c>
      <c r="N14" s="29">
        <f>AP_CRONO_TER!O16</f>
        <v>0.46180555555555547</v>
      </c>
      <c r="O14" s="29">
        <f>AP_CRONO_TER!P16</f>
        <v>0.52777777777777768</v>
      </c>
      <c r="P14" s="29">
        <f>AP_CRONO_TER!Q16</f>
        <v>0.53124999999999989</v>
      </c>
      <c r="Q14" s="29">
        <f>AP_CRONO_TER!R16</f>
        <v>0.60416666666666652</v>
      </c>
    </row>
    <row r="15" spans="1:21" x14ac:dyDescent="0.3">
      <c r="A15" s="26">
        <v>4</v>
      </c>
      <c r="B15" t="s">
        <v>72</v>
      </c>
      <c r="C15" s="36">
        <f>SUMIFS(ENCOMENDA!K:K,ENCOMENDA!A:A,B15,ENCOMENDA!L:L,D$1)</f>
        <v>5.4</v>
      </c>
      <c r="D15" s="31">
        <f>AP_CRONO_TER!E17</f>
        <v>0.23194444444444451</v>
      </c>
      <c r="E15" s="29">
        <f t="shared" si="0"/>
        <v>0.26041666666666663</v>
      </c>
      <c r="F15" s="31">
        <f>AP_CRONO_TER!G17</f>
        <v>0.27430555555555552</v>
      </c>
      <c r="G15" s="31">
        <f>AP_CRONO_TER!H17</f>
        <v>0.27430555555555552</v>
      </c>
      <c r="H15" s="31">
        <f>AP_CRONO_TER!I17</f>
        <v>0.27777777777777773</v>
      </c>
      <c r="I15" s="31">
        <f>AP_CRONO_TER!J17</f>
        <v>0.32291666666666663</v>
      </c>
      <c r="J15" s="31">
        <f>AP_CRONO_TER!K17</f>
        <v>0.34374999999999994</v>
      </c>
      <c r="K15" s="31">
        <f>AP_CRONO_TER!L17</f>
        <v>0.37499999999999994</v>
      </c>
      <c r="L15" s="31">
        <f>AP_CRONO_TER!M17</f>
        <v>0.39583333333333326</v>
      </c>
      <c r="M15" s="31">
        <f>AP_CRONO_TER!N17</f>
        <v>0.44097222222222215</v>
      </c>
      <c r="N15" s="31">
        <f>AP_CRONO_TER!O17</f>
        <v>0.47222222222222215</v>
      </c>
      <c r="O15" s="31">
        <f>AP_CRONO_TER!P17</f>
        <v>0.53819444444444442</v>
      </c>
      <c r="P15" s="31">
        <f>AP_CRONO_TER!Q17</f>
        <v>0.54166666666666663</v>
      </c>
      <c r="Q15" s="31">
        <f>AP_CRONO_TER!R17</f>
        <v>0.61458333333333326</v>
      </c>
    </row>
    <row r="16" spans="1:21" x14ac:dyDescent="0.3">
      <c r="A16" s="26">
        <v>4</v>
      </c>
      <c r="B16" t="s">
        <v>36</v>
      </c>
      <c r="C16" s="36">
        <f>SUMIFS(ENCOMENDA!K:K,ENCOMENDA!A:A,B16,ENCOMENDA!L:L,D$1)</f>
        <v>0.78</v>
      </c>
      <c r="D16" s="31">
        <f>AP_CRONO_TER!E18</f>
        <v>0.23750000000000007</v>
      </c>
      <c r="E16" s="29">
        <f t="shared" si="0"/>
        <v>0.27083333333333331</v>
      </c>
      <c r="F16" s="31">
        <f>AP_CRONO_TER!G18</f>
        <v>0.28472222222222221</v>
      </c>
      <c r="G16" s="31">
        <f>AP_CRONO_TER!H18</f>
        <v>0.28472222222222221</v>
      </c>
      <c r="H16" s="31">
        <f>AP_CRONO_TER!I18</f>
        <v>0.28819444444444442</v>
      </c>
      <c r="I16" s="31">
        <f>AP_CRONO_TER!J18</f>
        <v>0.33333333333333331</v>
      </c>
      <c r="J16" s="31">
        <f>AP_CRONO_TER!K18</f>
        <v>0.35416666666666663</v>
      </c>
      <c r="K16" s="31">
        <f>AP_CRONO_TER!L18</f>
        <v>0.38541666666666663</v>
      </c>
      <c r="L16" s="31">
        <f>AP_CRONO_TER!M18</f>
        <v>0.40624999999999994</v>
      </c>
      <c r="M16" s="31">
        <f>AP_CRONO_TER!N18</f>
        <v>0.45138888888888884</v>
      </c>
      <c r="N16" s="31">
        <f>AP_CRONO_TER!O18</f>
        <v>0.48263888888888884</v>
      </c>
      <c r="O16" s="31">
        <f>AP_CRONO_TER!P18</f>
        <v>0.54861111111111105</v>
      </c>
      <c r="P16" s="31">
        <f>AP_CRONO_TER!Q18</f>
        <v>0.55208333333333326</v>
      </c>
      <c r="Q16" s="31">
        <f>AP_CRONO_TER!R18</f>
        <v>0.62499999999999989</v>
      </c>
    </row>
    <row r="17" spans="1:17" x14ac:dyDescent="0.3">
      <c r="A17" s="26">
        <v>4</v>
      </c>
      <c r="B17" t="s">
        <v>38</v>
      </c>
      <c r="C17" s="36">
        <f>SUMIFS(ENCOMENDA!K:K,ENCOMENDA!A:A,B17,ENCOMENDA!L:L,D$1)</f>
        <v>1.8</v>
      </c>
      <c r="D17" s="31">
        <f>AP_CRONO_TER!E19</f>
        <v>0.24305555555555564</v>
      </c>
      <c r="E17" s="29">
        <f t="shared" si="0"/>
        <v>0.28125</v>
      </c>
      <c r="F17" s="31">
        <f>AP_CRONO_TER!G19</f>
        <v>0.2951388888888889</v>
      </c>
      <c r="G17" s="31">
        <f>AP_CRONO_TER!H19</f>
        <v>0.2951388888888889</v>
      </c>
      <c r="H17" s="31">
        <f>AP_CRONO_TER!I19</f>
        <v>0.2986111111111111</v>
      </c>
      <c r="I17" s="31">
        <f>AP_CRONO_TER!J19</f>
        <v>0.30694444444444446</v>
      </c>
      <c r="J17" s="31">
        <f>AP_CRONO_TER!K19</f>
        <v>0.31527777777777782</v>
      </c>
      <c r="K17" s="31">
        <f>AP_CRONO_TER!L19</f>
        <v>0.31875000000000003</v>
      </c>
      <c r="L17" s="31">
        <f>AP_CRONO_TER!M19</f>
        <v>0.34652777777777782</v>
      </c>
      <c r="M17" s="31">
        <f>AP_CRONO_TER!N19</f>
        <v>0.41250000000000003</v>
      </c>
      <c r="N17" s="31">
        <f>AP_CRONO_TER!O19</f>
        <v>0.43680555555555556</v>
      </c>
      <c r="O17" s="31">
        <f>AP_CRONO_TER!P19</f>
        <v>0.50277777777777777</v>
      </c>
      <c r="P17" s="31">
        <f>AP_CRONO_TER!Q19</f>
        <v>0.53541666666666665</v>
      </c>
      <c r="Q17" s="31">
        <f>AP_CRONO_TER!R19</f>
        <v>0.60111111111111115</v>
      </c>
    </row>
    <row r="18" spans="1:17" x14ac:dyDescent="0.3">
      <c r="A18" s="26">
        <v>5</v>
      </c>
      <c r="B18" t="s">
        <v>34</v>
      </c>
      <c r="C18" s="36">
        <f>SUMIFS(ENCOMENDA!K:K,ENCOMENDA!A:A,B18,ENCOMENDA!L:L,D$1)</f>
        <v>3.6000000000000005</v>
      </c>
      <c r="D18" s="31">
        <f>AP_CRONO_TER!E20</f>
        <v>0.2486111111111112</v>
      </c>
      <c r="E18" s="29">
        <f t="shared" si="0"/>
        <v>0.29166666666666669</v>
      </c>
      <c r="F18" s="31">
        <f>AP_CRONO_TER!G20</f>
        <v>0.30555555555555558</v>
      </c>
      <c r="G18" s="31">
        <f>AP_CRONO_TER!H20</f>
        <v>0.30555555555555558</v>
      </c>
      <c r="H18" s="31">
        <f>AP_CRONO_TER!I20</f>
        <v>0.30902777777777779</v>
      </c>
      <c r="I18" s="31">
        <f>AP_CRONO_TER!J20</f>
        <v>0.31736111111111115</v>
      </c>
      <c r="J18" s="31">
        <f>AP_CRONO_TER!K20</f>
        <v>0.32569444444444451</v>
      </c>
      <c r="K18" s="31">
        <f>AP_CRONO_TER!L20</f>
        <v>0.32916666666666672</v>
      </c>
      <c r="L18" s="31">
        <f>AP_CRONO_TER!M20</f>
        <v>0.35694444444444451</v>
      </c>
      <c r="M18" s="31">
        <f>AP_CRONO_TER!N20</f>
        <v>0.42291666666666672</v>
      </c>
      <c r="N18" s="31">
        <f>AP_CRONO_TER!O20</f>
        <v>0.4472222222222223</v>
      </c>
      <c r="O18" s="31">
        <f>AP_CRONO_TER!P20</f>
        <v>0.51319444444444451</v>
      </c>
      <c r="P18" s="31">
        <f>AP_CRONO_TER!Q20</f>
        <v>0.54583333333333339</v>
      </c>
      <c r="Q18" s="31">
        <f>AP_CRONO_TER!R20</f>
        <v>0.61152777777777789</v>
      </c>
    </row>
    <row r="19" spans="1:17" x14ac:dyDescent="0.3">
      <c r="A19" s="26">
        <v>5</v>
      </c>
      <c r="B19" t="s">
        <v>65</v>
      </c>
      <c r="C19" s="36">
        <f>SUMIFS(ENCOMENDA!K:K,ENCOMENDA!A:A,B19,ENCOMENDA!L:L,D$1)</f>
        <v>1.44</v>
      </c>
      <c r="D19" s="31">
        <f>AP_CRONO_TER!E21</f>
        <v>0.25416666666666676</v>
      </c>
      <c r="E19" s="29">
        <f t="shared" si="0"/>
        <v>0.30208333333333337</v>
      </c>
      <c r="F19" s="31">
        <f>AP_CRONO_TER!G21</f>
        <v>0.31597222222222227</v>
      </c>
      <c r="G19" s="31">
        <f>AP_CRONO_TER!H21</f>
        <v>0.31597222222222227</v>
      </c>
      <c r="H19" s="31">
        <f>AP_CRONO_TER!I21</f>
        <v>0.31944444444444448</v>
      </c>
      <c r="I19" s="31">
        <f>AP_CRONO_TER!J21</f>
        <v>0.32777777777777783</v>
      </c>
      <c r="J19" s="31">
        <f>AP_CRONO_TER!K21</f>
        <v>0.33611111111111119</v>
      </c>
      <c r="K19" s="31">
        <f>AP_CRONO_TER!L21</f>
        <v>0.3395833333333334</v>
      </c>
      <c r="L19" s="31">
        <f>AP_CRONO_TER!M21</f>
        <v>0.36736111111111119</v>
      </c>
      <c r="M19" s="31">
        <f>AP_CRONO_TER!N21</f>
        <v>0.4333333333333334</v>
      </c>
      <c r="N19" s="31">
        <f>AP_CRONO_TER!O21</f>
        <v>0.45763888888888893</v>
      </c>
      <c r="O19" s="31">
        <f>AP_CRONO_TER!P21</f>
        <v>0.52361111111111114</v>
      </c>
      <c r="P19" s="31">
        <f>AP_CRONO_TER!Q21</f>
        <v>0.55625000000000002</v>
      </c>
      <c r="Q19" s="31">
        <f>AP_CRONO_TER!R21</f>
        <v>0.62194444444444441</v>
      </c>
    </row>
    <row r="20" spans="1:17" x14ac:dyDescent="0.3">
      <c r="A20" s="26">
        <v>5</v>
      </c>
      <c r="B20" t="s">
        <v>49</v>
      </c>
      <c r="C20" s="36">
        <f>SUMIFS(ENCOMENDA!K:K,ENCOMENDA!A:A,B20,ENCOMENDA!L:L,D$1)</f>
        <v>3.0000000000000004</v>
      </c>
      <c r="D20" s="31">
        <f>AP_CRONO_TER!E22</f>
        <v>0.2597222222222223</v>
      </c>
      <c r="E20" s="29">
        <f t="shared" si="0"/>
        <v>0.31250000000000006</v>
      </c>
      <c r="F20" s="31">
        <f>AP_CRONO_TER!G22</f>
        <v>0.32638888888888895</v>
      </c>
      <c r="G20" s="31">
        <f>AP_CRONO_TER!H22</f>
        <v>0.32638888888888895</v>
      </c>
      <c r="H20" s="31">
        <f>AP_CRONO_TER!I22</f>
        <v>0.32986111111111116</v>
      </c>
      <c r="I20" s="31">
        <f>AP_CRONO_TER!J22</f>
        <v>0.33819444444444452</v>
      </c>
      <c r="J20" s="31">
        <f>AP_CRONO_TER!K22</f>
        <v>0.34652777777777788</v>
      </c>
      <c r="K20" s="31">
        <f>AP_CRONO_TER!L22</f>
        <v>0.35000000000000009</v>
      </c>
      <c r="L20" s="31">
        <f>AP_CRONO_TER!M22</f>
        <v>0.37777777777777788</v>
      </c>
      <c r="M20" s="31">
        <f>AP_CRONO_TER!N22</f>
        <v>0.44375000000000009</v>
      </c>
      <c r="N20" s="31">
        <f>AP_CRONO_TER!O22</f>
        <v>0.46805555555555567</v>
      </c>
      <c r="O20" s="31">
        <f>AP_CRONO_TER!P22</f>
        <v>0.53402777777777788</v>
      </c>
      <c r="P20" s="31">
        <f>AP_CRONO_TER!Q22</f>
        <v>0.56666666666666676</v>
      </c>
      <c r="Q20" s="31">
        <f>AP_CRONO_TER!R22</f>
        <v>0.63236111111111115</v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0 F8:Q20">
    <cfRule type="cellIs" dxfId="15" priority="4" operator="lessThan">
      <formula>$T$8</formula>
    </cfRule>
  </conditionalFormatting>
  <conditionalFormatting sqref="D8:D20 F8:Q20">
    <cfRule type="cellIs" dxfId="14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E8:E20">
    <cfRule type="cellIs" dxfId="13" priority="1" operator="lessThan">
      <formula>$T$8</formula>
    </cfRule>
  </conditionalFormatting>
  <conditionalFormatting sqref="E8:E20">
    <cfRule type="cellIs" dxfId="12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24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A23" sqref="A23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x14ac:dyDescent="0.3">
      <c r="D1" s="37" t="s">
        <v>164</v>
      </c>
      <c r="M1" s="31"/>
      <c r="R1" s="1">
        <v>1.3888888888888888E-2</v>
      </c>
      <c r="S1" s="1">
        <v>6.9444444444444447E-4</v>
      </c>
    </row>
    <row r="3" spans="1:21" ht="28.8" x14ac:dyDescent="0.55000000000000004">
      <c r="F3" s="72" t="s">
        <v>166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32" t="str">
        <f>AP_CRONO_SEG!E9</f>
        <v>PESAGEM</v>
      </c>
      <c r="E7" s="71" t="str">
        <f>AP_CRONO_SEG!F9</f>
        <v>INC_BATIMENTO</v>
      </c>
      <c r="F7" s="71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25</v>
      </c>
      <c r="C8" s="36">
        <f>SUMIFS(ENCOMENDA!K:K,ENCOMENDA!A:A,B8,ENCOMENDA!L:L,D$1)</f>
        <v>16.72</v>
      </c>
      <c r="D8" s="29">
        <f>AP_CRONO_qua!E10</f>
        <v>0.19305555555555556</v>
      </c>
      <c r="E8" s="29">
        <v>0.20833333333333334</v>
      </c>
      <c r="F8" s="29">
        <f>AP_CRONO_qua!G10</f>
        <v>0.22222222222222224</v>
      </c>
      <c r="G8" s="29">
        <f>AP_CRONO_qua!H10</f>
        <v>0.22222222222222224</v>
      </c>
      <c r="H8" s="29">
        <f>AP_CRONO_qua!I10</f>
        <v>0.22569444444444445</v>
      </c>
      <c r="I8" s="29">
        <f>AP_CRONO_qua!J10</f>
        <v>0.23402777777777778</v>
      </c>
      <c r="J8" s="29">
        <f>AP_CRONO_qua!K10</f>
        <v>0.24236111111111111</v>
      </c>
      <c r="K8" s="29">
        <f>AP_CRONO_qua!L10</f>
        <v>0.24583333333333332</v>
      </c>
      <c r="L8" s="29">
        <f>AP_CRONO_qua!M10</f>
        <v>0.27361111111111108</v>
      </c>
      <c r="M8" s="29">
        <f>AP_CRONO_qua!N10</f>
        <v>0.33958333333333329</v>
      </c>
      <c r="N8" s="29">
        <f>AP_CRONO_qua!O10</f>
        <v>0.36388888888888882</v>
      </c>
      <c r="O8" s="29">
        <f>AP_CRONO_qua!P10</f>
        <v>0.42986111111111103</v>
      </c>
      <c r="P8" s="29">
        <f>AP_CRONO_qua!Q10</f>
        <v>0.46249999999999991</v>
      </c>
      <c r="Q8" s="29">
        <f>AP_CRONO_qua!R10</f>
        <v>0.52819444444444441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1</v>
      </c>
      <c r="B9" t="s">
        <v>28</v>
      </c>
      <c r="C9" s="36">
        <f>SUMIFS(ENCOMENDA!K:K,ENCOMENDA!A:A,B9,ENCOMENDA!L:L,D$1)</f>
        <v>10.079999999999998</v>
      </c>
      <c r="D9" s="29">
        <f>AP_CRONO_qua!E11</f>
        <v>0.19861111111111113</v>
      </c>
      <c r="E9" s="29">
        <f>E8+((15/60)/24)</f>
        <v>0.21875</v>
      </c>
      <c r="F9" s="29">
        <f>AP_CRONO_qua!G11</f>
        <v>0.2326388888888889</v>
      </c>
      <c r="G9" s="29">
        <f>AP_CRONO_qua!H11</f>
        <v>0.2326388888888889</v>
      </c>
      <c r="H9" s="29">
        <f>AP_CRONO_qua!I11</f>
        <v>0.2361111111111111</v>
      </c>
      <c r="I9" s="29">
        <f>AP_CRONO_qua!J11</f>
        <v>0.24444444444444444</v>
      </c>
      <c r="J9" s="29">
        <f>AP_CRONO_qua!K11</f>
        <v>0.25277777777777777</v>
      </c>
      <c r="K9" s="29">
        <f>AP_CRONO_qua!L11</f>
        <v>0.25624999999999998</v>
      </c>
      <c r="L9" s="29">
        <f>AP_CRONO_qua!M11</f>
        <v>0.28402777777777777</v>
      </c>
      <c r="M9" s="29">
        <f>AP_CRONO_qua!N11</f>
        <v>0.35</v>
      </c>
      <c r="N9" s="29">
        <f>AP_CRONO_qua!O11</f>
        <v>0.37430555555555556</v>
      </c>
      <c r="O9" s="29">
        <f>AP_CRONO_qua!P11</f>
        <v>0.44027777777777777</v>
      </c>
      <c r="P9" s="29">
        <f>AP_CRONO_qua!Q11</f>
        <v>0.47291666666666665</v>
      </c>
      <c r="Q9" s="29">
        <f>AP_CRONO_qua!R11</f>
        <v>0.53861111111111115</v>
      </c>
    </row>
    <row r="10" spans="1:21" s="26" customFormat="1" x14ac:dyDescent="0.3">
      <c r="A10" s="26">
        <v>1</v>
      </c>
      <c r="B10" t="s">
        <v>34</v>
      </c>
      <c r="C10" s="36">
        <f>SUMIFS(ENCOMENDA!K:K,ENCOMENDA!A:A,B10,ENCOMENDA!L:L,D$1)</f>
        <v>17.580000000000002</v>
      </c>
      <c r="D10" s="29">
        <f>AP_CRONO_qua!E12</f>
        <v>0.20416666666666669</v>
      </c>
      <c r="E10" s="29">
        <f t="shared" ref="E10:E22" si="0">E9+((15/60)/24)</f>
        <v>0.22916666666666666</v>
      </c>
      <c r="F10" s="29">
        <f>AP_CRONO_qua!G12</f>
        <v>0.24305555555555555</v>
      </c>
      <c r="G10" s="29">
        <f>AP_CRONO_qua!H12</f>
        <v>0.24305555555555555</v>
      </c>
      <c r="H10" s="29">
        <f>AP_CRONO_qua!I12</f>
        <v>0.24652777777777776</v>
      </c>
      <c r="I10" s="29">
        <f>AP_CRONO_qua!J12</f>
        <v>0.25486111111111109</v>
      </c>
      <c r="J10" s="29">
        <f>AP_CRONO_qua!K12</f>
        <v>0.26319444444444445</v>
      </c>
      <c r="K10" s="29">
        <f>AP_CRONO_qua!L12</f>
        <v>0.26666666666666666</v>
      </c>
      <c r="L10" s="29">
        <f>AP_CRONO_qua!M12</f>
        <v>0.29444444444444445</v>
      </c>
      <c r="M10" s="29">
        <f>AP_CRONO_qua!N12</f>
        <v>0.36041666666666666</v>
      </c>
      <c r="N10" s="29">
        <f>AP_CRONO_qua!O12</f>
        <v>0.38472222222222219</v>
      </c>
      <c r="O10" s="29">
        <f>AP_CRONO_qua!P12</f>
        <v>0.4506944444444444</v>
      </c>
      <c r="P10" s="29">
        <f>AP_CRONO_qua!Q12</f>
        <v>0.48333333333333328</v>
      </c>
      <c r="Q10" s="29">
        <f>AP_CRONO_qua!R12</f>
        <v>0.54902777777777767</v>
      </c>
    </row>
    <row r="11" spans="1:21" s="26" customFormat="1" x14ac:dyDescent="0.3">
      <c r="A11" s="26">
        <v>2</v>
      </c>
      <c r="B11" t="s">
        <v>27</v>
      </c>
      <c r="C11" s="36">
        <f>SUMIFS(ENCOMENDA!K:K,ENCOMENDA!A:A,B11,ENCOMENDA!L:L,D$1)</f>
        <v>36.720000000000006</v>
      </c>
      <c r="D11" s="29">
        <f>AP_CRONO_qua!E13</f>
        <v>0.20972222222222225</v>
      </c>
      <c r="E11" s="29">
        <f t="shared" si="0"/>
        <v>0.23958333333333331</v>
      </c>
      <c r="F11" s="29">
        <f>AP_CRONO_qua!G13</f>
        <v>0.25347222222222221</v>
      </c>
      <c r="G11" s="29">
        <f>AP_CRONO_qua!H13</f>
        <v>0.25347222222222221</v>
      </c>
      <c r="H11" s="29">
        <f>AP_CRONO_qua!I13</f>
        <v>0.25694444444444442</v>
      </c>
      <c r="I11" s="29">
        <f>AP_CRONO_qua!J13</f>
        <v>0.26527777777777778</v>
      </c>
      <c r="J11" s="29">
        <f>AP_CRONO_qua!K13</f>
        <v>0.27361111111111114</v>
      </c>
      <c r="K11" s="29">
        <f>AP_CRONO_qua!L13</f>
        <v>0.27708333333333335</v>
      </c>
      <c r="L11" s="29">
        <f>AP_CRONO_qua!M13</f>
        <v>0.30486111111111114</v>
      </c>
      <c r="M11" s="29">
        <f>AP_CRONO_qua!N13</f>
        <v>0.37083333333333335</v>
      </c>
      <c r="N11" s="29">
        <f>AP_CRONO_qua!O13</f>
        <v>0.39513888888888893</v>
      </c>
      <c r="O11" s="29">
        <f>AP_CRONO_qua!P13</f>
        <v>0.46111111111111114</v>
      </c>
      <c r="P11" s="29">
        <f>AP_CRONO_qua!Q13</f>
        <v>0.49375000000000002</v>
      </c>
      <c r="Q11" s="29">
        <f>AP_CRONO_qua!R13</f>
        <v>0.55944444444444441</v>
      </c>
    </row>
    <row r="12" spans="1:21" s="26" customFormat="1" x14ac:dyDescent="0.3">
      <c r="A12" s="26">
        <v>2</v>
      </c>
      <c r="B12" t="s">
        <v>44</v>
      </c>
      <c r="C12" s="36">
        <f>SUMIFS(ENCOMENDA!K:K,ENCOMENDA!A:A,B12,ENCOMENDA!L:L,D$1)</f>
        <v>5.94</v>
      </c>
      <c r="D12" s="29">
        <f>AP_CRONO_qua!E14</f>
        <v>0.21527777777777782</v>
      </c>
      <c r="E12" s="29">
        <f t="shared" si="0"/>
        <v>0.24999999999999997</v>
      </c>
      <c r="F12" s="29">
        <f>AP_CRONO_qua!G14</f>
        <v>0.26388888888888884</v>
      </c>
      <c r="G12" s="29">
        <f>AP_CRONO_qua!H14</f>
        <v>0.26388888888888884</v>
      </c>
      <c r="H12" s="29">
        <f>AP_CRONO_qua!I14</f>
        <v>0.26736111111111105</v>
      </c>
      <c r="I12" s="29">
        <f>AP_CRONO_qua!J14</f>
        <v>0.31249999999999994</v>
      </c>
      <c r="J12" s="29">
        <f>AP_CRONO_qua!K14</f>
        <v>0.33333333333333326</v>
      </c>
      <c r="K12" s="29">
        <f>AP_CRONO_qua!L14</f>
        <v>0.36458333333333326</v>
      </c>
      <c r="L12" s="29">
        <f>AP_CRONO_qua!M14</f>
        <v>0.38541666666666657</v>
      </c>
      <c r="M12" s="29">
        <f>AP_CRONO_qua!N14</f>
        <v>0.43055555555555547</v>
      </c>
      <c r="N12" s="29">
        <f>AP_CRONO_qua!O14</f>
        <v>0.46180555555555547</v>
      </c>
      <c r="O12" s="29">
        <f>AP_CRONO_qua!P14</f>
        <v>0.52777777777777768</v>
      </c>
      <c r="P12" s="29">
        <f>AP_CRONO_qua!Q14</f>
        <v>0.53124999999999989</v>
      </c>
      <c r="Q12" s="29">
        <f>AP_CRONO_qua!R14</f>
        <v>0.60416666666666652</v>
      </c>
    </row>
    <row r="13" spans="1:21" s="26" customFormat="1" x14ac:dyDescent="0.3">
      <c r="A13" s="26">
        <v>2</v>
      </c>
      <c r="B13" t="s">
        <v>80</v>
      </c>
      <c r="C13" s="36">
        <f>SUMIFS(ENCOMENDA!K:K,ENCOMENDA!A:A,B13,ENCOMENDA!L:L,D$1)</f>
        <v>4.2</v>
      </c>
      <c r="D13" s="29">
        <f>AP_CRONO_qua!E15</f>
        <v>0.22083333333333338</v>
      </c>
      <c r="E13" s="29">
        <f t="shared" si="0"/>
        <v>0.26041666666666663</v>
      </c>
      <c r="F13" s="29">
        <f>AP_CRONO_qua!G15</f>
        <v>0.27430555555555552</v>
      </c>
      <c r="G13" s="29">
        <f>AP_CRONO_qua!H15</f>
        <v>0.27430555555555552</v>
      </c>
      <c r="H13" s="29">
        <f>AP_CRONO_qua!I15</f>
        <v>0.27777777777777773</v>
      </c>
      <c r="I13" s="29">
        <f>AP_CRONO_qua!J15</f>
        <v>0.32291666666666663</v>
      </c>
      <c r="J13" s="29">
        <f>AP_CRONO_qua!K15</f>
        <v>0.34374999999999994</v>
      </c>
      <c r="K13" s="29">
        <f>AP_CRONO_qua!L15</f>
        <v>0.37499999999999994</v>
      </c>
      <c r="L13" s="29">
        <f>AP_CRONO_qua!M15</f>
        <v>0.39583333333333326</v>
      </c>
      <c r="M13" s="29">
        <f>AP_CRONO_qua!N15</f>
        <v>0.44097222222222215</v>
      </c>
      <c r="N13" s="29">
        <f>AP_CRONO_qua!O15</f>
        <v>0.47222222222222215</v>
      </c>
      <c r="O13" s="29">
        <f>AP_CRONO_qua!P15</f>
        <v>0.53819444444444442</v>
      </c>
      <c r="P13" s="29">
        <f>AP_CRONO_qua!Q15</f>
        <v>0.54166666666666663</v>
      </c>
      <c r="Q13" s="29">
        <f>AP_CRONO_qua!R15</f>
        <v>0.61458333333333326</v>
      </c>
    </row>
    <row r="14" spans="1:21" s="26" customFormat="1" x14ac:dyDescent="0.3">
      <c r="A14" s="26">
        <v>3</v>
      </c>
      <c r="B14" t="s">
        <v>63</v>
      </c>
      <c r="C14" s="36">
        <f>SUMIFS(ENCOMENDA!K:K,ENCOMENDA!A:A,B14,ENCOMENDA!L:L,D$1)</f>
        <v>3.3000000000000003</v>
      </c>
      <c r="D14" s="29">
        <f>AP_CRONO_qua!E16</f>
        <v>0.22638888888888895</v>
      </c>
      <c r="E14" s="29">
        <f t="shared" si="0"/>
        <v>0.27083333333333331</v>
      </c>
      <c r="F14" s="29">
        <f>AP_CRONO_qua!G16</f>
        <v>0.28472222222222221</v>
      </c>
      <c r="G14" s="29">
        <f>AP_CRONO_qua!H16</f>
        <v>0.28472222222222221</v>
      </c>
      <c r="H14" s="29">
        <f>AP_CRONO_qua!I16</f>
        <v>0.28819444444444442</v>
      </c>
      <c r="I14" s="29">
        <f>AP_CRONO_qua!J16</f>
        <v>0.33333333333333331</v>
      </c>
      <c r="J14" s="29">
        <f>AP_CRONO_qua!K16</f>
        <v>0.35416666666666663</v>
      </c>
      <c r="K14" s="29">
        <f>AP_CRONO_qua!L16</f>
        <v>0.38541666666666663</v>
      </c>
      <c r="L14" s="29">
        <f>AP_CRONO_qua!M16</f>
        <v>0.40624999999999994</v>
      </c>
      <c r="M14" s="29">
        <f>AP_CRONO_qua!N16</f>
        <v>0.45138888888888884</v>
      </c>
      <c r="N14" s="29">
        <f>AP_CRONO_qua!O16</f>
        <v>0.48263888888888884</v>
      </c>
      <c r="O14" s="29">
        <f>AP_CRONO_qua!P16</f>
        <v>0.54861111111111105</v>
      </c>
      <c r="P14" s="29">
        <f>AP_CRONO_qua!Q16</f>
        <v>0.55208333333333326</v>
      </c>
      <c r="Q14" s="29">
        <f>AP_CRONO_qua!R16</f>
        <v>0.62499999999999989</v>
      </c>
    </row>
    <row r="15" spans="1:21" x14ac:dyDescent="0.3">
      <c r="A15" s="26">
        <v>3</v>
      </c>
      <c r="B15" t="s">
        <v>72</v>
      </c>
      <c r="C15" s="36">
        <f>SUMIFS(ENCOMENDA!K:K,ENCOMENDA!A:A,B15,ENCOMENDA!L:L,D$1)</f>
        <v>4.2</v>
      </c>
      <c r="D15" s="31">
        <f>AP_CRONO_qua!E17</f>
        <v>0.23194444444444451</v>
      </c>
      <c r="E15" s="29">
        <f t="shared" si="0"/>
        <v>0.28125</v>
      </c>
      <c r="F15" s="31">
        <f>AP_CRONO_qua!G17</f>
        <v>0.2951388888888889</v>
      </c>
      <c r="G15" s="31">
        <f>AP_CRONO_qua!H17</f>
        <v>0.2951388888888889</v>
      </c>
      <c r="H15" s="31">
        <f>AP_CRONO_qua!I17</f>
        <v>0.2986111111111111</v>
      </c>
      <c r="I15" s="31">
        <f>AP_CRONO_qua!J17</f>
        <v>0.34375</v>
      </c>
      <c r="J15" s="31">
        <f>AP_CRONO_qua!K17</f>
        <v>0.36458333333333331</v>
      </c>
      <c r="K15" s="31">
        <f>AP_CRONO_qua!L17</f>
        <v>0.39583333333333331</v>
      </c>
      <c r="L15" s="31">
        <f>AP_CRONO_qua!M17</f>
        <v>0.41666666666666663</v>
      </c>
      <c r="M15" s="31">
        <f>AP_CRONO_qua!N17</f>
        <v>0.46180555555555552</v>
      </c>
      <c r="N15" s="31">
        <f>AP_CRONO_qua!O17</f>
        <v>0.49305555555555552</v>
      </c>
      <c r="O15" s="31">
        <f>AP_CRONO_qua!P17</f>
        <v>0.55902777777777779</v>
      </c>
      <c r="P15" s="31">
        <f>AP_CRONO_qua!Q17</f>
        <v>0.5625</v>
      </c>
      <c r="Q15" s="31">
        <f>AP_CRONO_qua!R17</f>
        <v>0.63541666666666663</v>
      </c>
    </row>
    <row r="16" spans="1:21" x14ac:dyDescent="0.3">
      <c r="A16" s="26">
        <v>3</v>
      </c>
      <c r="B16" t="s">
        <v>48</v>
      </c>
      <c r="C16" s="36">
        <f>SUMIFS(ENCOMENDA!K:K,ENCOMENDA!A:A,B16,ENCOMENDA!L:L,D$1)</f>
        <v>14.400000000000002</v>
      </c>
      <c r="D16" s="31">
        <f>AP_CRONO_qua!E18</f>
        <v>0.23750000000000007</v>
      </c>
      <c r="E16" s="29">
        <f t="shared" si="0"/>
        <v>0.29166666666666669</v>
      </c>
      <c r="F16" s="31">
        <f>AP_CRONO_qua!G18</f>
        <v>0.30555555555555558</v>
      </c>
      <c r="G16" s="31">
        <f>AP_CRONO_qua!H18</f>
        <v>0.30555555555555558</v>
      </c>
      <c r="H16" s="31">
        <f>AP_CRONO_qua!I18</f>
        <v>0.30902777777777779</v>
      </c>
      <c r="I16" s="31">
        <f>AP_CRONO_qua!J18</f>
        <v>0.31736111111111115</v>
      </c>
      <c r="J16" s="31">
        <f>AP_CRONO_qua!K18</f>
        <v>0.32569444444444451</v>
      </c>
      <c r="K16" s="31">
        <f>AP_CRONO_qua!L18</f>
        <v>0.32916666666666672</v>
      </c>
      <c r="L16" s="31">
        <f>AP_CRONO_qua!M18</f>
        <v>0.35694444444444451</v>
      </c>
      <c r="M16" s="31">
        <f>AP_CRONO_qua!N18</f>
        <v>0.42291666666666672</v>
      </c>
      <c r="N16" s="31">
        <f>AP_CRONO_qua!O18</f>
        <v>0.4472222222222223</v>
      </c>
      <c r="O16" s="31">
        <f>AP_CRONO_qua!P18</f>
        <v>0.51319444444444451</v>
      </c>
      <c r="P16" s="31">
        <f>AP_CRONO_qua!Q18</f>
        <v>0.54583333333333339</v>
      </c>
      <c r="Q16" s="31">
        <f>AP_CRONO_qua!R18</f>
        <v>0.61152777777777789</v>
      </c>
    </row>
    <row r="17" spans="1:17" x14ac:dyDescent="0.3">
      <c r="A17" s="26">
        <v>4</v>
      </c>
      <c r="B17" t="s">
        <v>74</v>
      </c>
      <c r="C17" s="36">
        <f>SUMIFS(ENCOMENDA!K:K,ENCOMENDA!A:A,B17,ENCOMENDA!L:L,D$1)</f>
        <v>0.60000000000000009</v>
      </c>
      <c r="D17" s="31">
        <f>AP_CRONO_qua!E19</f>
        <v>0.24305555555555564</v>
      </c>
      <c r="E17" s="29">
        <f t="shared" si="0"/>
        <v>0.30208333333333337</v>
      </c>
      <c r="F17" s="31">
        <f>AP_CRONO_qua!G19</f>
        <v>0.31597222222222227</v>
      </c>
      <c r="G17" s="31">
        <f>AP_CRONO_qua!H19</f>
        <v>0.31597222222222227</v>
      </c>
      <c r="H17" s="31">
        <f>AP_CRONO_qua!I19</f>
        <v>0.31944444444444448</v>
      </c>
      <c r="I17" s="31">
        <f>AP_CRONO_qua!J19</f>
        <v>0.32777777777777783</v>
      </c>
      <c r="J17" s="31">
        <f>AP_CRONO_qua!K19</f>
        <v>0.33611111111111119</v>
      </c>
      <c r="K17" s="31">
        <f>AP_CRONO_qua!L19</f>
        <v>0.3395833333333334</v>
      </c>
      <c r="L17" s="31">
        <f>AP_CRONO_qua!M19</f>
        <v>0.36736111111111119</v>
      </c>
      <c r="M17" s="31">
        <f>AP_CRONO_qua!N19</f>
        <v>0.4333333333333334</v>
      </c>
      <c r="N17" s="31">
        <f>AP_CRONO_qua!O19</f>
        <v>0.45763888888888893</v>
      </c>
      <c r="O17" s="31">
        <f>AP_CRONO_qua!P19</f>
        <v>0.52361111111111114</v>
      </c>
      <c r="P17" s="31">
        <f>AP_CRONO_qua!Q19</f>
        <v>0.55625000000000002</v>
      </c>
      <c r="Q17" s="31">
        <f>AP_CRONO_qua!R19</f>
        <v>0.62194444444444441</v>
      </c>
    </row>
    <row r="18" spans="1:17" x14ac:dyDescent="0.3">
      <c r="A18" s="26">
        <v>4</v>
      </c>
      <c r="B18" t="s">
        <v>75</v>
      </c>
      <c r="C18" s="36">
        <f>SUMIFS(ENCOMENDA!K:K,ENCOMENDA!A:A,B18,ENCOMENDA!L:L,D$1)</f>
        <v>0.60000000000000009</v>
      </c>
      <c r="D18" s="31">
        <f>AP_CRONO_qua!E20</f>
        <v>0.2486111111111112</v>
      </c>
      <c r="E18" s="29">
        <f t="shared" si="0"/>
        <v>0.31250000000000006</v>
      </c>
      <c r="F18" s="31">
        <f>AP_CRONO_qua!G20</f>
        <v>0.32638888888888895</v>
      </c>
      <c r="G18" s="31">
        <f>AP_CRONO_qua!H20</f>
        <v>0.32638888888888895</v>
      </c>
      <c r="H18" s="31">
        <f>AP_CRONO_qua!I20</f>
        <v>0.32986111111111116</v>
      </c>
      <c r="I18" s="31">
        <f>AP_CRONO_qua!J20</f>
        <v>0.33819444444444452</v>
      </c>
      <c r="J18" s="31">
        <f>AP_CRONO_qua!K20</f>
        <v>0.34652777777777788</v>
      </c>
      <c r="K18" s="31">
        <f>AP_CRONO_qua!L20</f>
        <v>0.35000000000000009</v>
      </c>
      <c r="L18" s="31">
        <f>AP_CRONO_qua!M20</f>
        <v>0.37777777777777788</v>
      </c>
      <c r="M18" s="31">
        <f>AP_CRONO_qua!N20</f>
        <v>0.44375000000000009</v>
      </c>
      <c r="N18" s="31">
        <f>AP_CRONO_qua!O20</f>
        <v>0.46805555555555567</v>
      </c>
      <c r="O18" s="31">
        <f>AP_CRONO_qua!P20</f>
        <v>0.53402777777777788</v>
      </c>
      <c r="P18" s="31">
        <f>AP_CRONO_qua!Q20</f>
        <v>0.56666666666666676</v>
      </c>
      <c r="Q18" s="31">
        <f>AP_CRONO_qua!R20</f>
        <v>0.63236111111111115</v>
      </c>
    </row>
    <row r="19" spans="1:17" x14ac:dyDescent="0.3">
      <c r="A19" s="26">
        <v>4</v>
      </c>
      <c r="B19" t="s">
        <v>76</v>
      </c>
      <c r="C19" s="36">
        <f>SUMIFS(ENCOMENDA!K:K,ENCOMENDA!A:A,B19,ENCOMENDA!L:L,D$1)</f>
        <v>0.60000000000000009</v>
      </c>
      <c r="D19" s="31">
        <f>AP_CRONO_qua!E21</f>
        <v>0.25416666666666676</v>
      </c>
      <c r="E19" s="29">
        <f t="shared" si="0"/>
        <v>0.32291666666666674</v>
      </c>
      <c r="F19" s="31">
        <f>AP_CRONO_qua!G21</f>
        <v>0.33680555555555564</v>
      </c>
      <c r="G19" s="31">
        <f>AP_CRONO_qua!H21</f>
        <v>0.33680555555555564</v>
      </c>
      <c r="H19" s="31">
        <f>AP_CRONO_qua!I21</f>
        <v>0.34027777777777785</v>
      </c>
      <c r="I19" s="31">
        <f>AP_CRONO_qua!J21</f>
        <v>0.3486111111111112</v>
      </c>
      <c r="J19" s="31">
        <f>AP_CRONO_qua!K21</f>
        <v>0.35694444444444456</v>
      </c>
      <c r="K19" s="31">
        <f>AP_CRONO_qua!L21</f>
        <v>0.36041666666666677</v>
      </c>
      <c r="L19" s="31">
        <f>AP_CRONO_qua!M21</f>
        <v>0.38819444444444456</v>
      </c>
      <c r="M19" s="31">
        <f>AP_CRONO_qua!N21</f>
        <v>0.45416666666666677</v>
      </c>
      <c r="N19" s="31">
        <f>AP_CRONO_qua!O21</f>
        <v>0.4784722222222223</v>
      </c>
      <c r="O19" s="31">
        <f>AP_CRONO_qua!P21</f>
        <v>0.54444444444444451</v>
      </c>
      <c r="P19" s="31">
        <f>AP_CRONO_qua!Q21</f>
        <v>0.57708333333333339</v>
      </c>
      <c r="Q19" s="31">
        <f>AP_CRONO_qua!R21</f>
        <v>0.64277777777777789</v>
      </c>
    </row>
    <row r="20" spans="1:17" x14ac:dyDescent="0.3">
      <c r="A20" s="26">
        <v>5</v>
      </c>
      <c r="B20" t="s">
        <v>49</v>
      </c>
      <c r="C20" s="36">
        <f>SUMIFS(ENCOMENDA!K:K,ENCOMENDA!A:A,B20,ENCOMENDA!L:L,D$1)</f>
        <v>30.000000000000004</v>
      </c>
      <c r="D20" s="31">
        <f>AP_CRONO_qua!E22</f>
        <v>0.2597222222222223</v>
      </c>
      <c r="E20" s="29">
        <f t="shared" si="0"/>
        <v>0.33333333333333343</v>
      </c>
      <c r="F20" s="31">
        <f>AP_CRONO_qua!G22</f>
        <v>0.34722222222222232</v>
      </c>
      <c r="G20" s="31">
        <f>AP_CRONO_qua!H22</f>
        <v>0.34722222222222232</v>
      </c>
      <c r="H20" s="31">
        <f>AP_CRONO_qua!I22</f>
        <v>0.35069444444444453</v>
      </c>
      <c r="I20" s="31">
        <f>AP_CRONO_qua!J22</f>
        <v>0.35902777777777789</v>
      </c>
      <c r="J20" s="31">
        <f>AP_CRONO_qua!K22</f>
        <v>0.36736111111111125</v>
      </c>
      <c r="K20" s="31">
        <f>AP_CRONO_qua!L22</f>
        <v>0.37083333333333346</v>
      </c>
      <c r="L20" s="31">
        <f>AP_CRONO_qua!M22</f>
        <v>0.39861111111111125</v>
      </c>
      <c r="M20" s="31">
        <f>AP_CRONO_qua!N22</f>
        <v>0.46458333333333346</v>
      </c>
      <c r="N20" s="31">
        <f>AP_CRONO_qua!O22</f>
        <v>0.48888888888888904</v>
      </c>
      <c r="O20" s="31">
        <f>AP_CRONO_qua!P22</f>
        <v>0.55486111111111125</v>
      </c>
      <c r="P20" s="31">
        <f>AP_CRONO_qua!Q22</f>
        <v>0.58750000000000013</v>
      </c>
      <c r="Q20" s="31">
        <f>AP_CRONO_qua!R22</f>
        <v>0.65319444444444463</v>
      </c>
    </row>
    <row r="21" spans="1:17" x14ac:dyDescent="0.3">
      <c r="A21" s="26">
        <v>5</v>
      </c>
      <c r="B21" t="s">
        <v>52</v>
      </c>
      <c r="C21" s="36">
        <f>SUMIFS(ENCOMENDA!K:K,ENCOMENDA!A:A,B21,ENCOMENDA!L:L,D$1)</f>
        <v>4.8000000000000007</v>
      </c>
      <c r="D21" s="31">
        <f>AP_CRONO_qua!E23</f>
        <v>0.26527777777777783</v>
      </c>
      <c r="E21" s="29">
        <f t="shared" si="0"/>
        <v>0.34375000000000011</v>
      </c>
      <c r="F21" s="31">
        <f>AP_CRONO_qua!G23</f>
        <v>0.35763888888888901</v>
      </c>
      <c r="G21" s="31">
        <f>AP_CRONO_qua!H23</f>
        <v>0.35763888888888901</v>
      </c>
      <c r="H21" s="31">
        <f>AP_CRONO_qua!I23</f>
        <v>0.36111111111111122</v>
      </c>
      <c r="I21" s="31">
        <f>AP_CRONO_qua!J23</f>
        <v>0.36944444444444458</v>
      </c>
      <c r="J21" s="31">
        <f>AP_CRONO_qua!K23</f>
        <v>0.37777777777777793</v>
      </c>
      <c r="K21" s="31">
        <f>AP_CRONO_qua!L23</f>
        <v>0.38125000000000014</v>
      </c>
      <c r="L21" s="31">
        <f>AP_CRONO_qua!M23</f>
        <v>0.40902777777777793</v>
      </c>
      <c r="M21" s="31">
        <f>AP_CRONO_qua!N23</f>
        <v>0.47500000000000014</v>
      </c>
      <c r="N21" s="31">
        <f>AP_CRONO_qua!O23</f>
        <v>0.49930555555555567</v>
      </c>
      <c r="O21" s="31">
        <f>AP_CRONO_qua!P23</f>
        <v>0.56527777777777788</v>
      </c>
      <c r="P21" s="31">
        <f>AP_CRONO_qua!Q23</f>
        <v>0.59791666666666676</v>
      </c>
      <c r="Q21" s="31">
        <f>AP_CRONO_qua!R23</f>
        <v>0.66361111111111115</v>
      </c>
    </row>
    <row r="22" spans="1:17" x14ac:dyDescent="0.3">
      <c r="A22" s="26">
        <v>5</v>
      </c>
      <c r="B22" t="s">
        <v>51</v>
      </c>
      <c r="C22" s="36">
        <f>SUMIFS(ENCOMENDA!K:K,ENCOMENDA!A:A,B22,ENCOMENDA!L:L,D$1)</f>
        <v>1.3499999999999999</v>
      </c>
      <c r="D22" s="31">
        <f>AP_CRONO_qua!E24</f>
        <v>0.27083333333333337</v>
      </c>
      <c r="E22" s="29">
        <f t="shared" si="0"/>
        <v>0.3541666666666668</v>
      </c>
      <c r="F22" s="31">
        <f>AP_CRONO_qua!G24</f>
        <v>0.36805555555555569</v>
      </c>
      <c r="G22" s="31">
        <f>AP_CRONO_qua!H24</f>
        <v>0.36805555555555569</v>
      </c>
      <c r="H22" s="31">
        <f>AP_CRONO_qua!I24</f>
        <v>0.3715277777777779</v>
      </c>
      <c r="I22" s="31">
        <f>AP_CRONO_qua!J24</f>
        <v>0.37986111111111126</v>
      </c>
      <c r="J22" s="31">
        <f>AP_CRONO_qua!K24</f>
        <v>0.38819444444444462</v>
      </c>
      <c r="K22" s="31">
        <f>AP_CRONO_qua!L24</f>
        <v>0.39166666666666683</v>
      </c>
      <c r="L22" s="31">
        <f>AP_CRONO_qua!M24</f>
        <v>0.41944444444444462</v>
      </c>
      <c r="M22" s="31">
        <f>AP_CRONO_qua!N24</f>
        <v>0.48541666666666683</v>
      </c>
      <c r="N22" s="31">
        <f>AP_CRONO_qua!O24</f>
        <v>0.50972222222222241</v>
      </c>
      <c r="O22" s="31">
        <f>AP_CRONO_qua!P24</f>
        <v>0.57569444444444462</v>
      </c>
      <c r="P22" s="31">
        <f>AP_CRONO_qua!Q24</f>
        <v>0.6083333333333335</v>
      </c>
      <c r="Q22" s="31">
        <f>AP_CRONO_qua!R24</f>
        <v>0.67402777777777789</v>
      </c>
    </row>
    <row r="23" spans="1:17" x14ac:dyDescent="0.3">
      <c r="C23" s="36">
        <f>SUMIFS(ENCOMENDA!K:K,ENCOMENDA!A:A,B23,ENCOMENDA!L:L,D$1)</f>
        <v>0</v>
      </c>
      <c r="D23" s="31" t="str">
        <f>AP_CRONO_qua!E25</f>
        <v/>
      </c>
      <c r="E23" s="29"/>
      <c r="F23" s="31" t="str">
        <f>AP_CRONO_qua!G25</f>
        <v/>
      </c>
      <c r="G23" s="31" t="str">
        <f>AP_CRONO_qua!H25</f>
        <v/>
      </c>
      <c r="H23" s="31" t="str">
        <f>AP_CRONO_qua!I25</f>
        <v/>
      </c>
      <c r="I23" s="31" t="str">
        <f>AP_CRONO_qua!J25</f>
        <v/>
      </c>
      <c r="J23" s="31" t="str">
        <f>AP_CRONO_qua!K25</f>
        <v/>
      </c>
      <c r="K23" s="31" t="str">
        <f>AP_CRONO_qua!L25</f>
        <v/>
      </c>
      <c r="L23" s="31" t="str">
        <f>AP_CRONO_qua!M25</f>
        <v/>
      </c>
      <c r="M23" s="31" t="str">
        <f>AP_CRONO_qua!N25</f>
        <v/>
      </c>
      <c r="N23" s="31" t="str">
        <f>AP_CRONO_qua!O25</f>
        <v/>
      </c>
      <c r="O23" s="31" t="str">
        <f>AP_CRONO_qua!P25</f>
        <v/>
      </c>
      <c r="P23" s="31" t="str">
        <f>AP_CRONO_qua!Q25</f>
        <v/>
      </c>
      <c r="Q23" s="31" t="str">
        <f>AP_CRONO_qua!R25</f>
        <v/>
      </c>
    </row>
    <row r="24" spans="1:17" x14ac:dyDescent="0.3">
      <c r="C24" s="36">
        <f>SUMIFS(ENCOMENDA!K:K,ENCOMENDA!A:A,B24,ENCOMENDA!L:L,D$1)</f>
        <v>0</v>
      </c>
      <c r="D24" s="31" t="str">
        <f>AP_CRONO_qua!E26</f>
        <v/>
      </c>
      <c r="E24" s="29"/>
      <c r="F24" s="31" t="str">
        <f>AP_CRONO_qua!G26</f>
        <v/>
      </c>
      <c r="G24" s="31" t="str">
        <f>AP_CRONO_qua!H26</f>
        <v/>
      </c>
      <c r="H24" s="31" t="str">
        <f>AP_CRONO_qua!I26</f>
        <v/>
      </c>
      <c r="I24" s="31" t="str">
        <f>AP_CRONO_qua!J26</f>
        <v/>
      </c>
      <c r="J24" s="31" t="str">
        <f>AP_CRONO_qua!K26</f>
        <v/>
      </c>
      <c r="K24" s="31" t="str">
        <f>AP_CRONO_qua!L26</f>
        <v/>
      </c>
      <c r="L24" s="31" t="str">
        <f>AP_CRONO_qua!M26</f>
        <v/>
      </c>
      <c r="M24" s="31" t="str">
        <f>AP_CRONO_qua!N26</f>
        <v/>
      </c>
      <c r="N24" s="31" t="str">
        <f>AP_CRONO_qua!O26</f>
        <v/>
      </c>
      <c r="O24" s="31" t="str">
        <f>AP_CRONO_qua!P26</f>
        <v/>
      </c>
      <c r="P24" s="31" t="str">
        <f>AP_CRONO_qua!Q26</f>
        <v/>
      </c>
      <c r="Q24" s="31" t="str">
        <f>AP_CRONO_qua!R26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4 F8:Q24">
    <cfRule type="cellIs" dxfId="11" priority="4" operator="lessThan">
      <formula>$T$8</formula>
    </cfRule>
  </conditionalFormatting>
  <conditionalFormatting sqref="D8:D24 F8:Q24">
    <cfRule type="cellIs" dxfId="10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E8:E24">
    <cfRule type="cellIs" dxfId="9" priority="1" operator="lessThan">
      <formula>$T$8</formula>
    </cfRule>
  </conditionalFormatting>
  <conditionalFormatting sqref="E8:E24">
    <cfRule type="cellIs" dxfId="8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20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A20" sqref="A20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165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2" t="s">
        <v>159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32" t="str">
        <f>AP_CRONO_SEG!E9</f>
        <v>PESAGEM</v>
      </c>
      <c r="E7" s="71" t="str">
        <f>AP_CRONO_SEG!F9</f>
        <v>INC_BATIMENTO</v>
      </c>
      <c r="F7" s="71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25</v>
      </c>
      <c r="C8" s="36">
        <f>SUMIFS(ENCOMENDA!K:K,ENCOMENDA!A:A,B8,ENCOMENDA!L:L,D$1)</f>
        <v>16.120000000000005</v>
      </c>
      <c r="D8" s="29">
        <f>AP_CRONO_Qui!E10</f>
        <v>0.19305555555555556</v>
      </c>
      <c r="E8" s="29">
        <v>0.20833333333333334</v>
      </c>
      <c r="F8" s="29">
        <f>AP_CRONO_Qui!G10</f>
        <v>0.22222222222222224</v>
      </c>
      <c r="G8" s="29">
        <f>AP_CRONO_Qui!H10</f>
        <v>0.22222222222222224</v>
      </c>
      <c r="H8" s="29">
        <f>AP_CRONO_Qui!I10</f>
        <v>0.22569444444444445</v>
      </c>
      <c r="I8" s="29">
        <f>AP_CRONO_Qui!J10</f>
        <v>0.23402777777777778</v>
      </c>
      <c r="J8" s="29">
        <f>AP_CRONO_Qui!K10</f>
        <v>0.24236111111111111</v>
      </c>
      <c r="K8" s="29">
        <f>AP_CRONO_Qui!L10</f>
        <v>0.24583333333333332</v>
      </c>
      <c r="L8" s="29">
        <f>AP_CRONO_Qui!M10</f>
        <v>0.27361111111111108</v>
      </c>
      <c r="M8" s="29">
        <f>AP_CRONO_Qui!N10</f>
        <v>0.33958333333333329</v>
      </c>
      <c r="N8" s="29">
        <f>AP_CRONO_Qui!O10</f>
        <v>0.36388888888888882</v>
      </c>
      <c r="O8" s="29">
        <f>AP_CRONO_Qui!P10</f>
        <v>0.42986111111111103</v>
      </c>
      <c r="P8" s="29">
        <f>AP_CRONO_Qui!Q10</f>
        <v>0.46249999999999991</v>
      </c>
      <c r="Q8" s="29">
        <f>AP_CRONO_Qui!R10</f>
        <v>0.52819444444444441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2</v>
      </c>
      <c r="B9" t="s">
        <v>27</v>
      </c>
      <c r="C9" s="36">
        <v>45</v>
      </c>
      <c r="D9" s="29">
        <f>AP_CRONO_Qui!E11</f>
        <v>0.19861111111111113</v>
      </c>
      <c r="E9" s="29">
        <f>E8+((15/60)/24)</f>
        <v>0.21875</v>
      </c>
      <c r="F9" s="29">
        <f>AP_CRONO_Qui!G11</f>
        <v>0.2326388888888889</v>
      </c>
      <c r="G9" s="29">
        <f>AP_CRONO_Qui!H11</f>
        <v>0.2326388888888889</v>
      </c>
      <c r="H9" s="29">
        <f>AP_CRONO_Qui!I11</f>
        <v>0.2361111111111111</v>
      </c>
      <c r="I9" s="29">
        <f>AP_CRONO_Qui!J11</f>
        <v>0.24444444444444444</v>
      </c>
      <c r="J9" s="29">
        <f>AP_CRONO_Qui!K11</f>
        <v>0.25277777777777777</v>
      </c>
      <c r="K9" s="29">
        <f>AP_CRONO_Qui!L11</f>
        <v>0.25624999999999998</v>
      </c>
      <c r="L9" s="29">
        <f>AP_CRONO_Qui!M11</f>
        <v>0.28402777777777777</v>
      </c>
      <c r="M9" s="29">
        <f>AP_CRONO_Qui!N11</f>
        <v>0.35</v>
      </c>
      <c r="N9" s="29">
        <f>AP_CRONO_Qui!O11</f>
        <v>0.37430555555555556</v>
      </c>
      <c r="O9" s="29">
        <f>AP_CRONO_Qui!P11</f>
        <v>0.44027777777777777</v>
      </c>
      <c r="P9" s="29">
        <f>AP_CRONO_Qui!Q11</f>
        <v>0.47291666666666665</v>
      </c>
      <c r="Q9" s="29">
        <f>AP_CRONO_Qui!R11</f>
        <v>0.53861111111111115</v>
      </c>
    </row>
    <row r="10" spans="1:21" s="26" customFormat="1" x14ac:dyDescent="0.3">
      <c r="A10" s="26">
        <v>3</v>
      </c>
      <c r="B10" t="s">
        <v>27</v>
      </c>
      <c r="C10" s="36">
        <v>45</v>
      </c>
      <c r="D10" s="29">
        <f>AP_CRONO_Qui!E12</f>
        <v>0.20416666666666669</v>
      </c>
      <c r="E10" s="29">
        <f t="shared" ref="E10:E18" si="0">E9+((15/60)/24)</f>
        <v>0.22916666666666666</v>
      </c>
      <c r="F10" s="29">
        <f>AP_CRONO_Qui!G12</f>
        <v>0.24305555555555555</v>
      </c>
      <c r="G10" s="29">
        <f>AP_CRONO_Qui!H12</f>
        <v>0.24305555555555555</v>
      </c>
      <c r="H10" s="29">
        <f>AP_CRONO_Qui!I12</f>
        <v>0.24652777777777776</v>
      </c>
      <c r="I10" s="29">
        <f>AP_CRONO_Qui!J12</f>
        <v>0.25486111111111109</v>
      </c>
      <c r="J10" s="29">
        <f>AP_CRONO_Qui!K12</f>
        <v>0.26319444444444445</v>
      </c>
      <c r="K10" s="29">
        <f>AP_CRONO_Qui!L12</f>
        <v>0.26666666666666666</v>
      </c>
      <c r="L10" s="29">
        <f>AP_CRONO_Qui!M12</f>
        <v>0.29444444444444445</v>
      </c>
      <c r="M10" s="29">
        <f>AP_CRONO_Qui!N12</f>
        <v>0.36041666666666666</v>
      </c>
      <c r="N10" s="29">
        <f>AP_CRONO_Qui!O12</f>
        <v>0.38472222222222219</v>
      </c>
      <c r="O10" s="29">
        <f>AP_CRONO_Qui!P12</f>
        <v>0.4506944444444444</v>
      </c>
      <c r="P10" s="29">
        <f>AP_CRONO_Qui!Q12</f>
        <v>0.48333333333333328</v>
      </c>
      <c r="Q10" s="29">
        <f>AP_CRONO_Qui!R12</f>
        <v>0.54902777777777767</v>
      </c>
    </row>
    <row r="11" spans="1:21" s="26" customFormat="1" x14ac:dyDescent="0.3">
      <c r="A11" s="26">
        <v>4</v>
      </c>
      <c r="B11" t="s">
        <v>28</v>
      </c>
      <c r="C11" s="36">
        <f>SUMIFS(ENCOMENDA!K:K,ENCOMENDA!A:A,B11,ENCOMENDA!L:L,D$1)</f>
        <v>1.2000000000000002</v>
      </c>
      <c r="D11" s="29">
        <f>AP_CRONO_Qui!E13</f>
        <v>0.20972222222222225</v>
      </c>
      <c r="E11" s="29">
        <f t="shared" si="0"/>
        <v>0.23958333333333331</v>
      </c>
      <c r="F11" s="29">
        <f>AP_CRONO_Qui!G13</f>
        <v>0.25347222222222221</v>
      </c>
      <c r="G11" s="29">
        <f>AP_CRONO_Qui!H13</f>
        <v>0.25347222222222221</v>
      </c>
      <c r="H11" s="29">
        <f>AP_CRONO_Qui!I13</f>
        <v>0.25694444444444442</v>
      </c>
      <c r="I11" s="29">
        <f>AP_CRONO_Qui!J13</f>
        <v>0.26527777777777778</v>
      </c>
      <c r="J11" s="29">
        <f>AP_CRONO_Qui!K13</f>
        <v>0.27361111111111114</v>
      </c>
      <c r="K11" s="29">
        <f>AP_CRONO_Qui!L13</f>
        <v>0.27708333333333335</v>
      </c>
      <c r="L11" s="29">
        <f>AP_CRONO_Qui!M13</f>
        <v>0.30486111111111114</v>
      </c>
      <c r="M11" s="29">
        <f>AP_CRONO_Qui!N13</f>
        <v>0.37083333333333335</v>
      </c>
      <c r="N11" s="29">
        <f>AP_CRONO_Qui!O13</f>
        <v>0.39513888888888893</v>
      </c>
      <c r="O11" s="29">
        <f>AP_CRONO_Qui!P13</f>
        <v>0.46111111111111114</v>
      </c>
      <c r="P11" s="29">
        <f>AP_CRONO_Qui!Q13</f>
        <v>0.49375000000000002</v>
      </c>
      <c r="Q11" s="29">
        <f>AP_CRONO_Qui!R13</f>
        <v>0.55944444444444441</v>
      </c>
    </row>
    <row r="12" spans="1:21" s="26" customFormat="1" x14ac:dyDescent="0.3">
      <c r="A12" s="26">
        <v>4</v>
      </c>
      <c r="B12" t="s">
        <v>66</v>
      </c>
      <c r="C12" s="36">
        <f>SUMIFS(ENCOMENDA!K:K,ENCOMENDA!A:A,B12,ENCOMENDA!L:L,D$1)</f>
        <v>1.3499999999999999</v>
      </c>
      <c r="D12" s="29">
        <f>AP_CRONO_Qui!E14</f>
        <v>0.21527777777777782</v>
      </c>
      <c r="E12" s="29">
        <f t="shared" si="0"/>
        <v>0.24999999999999997</v>
      </c>
      <c r="F12" s="29">
        <f>AP_CRONO_Qui!G14</f>
        <v>0.26388888888888884</v>
      </c>
      <c r="G12" s="29">
        <f>AP_CRONO_Qui!H14</f>
        <v>0.26388888888888884</v>
      </c>
      <c r="H12" s="29">
        <f>AP_CRONO_Qui!I14</f>
        <v>0.26736111111111105</v>
      </c>
      <c r="I12" s="29">
        <f>AP_CRONO_Qui!J14</f>
        <v>0.27569444444444441</v>
      </c>
      <c r="J12" s="29">
        <f>AP_CRONO_Qui!K14</f>
        <v>0.28402777777777777</v>
      </c>
      <c r="K12" s="29">
        <f>AP_CRONO_Qui!L14</f>
        <v>0.28749999999999998</v>
      </c>
      <c r="L12" s="29">
        <f>AP_CRONO_Qui!M14</f>
        <v>0.31527777777777777</v>
      </c>
      <c r="M12" s="29">
        <f>AP_CRONO_Qui!N14</f>
        <v>0.38124999999999998</v>
      </c>
      <c r="N12" s="29">
        <f>AP_CRONO_Qui!O14</f>
        <v>0.40555555555555556</v>
      </c>
      <c r="O12" s="29">
        <f>AP_CRONO_Qui!P14</f>
        <v>0.47152777777777777</v>
      </c>
      <c r="P12" s="29">
        <f>AP_CRONO_Qui!Q14</f>
        <v>0.50416666666666665</v>
      </c>
      <c r="Q12" s="29">
        <f>AP_CRONO_Qui!R14</f>
        <v>0.56986111111111115</v>
      </c>
    </row>
    <row r="13" spans="1:21" s="26" customFormat="1" x14ac:dyDescent="0.3">
      <c r="A13" s="26">
        <v>4</v>
      </c>
      <c r="B13" t="s">
        <v>38</v>
      </c>
      <c r="C13" s="36">
        <f>SUMIFS(ENCOMENDA!K:K,ENCOMENDA!A:A,B13,ENCOMENDA!L:L,D$1)</f>
        <v>7.6500000000000012</v>
      </c>
      <c r="D13" s="29">
        <f>AP_CRONO_Qui!E15</f>
        <v>0.22083333333333338</v>
      </c>
      <c r="E13" s="29">
        <f t="shared" si="0"/>
        <v>0.26041666666666663</v>
      </c>
      <c r="F13" s="29">
        <f>AP_CRONO_Qui!G15</f>
        <v>0.27430555555555552</v>
      </c>
      <c r="G13" s="29">
        <f>AP_CRONO_Qui!H15</f>
        <v>0.27430555555555552</v>
      </c>
      <c r="H13" s="29">
        <f>AP_CRONO_Qui!I15</f>
        <v>0.27777777777777773</v>
      </c>
      <c r="I13" s="29">
        <f>AP_CRONO_Qui!J15</f>
        <v>0.28611111111111109</v>
      </c>
      <c r="J13" s="29">
        <f>AP_CRONO_Qui!K15</f>
        <v>0.29444444444444445</v>
      </c>
      <c r="K13" s="29">
        <f>AP_CRONO_Qui!L15</f>
        <v>0.29791666666666666</v>
      </c>
      <c r="L13" s="29">
        <f>AP_CRONO_Qui!M15</f>
        <v>0.32569444444444445</v>
      </c>
      <c r="M13" s="29">
        <f>AP_CRONO_Qui!N15</f>
        <v>0.39166666666666666</v>
      </c>
      <c r="N13" s="29">
        <f>AP_CRONO_Qui!O15</f>
        <v>0.41597222222222219</v>
      </c>
      <c r="O13" s="29">
        <f>AP_CRONO_Qui!P15</f>
        <v>0.4819444444444444</v>
      </c>
      <c r="P13" s="29">
        <f>AP_CRONO_Qui!Q15</f>
        <v>0.51458333333333328</v>
      </c>
      <c r="Q13" s="29">
        <f>AP_CRONO_Qui!R15</f>
        <v>0.58027777777777767</v>
      </c>
    </row>
    <row r="14" spans="1:21" s="26" customFormat="1" x14ac:dyDescent="0.3">
      <c r="A14" s="26">
        <v>5</v>
      </c>
      <c r="B14" t="s">
        <v>34</v>
      </c>
      <c r="C14" s="36">
        <f>SUMIFS(ENCOMENDA!K:K,ENCOMENDA!A:A,B14,ENCOMENDA!L:L,D$1)</f>
        <v>12.240000000000002</v>
      </c>
      <c r="D14" s="29">
        <f>AP_CRONO_Qui!E16</f>
        <v>0.22638888888888895</v>
      </c>
      <c r="E14" s="29">
        <f t="shared" si="0"/>
        <v>0.27083333333333331</v>
      </c>
      <c r="F14" s="29">
        <f>AP_CRONO_Qui!G16</f>
        <v>0.28472222222222221</v>
      </c>
      <c r="G14" s="29">
        <f>AP_CRONO_Qui!H16</f>
        <v>0.28472222222222221</v>
      </c>
      <c r="H14" s="29">
        <f>AP_CRONO_Qui!I16</f>
        <v>0.28819444444444442</v>
      </c>
      <c r="I14" s="29">
        <f>AP_CRONO_Qui!J16</f>
        <v>0.29652777777777778</v>
      </c>
      <c r="J14" s="29">
        <f>AP_CRONO_Qui!K16</f>
        <v>0.30486111111111114</v>
      </c>
      <c r="K14" s="29">
        <f>AP_CRONO_Qui!L16</f>
        <v>0.30833333333333335</v>
      </c>
      <c r="L14" s="29">
        <f>AP_CRONO_Qui!M16</f>
        <v>0.33611111111111114</v>
      </c>
      <c r="M14" s="29">
        <f>AP_CRONO_Qui!N16</f>
        <v>0.40208333333333335</v>
      </c>
      <c r="N14" s="29">
        <f>AP_CRONO_Qui!O16</f>
        <v>0.42638888888888893</v>
      </c>
      <c r="O14" s="29">
        <f>AP_CRONO_Qui!P16</f>
        <v>0.49236111111111114</v>
      </c>
      <c r="P14" s="29">
        <f>AP_CRONO_Qui!Q16</f>
        <v>0.52500000000000002</v>
      </c>
      <c r="Q14" s="29">
        <f>AP_CRONO_Qui!R16</f>
        <v>0.59069444444444441</v>
      </c>
    </row>
    <row r="15" spans="1:21" x14ac:dyDescent="0.3">
      <c r="A15" s="26">
        <v>5</v>
      </c>
      <c r="B15" t="s">
        <v>65</v>
      </c>
      <c r="C15" s="36">
        <f>SUMIFS(ENCOMENDA!K:K,ENCOMENDA!A:A,B15,ENCOMENDA!L:L,D$1)</f>
        <v>2.4</v>
      </c>
      <c r="D15" s="31">
        <f>AP_CRONO_Qui!E17</f>
        <v>0.23194444444444451</v>
      </c>
      <c r="E15" s="29">
        <f t="shared" si="0"/>
        <v>0.28125</v>
      </c>
      <c r="F15" s="31">
        <f>AP_CRONO_Qui!G17</f>
        <v>0.2951388888888889</v>
      </c>
      <c r="G15" s="31">
        <f>AP_CRONO_Qui!H17</f>
        <v>0.2951388888888889</v>
      </c>
      <c r="H15" s="31">
        <f>AP_CRONO_Qui!I17</f>
        <v>0.2986111111111111</v>
      </c>
      <c r="I15" s="31">
        <f>AP_CRONO_Qui!J17</f>
        <v>0.30694444444444446</v>
      </c>
      <c r="J15" s="31">
        <f>AP_CRONO_Qui!K17</f>
        <v>0.31527777777777782</v>
      </c>
      <c r="K15" s="31">
        <f>AP_CRONO_Qui!L17</f>
        <v>0.31875000000000003</v>
      </c>
      <c r="L15" s="31">
        <f>AP_CRONO_Qui!M17</f>
        <v>0.34652777777777782</v>
      </c>
      <c r="M15" s="31">
        <f>AP_CRONO_Qui!N17</f>
        <v>0.41250000000000003</v>
      </c>
      <c r="N15" s="31">
        <f>AP_CRONO_Qui!O17</f>
        <v>0.43680555555555556</v>
      </c>
      <c r="O15" s="31">
        <f>AP_CRONO_Qui!P17</f>
        <v>0.50277777777777777</v>
      </c>
      <c r="P15" s="31">
        <f>AP_CRONO_Qui!Q17</f>
        <v>0.53541666666666665</v>
      </c>
      <c r="Q15" s="31">
        <f>AP_CRONO_Qui!R17</f>
        <v>0.60111111111111115</v>
      </c>
    </row>
    <row r="16" spans="1:21" x14ac:dyDescent="0.3">
      <c r="A16" s="26">
        <v>5</v>
      </c>
      <c r="B16" t="s">
        <v>62</v>
      </c>
      <c r="C16" s="36">
        <f>SUMIFS(ENCOMENDA!K:K,ENCOMENDA!A:A,B16,ENCOMENDA!L:L,D$1)</f>
        <v>2.4000000000000004</v>
      </c>
      <c r="D16" s="31">
        <f>AP_CRONO_Qui!E18</f>
        <v>0.23750000000000007</v>
      </c>
      <c r="E16" s="29">
        <f t="shared" si="0"/>
        <v>0.29166666666666669</v>
      </c>
      <c r="F16" s="31">
        <f>AP_CRONO_Qui!G18</f>
        <v>0.30555555555555558</v>
      </c>
      <c r="G16" s="31">
        <f>AP_CRONO_Qui!H18</f>
        <v>0.30555555555555558</v>
      </c>
      <c r="H16" s="31">
        <f>AP_CRONO_Qui!I18</f>
        <v>0.30902777777777779</v>
      </c>
      <c r="I16" s="31">
        <f>AP_CRONO_Qui!J18</f>
        <v>0.35416666666666669</v>
      </c>
      <c r="J16" s="31">
        <f>AP_CRONO_Qui!K18</f>
        <v>0.375</v>
      </c>
      <c r="K16" s="31">
        <f>AP_CRONO_Qui!L18</f>
        <v>0.40625</v>
      </c>
      <c r="L16" s="31">
        <f>AP_CRONO_Qui!M18</f>
        <v>0.42708333333333331</v>
      </c>
      <c r="M16" s="31">
        <f>AP_CRONO_Qui!N18</f>
        <v>0.47222222222222221</v>
      </c>
      <c r="N16" s="31">
        <f>AP_CRONO_Qui!O18</f>
        <v>0.50347222222222221</v>
      </c>
      <c r="O16" s="31">
        <f>AP_CRONO_Qui!P18</f>
        <v>0.56944444444444442</v>
      </c>
      <c r="P16" s="31">
        <f>AP_CRONO_Qui!Q18</f>
        <v>0.57291666666666663</v>
      </c>
      <c r="Q16" s="31">
        <f>AP_CRONO_Qui!R18</f>
        <v>0.64583333333333326</v>
      </c>
    </row>
    <row r="17" spans="1:17" x14ac:dyDescent="0.3">
      <c r="A17" s="26">
        <v>6</v>
      </c>
      <c r="B17" t="s">
        <v>30</v>
      </c>
      <c r="C17" s="36">
        <f>SUMIFS(ENCOMENDA!K:K,ENCOMENDA!A:A,B17,ENCOMENDA!L:L,D$1)</f>
        <v>10.5</v>
      </c>
      <c r="D17" s="31">
        <f>AP_CRONO_Qui!E19</f>
        <v>0.24305555555555564</v>
      </c>
      <c r="E17" s="29">
        <f t="shared" si="0"/>
        <v>0.30208333333333337</v>
      </c>
      <c r="F17" s="31">
        <f>AP_CRONO_Qui!G19</f>
        <v>0.31597222222222227</v>
      </c>
      <c r="G17" s="31">
        <f>AP_CRONO_Qui!H19</f>
        <v>0.31597222222222227</v>
      </c>
      <c r="H17" s="31">
        <f>AP_CRONO_Qui!I19</f>
        <v>0.31944444444444448</v>
      </c>
      <c r="I17" s="31">
        <f>AP_CRONO_Qui!J19</f>
        <v>0.36458333333333337</v>
      </c>
      <c r="J17" s="31">
        <f>AP_CRONO_Qui!K19</f>
        <v>0.38541666666666669</v>
      </c>
      <c r="K17" s="31">
        <f>AP_CRONO_Qui!L19</f>
        <v>0.41666666666666669</v>
      </c>
      <c r="L17" s="31">
        <f>AP_CRONO_Qui!M19</f>
        <v>0.4375</v>
      </c>
      <c r="M17" s="31">
        <f>AP_CRONO_Qui!N19</f>
        <v>0.4826388888888889</v>
      </c>
      <c r="N17" s="31">
        <f>AP_CRONO_Qui!O19</f>
        <v>0.51388888888888884</v>
      </c>
      <c r="O17" s="31">
        <f>AP_CRONO_Qui!P19</f>
        <v>0.57986111111111105</v>
      </c>
      <c r="P17" s="31">
        <f>AP_CRONO_Qui!Q19</f>
        <v>0.58333333333333326</v>
      </c>
      <c r="Q17" s="31">
        <f>AP_CRONO_Qui!R19</f>
        <v>0.65624999999999989</v>
      </c>
    </row>
    <row r="18" spans="1:17" x14ac:dyDescent="0.3">
      <c r="A18" s="26">
        <v>6</v>
      </c>
      <c r="B18" t="s">
        <v>33</v>
      </c>
      <c r="C18" s="36">
        <f>SUMIFS(ENCOMENDA!K:K,ENCOMENDA!A:A,B18,ENCOMENDA!L:L,D$1)</f>
        <v>18.75</v>
      </c>
      <c r="D18" s="31">
        <f>AP_CRONO_Qui!E20</f>
        <v>0.2486111111111112</v>
      </c>
      <c r="E18" s="29">
        <f t="shared" si="0"/>
        <v>0.31250000000000006</v>
      </c>
      <c r="F18" s="31">
        <f>AP_CRONO_Qui!G20</f>
        <v>0.32638888888888895</v>
      </c>
      <c r="G18" s="31">
        <f>AP_CRONO_Qui!H20</f>
        <v>0.32638888888888895</v>
      </c>
      <c r="H18" s="31">
        <f>AP_CRONO_Qui!I20</f>
        <v>0.32986111111111116</v>
      </c>
      <c r="I18" s="31">
        <f>AP_CRONO_Qui!J20</f>
        <v>0.37500000000000006</v>
      </c>
      <c r="J18" s="31">
        <f>AP_CRONO_Qui!K20</f>
        <v>0.39583333333333337</v>
      </c>
      <c r="K18" s="31">
        <f>AP_CRONO_Qui!L20</f>
        <v>0.42708333333333337</v>
      </c>
      <c r="L18" s="31">
        <f>AP_CRONO_Qui!M20</f>
        <v>0.44791666666666669</v>
      </c>
      <c r="M18" s="31">
        <f>AP_CRONO_Qui!N20</f>
        <v>0.49305555555555558</v>
      </c>
      <c r="N18" s="31">
        <f>AP_CRONO_Qui!O20</f>
        <v>0.52430555555555558</v>
      </c>
      <c r="O18" s="31">
        <f>AP_CRONO_Qui!P20</f>
        <v>0.59027777777777779</v>
      </c>
      <c r="P18" s="31">
        <f>AP_CRONO_Qui!Q20</f>
        <v>0.59375</v>
      </c>
      <c r="Q18" s="31">
        <f>AP_CRONO_Qui!R20</f>
        <v>0.66666666666666663</v>
      </c>
    </row>
    <row r="19" spans="1:17" x14ac:dyDescent="0.3">
      <c r="A19" s="26">
        <v>6</v>
      </c>
      <c r="B19" t="s">
        <v>36</v>
      </c>
      <c r="C19" s="36">
        <f>SUMIFS(ENCOMENDA!K:K,ENCOMENDA!A:A,B19,ENCOMENDA!L:L,D$1)</f>
        <v>3.9000000000000004</v>
      </c>
      <c r="D19" s="31">
        <f>AP_CRONO_Qui!E21</f>
        <v>0.25416666666666676</v>
      </c>
      <c r="E19" s="31"/>
      <c r="F19" s="31" t="str">
        <f>AP_CRONO_Qui!G21</f>
        <v/>
      </c>
      <c r="G19" s="31" t="str">
        <f>AP_CRONO_Qui!H21</f>
        <v/>
      </c>
      <c r="H19" s="31" t="str">
        <f>AP_CRONO_Qui!I21</f>
        <v/>
      </c>
      <c r="I19" s="31" t="str">
        <f>AP_CRONO_Qui!J21</f>
        <v/>
      </c>
      <c r="J19" s="31" t="str">
        <f>AP_CRONO_Qui!K21</f>
        <v/>
      </c>
      <c r="K19" s="31" t="str">
        <f>AP_CRONO_Qui!L21</f>
        <v/>
      </c>
      <c r="L19" s="31" t="str">
        <f>AP_CRONO_Qui!M21</f>
        <v/>
      </c>
      <c r="M19" s="31" t="str">
        <f>AP_CRONO_Qui!N21</f>
        <v/>
      </c>
      <c r="N19" s="31" t="str">
        <f>AP_CRONO_Qui!O21</f>
        <v/>
      </c>
      <c r="O19" s="31" t="str">
        <f>AP_CRONO_Qui!P21</f>
        <v/>
      </c>
      <c r="P19" s="31" t="str">
        <f>AP_CRONO_Qui!Q21</f>
        <v/>
      </c>
      <c r="Q19" s="31" t="str">
        <f>AP_CRONO_Qui!R21</f>
        <v/>
      </c>
    </row>
    <row r="20" spans="1:17" x14ac:dyDescent="0.3">
      <c r="C20" s="36">
        <f>SUMIFS(ENCOMENDA!K:K,ENCOMENDA!A:A,B20,ENCOMENDA!L:L,D$1)</f>
        <v>0</v>
      </c>
      <c r="D20" s="31" t="str">
        <f>AP_CRONO_Qui!E22</f>
        <v/>
      </c>
      <c r="E20" s="31"/>
      <c r="F20" s="31" t="str">
        <f>AP_CRONO_Qui!G22</f>
        <v/>
      </c>
      <c r="G20" s="31" t="str">
        <f>AP_CRONO_Qui!H22</f>
        <v/>
      </c>
      <c r="H20" s="31" t="str">
        <f>AP_CRONO_Qui!I22</f>
        <v/>
      </c>
      <c r="I20" s="31" t="str">
        <f>AP_CRONO_Qui!J22</f>
        <v/>
      </c>
      <c r="J20" s="31" t="str">
        <f>AP_CRONO_Qui!K22</f>
        <v/>
      </c>
      <c r="K20" s="31" t="str">
        <f>AP_CRONO_Qui!L22</f>
        <v/>
      </c>
      <c r="L20" s="31" t="str">
        <f>AP_CRONO_Qui!M22</f>
        <v/>
      </c>
      <c r="M20" s="31" t="str">
        <f>AP_CRONO_Qui!N22</f>
        <v/>
      </c>
      <c r="N20" s="31" t="str">
        <f>AP_CRONO_Qui!O22</f>
        <v/>
      </c>
      <c r="O20" s="31" t="str">
        <f>AP_CRONO_Qui!P22</f>
        <v/>
      </c>
      <c r="P20" s="31" t="str">
        <f>AP_CRONO_Qui!Q22</f>
        <v/>
      </c>
      <c r="Q20" s="31" t="str">
        <f>AP_CRONO_Qui!R22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19:Q20 D8:D18 F8:Q18">
    <cfRule type="cellIs" dxfId="7" priority="4" operator="lessThan">
      <formula>$T$8</formula>
    </cfRule>
  </conditionalFormatting>
  <conditionalFormatting sqref="D19:Q20 D8:D18 F8:Q18">
    <cfRule type="cellIs" dxfId="6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E8:E18">
    <cfRule type="cellIs" dxfId="5" priority="1" operator="lessThan">
      <formula>$T$8</formula>
    </cfRule>
  </conditionalFormatting>
  <conditionalFormatting sqref="E8:E18">
    <cfRule type="cellIs" dxfId="4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U20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A21" sqref="A21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155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2" t="s">
        <v>160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28" t="str">
        <f>AP_CRONO_SEG!E9</f>
        <v>PESAGEM</v>
      </c>
      <c r="E7" s="71" t="str">
        <f>AP_CRONO_SEG!F9</f>
        <v>INC_BATIMENTO</v>
      </c>
      <c r="F7" s="71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40</v>
      </c>
      <c r="C8" s="36">
        <f>SUMIFS(ENCOMENDA!K:K,ENCOMENDA!A:A,B8,ENCOMENDA!L:L,D$1)</f>
        <v>28.680000000000003</v>
      </c>
      <c r="D8" s="29">
        <f>AP_CRONO_Sex!E10</f>
        <v>0.19305555555555556</v>
      </c>
      <c r="E8" s="29">
        <v>0.19791666666666666</v>
      </c>
      <c r="F8" s="29">
        <f>AP_CRONO_Sex!G10</f>
        <v>0.21180555555555555</v>
      </c>
      <c r="G8" s="29">
        <f>AP_CRONO_Sex!H10</f>
        <v>0.21180555555555555</v>
      </c>
      <c r="H8" s="29">
        <f>AP_CRONO_Sex!I10</f>
        <v>0.21527777777777776</v>
      </c>
      <c r="I8" s="29">
        <f>AP_CRONO_Sex!J10</f>
        <v>0.22361111111111109</v>
      </c>
      <c r="J8" s="29">
        <f>AP_CRONO_Sex!K10</f>
        <v>0.23194444444444443</v>
      </c>
      <c r="K8" s="29">
        <f>AP_CRONO_Sex!L10</f>
        <v>0.23541666666666664</v>
      </c>
      <c r="L8" s="29">
        <f>AP_CRONO_Sex!M10</f>
        <v>0.2631944444444444</v>
      </c>
      <c r="M8" s="29">
        <f>AP_CRONO_Sex!N10</f>
        <v>0.32916666666666661</v>
      </c>
      <c r="N8" s="29">
        <f>AP_CRONO_Sex!O10</f>
        <v>0.35347222222222219</v>
      </c>
      <c r="O8" s="29">
        <f>AP_CRONO_Sex!P10</f>
        <v>0.4194444444444444</v>
      </c>
      <c r="P8" s="29">
        <f>AP_CRONO_Sex!Q10</f>
        <v>0.45208333333333328</v>
      </c>
      <c r="Q8" s="29">
        <f>AP_CRONO_Sex!R10</f>
        <v>0.51777777777777767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2</v>
      </c>
      <c r="B9" t="s">
        <v>62</v>
      </c>
      <c r="C9" s="36">
        <f>SUMIFS(ENCOMENDA!K:K,ENCOMENDA!A:A,B9,ENCOMENDA!L:L,D$1)</f>
        <v>20.399999999999999</v>
      </c>
      <c r="D9" s="29">
        <f>AP_CRONO_Sex!E11</f>
        <v>0.19861111111111113</v>
      </c>
      <c r="E9" s="29">
        <v>0.20486111111111113</v>
      </c>
      <c r="F9" s="29">
        <f>AP_CRONO_Sex!G11</f>
        <v>0.21875000000000003</v>
      </c>
      <c r="G9" s="29">
        <f>AP_CRONO_Sex!H11</f>
        <v>0.21875000000000003</v>
      </c>
      <c r="H9" s="29">
        <f>AP_CRONO_Sex!I11</f>
        <v>0.22222222222222224</v>
      </c>
      <c r="I9" s="29">
        <f>AP_CRONO_Sex!J11</f>
        <v>0.2673611111111111</v>
      </c>
      <c r="J9" s="29">
        <f>AP_CRONO_Sex!K11</f>
        <v>0.28819444444444442</v>
      </c>
      <c r="K9" s="29">
        <f>AP_CRONO_Sex!L11</f>
        <v>0.31944444444444442</v>
      </c>
      <c r="L9" s="29">
        <f>AP_CRONO_Sex!M11</f>
        <v>0.34027777777777773</v>
      </c>
      <c r="M9" s="29">
        <f>AP_CRONO_Sex!N11</f>
        <v>0.38541666666666663</v>
      </c>
      <c r="N9" s="29">
        <f>AP_CRONO_Sex!O11</f>
        <v>0.41666666666666663</v>
      </c>
      <c r="O9" s="29">
        <f>AP_CRONO_Sex!P11</f>
        <v>0.48263888888888884</v>
      </c>
      <c r="P9" s="29">
        <f>AP_CRONO_Sex!Q11</f>
        <v>0.48611111111111105</v>
      </c>
      <c r="Q9" s="29">
        <f>AP_CRONO_Sex!R11</f>
        <v>0.55902777777777768</v>
      </c>
    </row>
    <row r="10" spans="1:21" s="26" customFormat="1" x14ac:dyDescent="0.3">
      <c r="A10" s="26">
        <v>2</v>
      </c>
      <c r="B10" t="s">
        <v>33</v>
      </c>
      <c r="C10" s="36">
        <f>SUMIFS(ENCOMENDA!K:K,ENCOMENDA!A:A,B10,ENCOMENDA!L:L,D$1)</f>
        <v>21.220000000000002</v>
      </c>
      <c r="D10" s="29">
        <f>AP_CRONO_Sex!E12</f>
        <v>0.20416666666666669</v>
      </c>
      <c r="E10" s="29">
        <v>0.20486111111111113</v>
      </c>
      <c r="F10" s="29">
        <f>AP_CRONO_Sex!G12</f>
        <v>0.21875000000000003</v>
      </c>
      <c r="G10" s="29">
        <f>AP_CRONO_Sex!H12</f>
        <v>0.21875000000000003</v>
      </c>
      <c r="H10" s="29">
        <f>AP_CRONO_Sex!I12</f>
        <v>0.22222222222222224</v>
      </c>
      <c r="I10" s="29">
        <f>AP_CRONO_Sex!J12</f>
        <v>0.2673611111111111</v>
      </c>
      <c r="J10" s="29">
        <f>AP_CRONO_Sex!K12</f>
        <v>0.28819444444444442</v>
      </c>
      <c r="K10" s="29">
        <f>AP_CRONO_Sex!L12</f>
        <v>0.31944444444444442</v>
      </c>
      <c r="L10" s="29">
        <f>AP_CRONO_Sex!M12</f>
        <v>0.34027777777777773</v>
      </c>
      <c r="M10" s="29">
        <f>AP_CRONO_Sex!N12</f>
        <v>0.38541666666666663</v>
      </c>
      <c r="N10" s="29">
        <f>AP_CRONO_Sex!O12</f>
        <v>0.41666666666666663</v>
      </c>
      <c r="O10" s="29">
        <f>AP_CRONO_Sex!P12</f>
        <v>0.48263888888888884</v>
      </c>
      <c r="P10" s="29">
        <f>AP_CRONO_Sex!Q12</f>
        <v>0.48611111111111105</v>
      </c>
      <c r="Q10" s="29">
        <f>AP_CRONO_Sex!R12</f>
        <v>0.55902777777777768</v>
      </c>
    </row>
    <row r="11" spans="1:21" s="26" customFormat="1" x14ac:dyDescent="0.3">
      <c r="A11" s="26">
        <v>3</v>
      </c>
      <c r="B11" t="s">
        <v>25</v>
      </c>
      <c r="C11" s="36">
        <f>SUMIFS(ENCOMENDA!K:K,ENCOMENDA!A:A,B11,ENCOMENDA!L:L,D$1)</f>
        <v>31.800000000000004</v>
      </c>
      <c r="D11" s="29">
        <f>AP_CRONO_Sex!E13</f>
        <v>0.20972222222222225</v>
      </c>
      <c r="E11" s="29">
        <v>0.22569444444444445</v>
      </c>
      <c r="F11" s="29">
        <f>AP_CRONO_Sex!G13</f>
        <v>0.23958333333333334</v>
      </c>
      <c r="G11" s="29">
        <f>AP_CRONO_Sex!H13</f>
        <v>0.23958333333333334</v>
      </c>
      <c r="H11" s="29">
        <f>AP_CRONO_Sex!I13</f>
        <v>0.24305555555555555</v>
      </c>
      <c r="I11" s="29">
        <f>AP_CRONO_Sex!J13</f>
        <v>0.25138888888888888</v>
      </c>
      <c r="J11" s="29">
        <f>AP_CRONO_Sex!K13</f>
        <v>0.25972222222222224</v>
      </c>
      <c r="K11" s="29">
        <f>AP_CRONO_Sex!L13</f>
        <v>0.26319444444444445</v>
      </c>
      <c r="L11" s="29">
        <f>AP_CRONO_Sex!M13</f>
        <v>0.29097222222222224</v>
      </c>
      <c r="M11" s="29">
        <f>AP_CRONO_Sex!N13</f>
        <v>0.35694444444444445</v>
      </c>
      <c r="N11" s="29">
        <f>AP_CRONO_Sex!O13</f>
        <v>0.38124999999999998</v>
      </c>
      <c r="O11" s="29">
        <f>AP_CRONO_Sex!P13</f>
        <v>0.44722222222222219</v>
      </c>
      <c r="P11" s="29">
        <f>AP_CRONO_Sex!Q13</f>
        <v>0.47986111111111107</v>
      </c>
      <c r="Q11" s="29">
        <f>AP_CRONO_Sex!R13</f>
        <v>0.54555555555555557</v>
      </c>
    </row>
    <row r="12" spans="1:21" s="26" customFormat="1" x14ac:dyDescent="0.3">
      <c r="A12" s="26">
        <v>4</v>
      </c>
      <c r="B12" t="s">
        <v>48</v>
      </c>
      <c r="C12" s="36">
        <f>SUMIFS(ENCOMENDA!K:K,ENCOMENDA!A:A,B12,ENCOMENDA!L:L,D$1)</f>
        <v>7.8000000000000007</v>
      </c>
      <c r="D12" s="29">
        <f>AP_CRONO_Sex!E14</f>
        <v>0.21527777777777782</v>
      </c>
      <c r="E12" s="29">
        <v>0.23472222222222219</v>
      </c>
      <c r="F12" s="29">
        <f>AP_CRONO_Sex!G14</f>
        <v>0.24861111111111109</v>
      </c>
      <c r="G12" s="29">
        <f>AP_CRONO_Sex!H14</f>
        <v>0.24861111111111109</v>
      </c>
      <c r="H12" s="29">
        <f>AP_CRONO_Sex!I14</f>
        <v>0.25208333333333333</v>
      </c>
      <c r="I12" s="29">
        <f>AP_CRONO_Sex!J14</f>
        <v>0.26041666666666669</v>
      </c>
      <c r="J12" s="29">
        <f>AP_CRONO_Sex!K14</f>
        <v>0.26875000000000004</v>
      </c>
      <c r="K12" s="29">
        <f>AP_CRONO_Sex!L14</f>
        <v>0.27222222222222225</v>
      </c>
      <c r="L12" s="29">
        <f>AP_CRONO_Sex!M14</f>
        <v>0.30000000000000004</v>
      </c>
      <c r="M12" s="29">
        <f>AP_CRONO_Sex!N14</f>
        <v>0.36597222222222225</v>
      </c>
      <c r="N12" s="29">
        <f>AP_CRONO_Sex!O14</f>
        <v>0.39027777777777783</v>
      </c>
      <c r="O12" s="29">
        <f>AP_CRONO_Sex!P14</f>
        <v>0.45625000000000004</v>
      </c>
      <c r="P12" s="29">
        <f>AP_CRONO_Sex!Q14</f>
        <v>0.48888888888888893</v>
      </c>
      <c r="Q12" s="29">
        <f>AP_CRONO_Sex!R14</f>
        <v>0.55458333333333343</v>
      </c>
    </row>
    <row r="13" spans="1:21" s="26" customFormat="1" x14ac:dyDescent="0.3">
      <c r="A13" s="26">
        <v>5</v>
      </c>
      <c r="B13" t="s">
        <v>49</v>
      </c>
      <c r="C13" s="36">
        <f>SUMIFS(ENCOMENDA!K:K,ENCOMENDA!A:A,B13,ENCOMENDA!L:L,D$1)</f>
        <v>16.800000000000004</v>
      </c>
      <c r="D13" s="29">
        <f>AP_CRONO_Sex!E15</f>
        <v>0.22083333333333338</v>
      </c>
      <c r="E13" s="29">
        <v>0.24861111111111112</v>
      </c>
      <c r="F13" s="29">
        <f>AP_CRONO_Sex!G15</f>
        <v>0.26250000000000001</v>
      </c>
      <c r="G13" s="29">
        <f>AP_CRONO_Sex!H15</f>
        <v>0.26250000000000001</v>
      </c>
      <c r="H13" s="29">
        <f>AP_CRONO_Sex!I15</f>
        <v>0.26597222222222222</v>
      </c>
      <c r="I13" s="29">
        <f>AP_CRONO_Sex!J15</f>
        <v>0.27430555555555558</v>
      </c>
      <c r="J13" s="29">
        <f>AP_CRONO_Sex!K15</f>
        <v>0.28263888888888894</v>
      </c>
      <c r="K13" s="29">
        <f>AP_CRONO_Sex!L15</f>
        <v>0.28611111111111115</v>
      </c>
      <c r="L13" s="29">
        <f>AP_CRONO_Sex!M15</f>
        <v>0.31388888888888894</v>
      </c>
      <c r="M13" s="29">
        <f>AP_CRONO_Sex!N15</f>
        <v>0.37986111111111115</v>
      </c>
      <c r="N13" s="29">
        <f>AP_CRONO_Sex!O15</f>
        <v>0.40416666666666667</v>
      </c>
      <c r="O13" s="29">
        <f>AP_CRONO_Sex!P15</f>
        <v>0.47013888888888888</v>
      </c>
      <c r="P13" s="29">
        <f>AP_CRONO_Sex!Q15</f>
        <v>0.50277777777777777</v>
      </c>
      <c r="Q13" s="29">
        <f>AP_CRONO_Sex!R15</f>
        <v>0.56847222222222227</v>
      </c>
    </row>
    <row r="14" spans="1:21" s="26" customFormat="1" x14ac:dyDescent="0.3">
      <c r="A14" s="26">
        <v>5</v>
      </c>
      <c r="B14" t="s">
        <v>50</v>
      </c>
      <c r="C14" s="36">
        <f>SUMIFS(ENCOMENDA!K:K,ENCOMENDA!A:A,B14,ENCOMENDA!L:L,D$1)</f>
        <v>0</v>
      </c>
      <c r="D14" s="29">
        <f>AP_CRONO_Sex!E16</f>
        <v>0.22638888888888895</v>
      </c>
      <c r="E14" s="29">
        <v>0.24861111111111101</v>
      </c>
      <c r="F14" s="29">
        <f>AP_CRONO_Sex!G16</f>
        <v>0.2624999999999999</v>
      </c>
      <c r="G14" s="29">
        <f>AP_CRONO_Sex!H16</f>
        <v>0.2624999999999999</v>
      </c>
      <c r="H14" s="29">
        <f>AP_CRONO_Sex!I16</f>
        <v>0.26597222222222211</v>
      </c>
      <c r="I14" s="29">
        <f>AP_CRONO_Sex!J16</f>
        <v>0.31111111111111101</v>
      </c>
      <c r="J14" s="29">
        <f>AP_CRONO_Sex!K16</f>
        <v>0.33194444444444432</v>
      </c>
      <c r="K14" s="29">
        <f>AP_CRONO_Sex!L16</f>
        <v>0.36319444444444432</v>
      </c>
      <c r="L14" s="29">
        <f>AP_CRONO_Sex!M16</f>
        <v>0.38402777777777763</v>
      </c>
      <c r="M14" s="29">
        <f>AP_CRONO_Sex!N16</f>
        <v>0.42916666666666653</v>
      </c>
      <c r="N14" s="29">
        <f>AP_CRONO_Sex!O16</f>
        <v>0.46041666666666653</v>
      </c>
      <c r="O14" s="29">
        <f>AP_CRONO_Sex!P16</f>
        <v>0.5263888888888888</v>
      </c>
      <c r="P14" s="29">
        <f>AP_CRONO_Sex!Q16</f>
        <v>0.52986111111111101</v>
      </c>
      <c r="Q14" s="29">
        <f>AP_CRONO_Sex!R16</f>
        <v>0.60277777777777763</v>
      </c>
    </row>
    <row r="15" spans="1:21" x14ac:dyDescent="0.3">
      <c r="A15" s="26">
        <v>5</v>
      </c>
      <c r="B15" t="s">
        <v>68</v>
      </c>
      <c r="C15" s="36">
        <f>SUMIFS(ENCOMENDA!K:K,ENCOMENDA!A:A,B15,ENCOMENDA!L:L,D$1)</f>
        <v>18.25</v>
      </c>
      <c r="D15" s="31">
        <f>AP_CRONO_Sex!E17</f>
        <v>0.23194444444444451</v>
      </c>
      <c r="E15" s="31">
        <v>0.24861111111111101</v>
      </c>
      <c r="F15" s="31">
        <f>AP_CRONO_Sex!G17</f>
        <v>0.2624999999999999</v>
      </c>
      <c r="G15" s="31">
        <f>AP_CRONO_Sex!H17</f>
        <v>0.2624999999999999</v>
      </c>
      <c r="H15" s="31">
        <f>AP_CRONO_Sex!I17</f>
        <v>0.26597222222222211</v>
      </c>
      <c r="I15" s="31">
        <f>AP_CRONO_Sex!J17</f>
        <v>0.31111111111111101</v>
      </c>
      <c r="J15" s="31">
        <f>AP_CRONO_Sex!K17</f>
        <v>0.33194444444444432</v>
      </c>
      <c r="K15" s="31">
        <f>AP_CRONO_Sex!L17</f>
        <v>0.36319444444444432</v>
      </c>
      <c r="L15" s="31">
        <f>AP_CRONO_Sex!M17</f>
        <v>0.38402777777777763</v>
      </c>
      <c r="M15" s="31">
        <f>AP_CRONO_Sex!N17</f>
        <v>0.42916666666666653</v>
      </c>
      <c r="N15" s="31">
        <f>AP_CRONO_Sex!O17</f>
        <v>0.46041666666666653</v>
      </c>
      <c r="O15" s="31">
        <f>AP_CRONO_Sex!P17</f>
        <v>0.5263888888888888</v>
      </c>
      <c r="P15" s="31">
        <f>AP_CRONO_Sex!Q17</f>
        <v>0.52986111111111101</v>
      </c>
      <c r="Q15" s="31">
        <f>AP_CRONO_Sex!R17</f>
        <v>0.60277777777777763</v>
      </c>
    </row>
    <row r="16" spans="1:21" x14ac:dyDescent="0.3">
      <c r="A16" s="26">
        <v>6</v>
      </c>
      <c r="B16" t="s">
        <v>28</v>
      </c>
      <c r="C16" s="36">
        <f>SUMIFS(ENCOMENDA!K:K,ENCOMENDA!A:A,B16,ENCOMENDA!L:L,D$1)</f>
        <v>4.8000000000000007</v>
      </c>
      <c r="D16" s="31">
        <f>AP_CRONO_Sex!E18</f>
        <v>0.23750000000000007</v>
      </c>
      <c r="E16" s="31">
        <v>0.25694444444444448</v>
      </c>
      <c r="F16" s="31">
        <f>AP_CRONO_Sex!G18</f>
        <v>0.27083333333333337</v>
      </c>
      <c r="G16" s="31">
        <f>AP_CRONO_Sex!H18</f>
        <v>0.27083333333333337</v>
      </c>
      <c r="H16" s="31">
        <f>AP_CRONO_Sex!I18</f>
        <v>0.27430555555555558</v>
      </c>
      <c r="I16" s="31">
        <f>AP_CRONO_Sex!J18</f>
        <v>0.28263888888888894</v>
      </c>
      <c r="J16" s="31">
        <f>AP_CRONO_Sex!K18</f>
        <v>0.2909722222222223</v>
      </c>
      <c r="K16" s="31">
        <f>AP_CRONO_Sex!L18</f>
        <v>0.29444444444444451</v>
      </c>
      <c r="L16" s="31">
        <f>AP_CRONO_Sex!M18</f>
        <v>0.3222222222222223</v>
      </c>
      <c r="M16" s="31">
        <f>AP_CRONO_Sex!N18</f>
        <v>0.38819444444444451</v>
      </c>
      <c r="N16" s="31">
        <f>AP_CRONO_Sex!O18</f>
        <v>0.41250000000000009</v>
      </c>
      <c r="O16" s="31">
        <f>AP_CRONO_Sex!P18</f>
        <v>0.4784722222222223</v>
      </c>
      <c r="P16" s="31">
        <f>AP_CRONO_Sex!Q18</f>
        <v>0.51111111111111118</v>
      </c>
      <c r="Q16" s="31">
        <f>AP_CRONO_Sex!R18</f>
        <v>0.57680555555555557</v>
      </c>
    </row>
    <row r="17" spans="1:17" x14ac:dyDescent="0.3">
      <c r="A17" s="26">
        <v>6</v>
      </c>
      <c r="B17" t="s">
        <v>52</v>
      </c>
      <c r="C17" s="36">
        <f>SUMIFS(ENCOMENDA!K:K,ENCOMENDA!A:A,B17,ENCOMENDA!L:L,D$1)</f>
        <v>1.8000000000000003</v>
      </c>
      <c r="D17" s="31">
        <f>AP_CRONO_Sex!E19</f>
        <v>0.24305555555555564</v>
      </c>
      <c r="E17" s="31">
        <v>0.25694444444444448</v>
      </c>
      <c r="F17" s="31">
        <f>AP_CRONO_Sex!G19</f>
        <v>0.27083333333333337</v>
      </c>
      <c r="G17" s="31">
        <f>AP_CRONO_Sex!H19</f>
        <v>0.27083333333333337</v>
      </c>
      <c r="H17" s="31">
        <f>AP_CRONO_Sex!I19</f>
        <v>0.27430555555555558</v>
      </c>
      <c r="I17" s="31">
        <f>AP_CRONO_Sex!J19</f>
        <v>0.28263888888888894</v>
      </c>
      <c r="J17" s="31">
        <f>AP_CRONO_Sex!K19</f>
        <v>0.2909722222222223</v>
      </c>
      <c r="K17" s="31">
        <f>AP_CRONO_Sex!L19</f>
        <v>0.29444444444444451</v>
      </c>
      <c r="L17" s="31">
        <f>AP_CRONO_Sex!M19</f>
        <v>0.3222222222222223</v>
      </c>
      <c r="M17" s="31">
        <f>AP_CRONO_Sex!N19</f>
        <v>0.38819444444444451</v>
      </c>
      <c r="N17" s="31">
        <f>AP_CRONO_Sex!O19</f>
        <v>0.41250000000000009</v>
      </c>
      <c r="O17" s="31">
        <f>AP_CRONO_Sex!P19</f>
        <v>0.4784722222222223</v>
      </c>
      <c r="P17" s="31">
        <f>AP_CRONO_Sex!Q19</f>
        <v>0.51111111111111118</v>
      </c>
      <c r="Q17" s="31">
        <f>AP_CRONO_Sex!R19</f>
        <v>0.57680555555555557</v>
      </c>
    </row>
    <row r="18" spans="1:17" x14ac:dyDescent="0.3">
      <c r="A18" s="26">
        <v>7</v>
      </c>
      <c r="B18" t="s">
        <v>27</v>
      </c>
      <c r="C18" s="36">
        <v>45</v>
      </c>
      <c r="D18" s="31">
        <f>AP_CRONO_Sex!E20</f>
        <v>0.2486111111111112</v>
      </c>
      <c r="E18" s="31">
        <v>0.28611111111111115</v>
      </c>
      <c r="F18" s="31">
        <f>AP_CRONO_Sex!G20</f>
        <v>0.30000000000000004</v>
      </c>
      <c r="G18" s="31">
        <f>AP_CRONO_Sex!H20</f>
        <v>0.30000000000000004</v>
      </c>
      <c r="H18" s="31">
        <f>AP_CRONO_Sex!I20</f>
        <v>0.30347222222222225</v>
      </c>
      <c r="I18" s="31">
        <f>AP_CRONO_Sex!J20</f>
        <v>0.31180555555555561</v>
      </c>
      <c r="J18" s="31">
        <f>AP_CRONO_Sex!K20</f>
        <v>0.32013888888888897</v>
      </c>
      <c r="K18" s="31">
        <f>AP_CRONO_Sex!L20</f>
        <v>0.32361111111111118</v>
      </c>
      <c r="L18" s="31">
        <f>AP_CRONO_Sex!M20</f>
        <v>0.35138888888888897</v>
      </c>
      <c r="M18" s="31">
        <f>AP_CRONO_Sex!N20</f>
        <v>0.41736111111111118</v>
      </c>
      <c r="N18" s="31">
        <f>AP_CRONO_Sex!O20</f>
        <v>0.44166666666666676</v>
      </c>
      <c r="O18" s="31">
        <f>AP_CRONO_Sex!P20</f>
        <v>0.50763888888888897</v>
      </c>
      <c r="P18" s="31">
        <f>AP_CRONO_Sex!Q20</f>
        <v>0.54027777777777786</v>
      </c>
      <c r="Q18" s="31">
        <f>AP_CRONO_Sex!R20</f>
        <v>0.60597222222222236</v>
      </c>
    </row>
    <row r="19" spans="1:17" x14ac:dyDescent="0.3">
      <c r="A19" s="26">
        <v>8</v>
      </c>
      <c r="B19" t="s">
        <v>27</v>
      </c>
      <c r="C19" s="36">
        <v>45</v>
      </c>
      <c r="D19" s="31">
        <f>AP_CRONO_Sex!E21</f>
        <v>0.25416666666666676</v>
      </c>
      <c r="E19" s="31">
        <v>0.31597222222222221</v>
      </c>
      <c r="F19" s="31">
        <f>AP_CRONO_Sex!G21</f>
        <v>0.3298611111111111</v>
      </c>
      <c r="G19" s="31">
        <f>AP_CRONO_Sex!H21</f>
        <v>0.3298611111111111</v>
      </c>
      <c r="H19" s="31">
        <f>AP_CRONO_Sex!I21</f>
        <v>0.33333333333333331</v>
      </c>
      <c r="I19" s="31">
        <f>AP_CRONO_Sex!J21</f>
        <v>0.34166666666666667</v>
      </c>
      <c r="J19" s="31">
        <f>AP_CRONO_Sex!K21</f>
        <v>0.35000000000000003</v>
      </c>
      <c r="K19" s="31">
        <f>AP_CRONO_Sex!L21</f>
        <v>0.35347222222222224</v>
      </c>
      <c r="L19" s="31">
        <f>AP_CRONO_Sex!M21</f>
        <v>0.38125000000000003</v>
      </c>
      <c r="M19" s="31">
        <f>AP_CRONO_Sex!N21</f>
        <v>0.44722222222222224</v>
      </c>
      <c r="N19" s="31">
        <f>AP_CRONO_Sex!O21</f>
        <v>0.47152777777777777</v>
      </c>
      <c r="O19" s="31">
        <f>AP_CRONO_Sex!P21</f>
        <v>0.53749999999999998</v>
      </c>
      <c r="P19" s="31">
        <f>AP_CRONO_Sex!Q21</f>
        <v>0.57013888888888886</v>
      </c>
      <c r="Q19" s="31">
        <f>AP_CRONO_Sex!R21</f>
        <v>0.63583333333333325</v>
      </c>
    </row>
    <row r="20" spans="1:17" x14ac:dyDescent="0.3">
      <c r="A20" s="26">
        <v>8</v>
      </c>
      <c r="B20" t="s">
        <v>74</v>
      </c>
      <c r="C20" s="36">
        <f>SUMIFS(ENCOMENDA!K:K,ENCOMENDA!A:A,B20,ENCOMENDA!L:L,D$1)</f>
        <v>1.8000000000000003</v>
      </c>
      <c r="D20" s="31">
        <f>AP_CRONO_Sex!E22</f>
        <v>0.2597222222222223</v>
      </c>
      <c r="E20" s="31">
        <v>0.35763888888888901</v>
      </c>
      <c r="F20" s="31">
        <f>AP_CRONO_Sex!G22</f>
        <v>0.3715277777777779</v>
      </c>
      <c r="G20" s="31">
        <f>AP_CRONO_Sex!H22</f>
        <v>0.3715277777777779</v>
      </c>
      <c r="H20" s="31">
        <f>AP_CRONO_Sex!I22</f>
        <v>0.37500000000000011</v>
      </c>
      <c r="I20" s="31">
        <f>AP_CRONO_Sex!J22</f>
        <v>0.38333333333333347</v>
      </c>
      <c r="J20" s="31">
        <f>AP_CRONO_Sex!K22</f>
        <v>0.39166666666666683</v>
      </c>
      <c r="K20" s="31">
        <f>AP_CRONO_Sex!L22</f>
        <v>0.39513888888888904</v>
      </c>
      <c r="L20" s="31">
        <f>AP_CRONO_Sex!M22</f>
        <v>0.42291666666666683</v>
      </c>
      <c r="M20" s="31">
        <f>AP_CRONO_Sex!N22</f>
        <v>0.48888888888888904</v>
      </c>
      <c r="N20" s="31">
        <f>AP_CRONO_Sex!O22</f>
        <v>0.51319444444444462</v>
      </c>
      <c r="O20" s="31">
        <f>AP_CRONO_Sex!P22</f>
        <v>0.57916666666666683</v>
      </c>
      <c r="P20" s="31">
        <f>AP_CRONO_Sex!Q22</f>
        <v>0.61180555555555571</v>
      </c>
      <c r="Q20" s="31">
        <f>AP_CRONO_Sex!R22</f>
        <v>0.67750000000000021</v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E8:E16 D8:O8 D9:D16 F9:O16 D17:O19 P8:Q19 D20:Q20">
    <cfRule type="cellIs" dxfId="3" priority="1" operator="lessThan">
      <formula>$T$8</formula>
    </cfRule>
  </conditionalFormatting>
  <conditionalFormatting sqref="D8:Q20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20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O26" sqref="O26"/>
    </sheetView>
  </sheetViews>
  <sheetFormatPr defaultRowHeight="14.4" x14ac:dyDescent="0.3"/>
  <cols>
    <col min="2" max="2" width="31.33203125" bestFit="1" customWidth="1"/>
    <col min="4" max="6" width="8.88671875" style="2"/>
    <col min="7" max="7" width="16.21875" style="2" customWidth="1"/>
    <col min="8" max="8" width="8.88671875" style="2"/>
    <col min="9" max="9" width="11.6640625" style="2" customWidth="1"/>
    <col min="10" max="10" width="13.5546875" style="2" customWidth="1"/>
    <col min="11" max="11" width="13.33203125" style="2" customWidth="1"/>
    <col min="12" max="12" width="16" style="2" customWidth="1"/>
    <col min="13" max="13" width="15.33203125" style="2" customWidth="1"/>
    <col min="14" max="14" width="15.77734375" style="2" customWidth="1"/>
    <col min="15" max="17" width="11.5546875" style="2" customWidth="1"/>
  </cols>
  <sheetData>
    <row r="1" spans="1:21" s="38" customFormat="1" x14ac:dyDescent="0.3">
      <c r="D1" s="39" t="s">
        <v>187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8" x14ac:dyDescent="0.55000000000000004">
      <c r="F3" s="72" t="s">
        <v>161</v>
      </c>
      <c r="G3" s="72"/>
    </row>
    <row r="7" spans="1:21" s="26" customFormat="1" ht="33" customHeight="1" x14ac:dyDescent="0.3">
      <c r="A7" s="27" t="s">
        <v>97</v>
      </c>
      <c r="B7" s="27" t="s">
        <v>98</v>
      </c>
      <c r="C7" s="27" t="s">
        <v>99</v>
      </c>
      <c r="D7" s="32" t="str">
        <f>AP_CRONO_SEG!E9</f>
        <v>PESAGEM</v>
      </c>
      <c r="E7" s="71" t="str">
        <f>AP_CRONO_SEG!F9</f>
        <v>INC_BATIMENTO</v>
      </c>
      <c r="F7" s="71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3">
      <c r="A8" s="26">
        <v>1</v>
      </c>
      <c r="B8" t="s">
        <v>30</v>
      </c>
      <c r="C8" s="36">
        <f>SUMIFS(ENCOMENDA!K:K,ENCOMENDA!A:A,B8,ENCOMENDA!L:L,D$1)</f>
        <v>10.5</v>
      </c>
      <c r="D8" s="29">
        <f>AP_CRONO_Sab!E10</f>
        <v>0.19305555555555556</v>
      </c>
      <c r="E8" s="50">
        <v>0.19444444444444445</v>
      </c>
      <c r="F8" s="29">
        <f>AP_CRONO_Sab!G10</f>
        <v>0.20833333333333334</v>
      </c>
      <c r="G8" s="29">
        <f>AP_CRONO_Sab!H10</f>
        <v>0.20833333333333334</v>
      </c>
      <c r="H8" s="29">
        <f>AP_CRONO_Sab!I10</f>
        <v>0.21180555555555555</v>
      </c>
      <c r="I8" s="29">
        <f>AP_CRONO_Sab!J10</f>
        <v>0.25694444444444442</v>
      </c>
      <c r="J8" s="29">
        <f>AP_CRONO_Sab!K10</f>
        <v>0.27777777777777773</v>
      </c>
      <c r="K8" s="29">
        <f>AP_CRONO_Sab!L10</f>
        <v>0.30902777777777773</v>
      </c>
      <c r="L8" s="29">
        <f>AP_CRONO_Sab!M10</f>
        <v>0.32986111111111105</v>
      </c>
      <c r="M8" s="29">
        <f>AP_CRONO_Sab!N10</f>
        <v>0.37499999999999994</v>
      </c>
      <c r="N8" s="29">
        <f>AP_CRONO_Sab!O10</f>
        <v>0.40624999999999994</v>
      </c>
      <c r="O8" s="29">
        <f>AP_CRONO_Sab!P10</f>
        <v>0.47222222222222215</v>
      </c>
      <c r="P8" s="29">
        <f>AP_CRONO_Sab!Q10</f>
        <v>0.47569444444444436</v>
      </c>
      <c r="Q8" s="29">
        <f>AP_CRONO_Sab!R10</f>
        <v>0.54861111111111105</v>
      </c>
      <c r="T8" s="30">
        <f>Relogio</f>
        <v>0.64368055555555559</v>
      </c>
      <c r="U8" s="29">
        <f>T8+S1</f>
        <v>0.64437500000000003</v>
      </c>
    </row>
    <row r="9" spans="1:21" s="26" customFormat="1" x14ac:dyDescent="0.3">
      <c r="A9" s="26">
        <v>2</v>
      </c>
      <c r="B9" t="s">
        <v>65</v>
      </c>
      <c r="C9" s="36">
        <f>SUMIFS(ENCOMENDA!K:K,ENCOMENDA!A:A,B9,ENCOMENDA!L:L,D$1)</f>
        <v>1.44</v>
      </c>
      <c r="D9" s="29">
        <f>AP_CRONO_Sab!E11</f>
        <v>0.19861111111111113</v>
      </c>
      <c r="E9" s="50">
        <v>0.20833333333333334</v>
      </c>
      <c r="F9" s="29">
        <f>AP_CRONO_Sab!G11</f>
        <v>0.22222222222222224</v>
      </c>
      <c r="G9" s="29">
        <f>AP_CRONO_Sab!H11</f>
        <v>0.22222222222222224</v>
      </c>
      <c r="H9" s="29">
        <f>AP_CRONO_Sab!I11</f>
        <v>0.22569444444444445</v>
      </c>
      <c r="I9" s="29">
        <f>AP_CRONO_Sab!J11</f>
        <v>0.23402777777777778</v>
      </c>
      <c r="J9" s="29">
        <f>AP_CRONO_Sab!K11</f>
        <v>0.24236111111111111</v>
      </c>
      <c r="K9" s="29">
        <f>AP_CRONO_Sab!L11</f>
        <v>0.24583333333333332</v>
      </c>
      <c r="L9" s="29">
        <f>AP_CRONO_Sab!M11</f>
        <v>0.27361111111111108</v>
      </c>
      <c r="M9" s="29">
        <f>AP_CRONO_Sab!N11</f>
        <v>0.33958333333333329</v>
      </c>
      <c r="N9" s="29">
        <f>AP_CRONO_Sab!O11</f>
        <v>0.36388888888888882</v>
      </c>
      <c r="O9" s="29">
        <f>AP_CRONO_Sab!P11</f>
        <v>0.42986111111111103</v>
      </c>
      <c r="P9" s="29">
        <f>AP_CRONO_Sab!Q11</f>
        <v>0.46249999999999991</v>
      </c>
      <c r="Q9" s="29">
        <f>AP_CRONO_Sab!R11</f>
        <v>0.52819444444444441</v>
      </c>
    </row>
    <row r="10" spans="1:21" s="26" customFormat="1" x14ac:dyDescent="0.3">
      <c r="A10" s="26">
        <v>3</v>
      </c>
      <c r="B10" t="s">
        <v>50</v>
      </c>
      <c r="C10" s="36">
        <f>SUMIFS(ENCOMENDA!K:K,ENCOMENDA!A:A,B10,ENCOMENDA!L:L,D$1)</f>
        <v>0.60000000000000009</v>
      </c>
      <c r="D10" s="29">
        <f>AP_CRONO_Sab!E12</f>
        <v>0.20416666666666669</v>
      </c>
      <c r="E10" s="50">
        <v>0.21875</v>
      </c>
      <c r="F10" s="29">
        <f>AP_CRONO_Sab!G12</f>
        <v>0.2326388888888889</v>
      </c>
      <c r="G10" s="29">
        <f>AP_CRONO_Sab!H12</f>
        <v>0.2326388888888889</v>
      </c>
      <c r="H10" s="29">
        <f>AP_CRONO_Sab!I12</f>
        <v>0.2361111111111111</v>
      </c>
      <c r="I10" s="29">
        <f>AP_CRONO_Sab!J12</f>
        <v>0.28125</v>
      </c>
      <c r="J10" s="29">
        <f>AP_CRONO_Sab!K12</f>
        <v>0.30208333333333331</v>
      </c>
      <c r="K10" s="29">
        <f>AP_CRONO_Sab!L12</f>
        <v>0.33333333333333331</v>
      </c>
      <c r="L10" s="29">
        <f>AP_CRONO_Sab!M12</f>
        <v>0.35416666666666663</v>
      </c>
      <c r="M10" s="29">
        <f>AP_CRONO_Sab!N12</f>
        <v>0.39930555555555552</v>
      </c>
      <c r="N10" s="29">
        <f>AP_CRONO_Sab!O12</f>
        <v>0.43055555555555552</v>
      </c>
      <c r="O10" s="29">
        <f>AP_CRONO_Sab!P12</f>
        <v>0.49652777777777773</v>
      </c>
      <c r="P10" s="29">
        <f>AP_CRONO_Sab!Q12</f>
        <v>0.49999999999999994</v>
      </c>
      <c r="Q10" s="29">
        <f>AP_CRONO_Sab!R12</f>
        <v>0.57291666666666663</v>
      </c>
    </row>
    <row r="11" spans="1:21" s="26" customFormat="1" x14ac:dyDescent="0.3">
      <c r="A11" s="26">
        <v>4</v>
      </c>
      <c r="B11" t="s">
        <v>34</v>
      </c>
      <c r="C11" s="36">
        <f>SUMIFS(ENCOMENDA!K:K,ENCOMENDA!A:A,B11,ENCOMENDA!L:L,D$1)</f>
        <v>21.6</v>
      </c>
      <c r="D11" s="29">
        <f>AP_CRONO_Sab!E13</f>
        <v>0.20972222222222225</v>
      </c>
      <c r="E11" s="50">
        <v>0.22708333333333333</v>
      </c>
      <c r="F11" s="29">
        <f>AP_CRONO_Sab!G13</f>
        <v>0.24097222222222223</v>
      </c>
      <c r="G11" s="29">
        <f>AP_CRONO_Sab!H13</f>
        <v>0.24097222222222223</v>
      </c>
      <c r="H11" s="29">
        <f>AP_CRONO_Sab!I13</f>
        <v>0.24444444444444444</v>
      </c>
      <c r="I11" s="29">
        <f>AP_CRONO_Sab!J13</f>
        <v>0.25277777777777777</v>
      </c>
      <c r="J11" s="29">
        <f>AP_CRONO_Sab!K13</f>
        <v>0.26111111111111113</v>
      </c>
      <c r="K11" s="29">
        <f>AP_CRONO_Sab!L13</f>
        <v>0.26458333333333334</v>
      </c>
      <c r="L11" s="29">
        <f>AP_CRONO_Sab!M13</f>
        <v>0.29236111111111113</v>
      </c>
      <c r="M11" s="29">
        <f>AP_CRONO_Sab!N13</f>
        <v>0.35833333333333334</v>
      </c>
      <c r="N11" s="29">
        <f>AP_CRONO_Sab!O13</f>
        <v>0.38263888888888886</v>
      </c>
      <c r="O11" s="29">
        <f>AP_CRONO_Sab!P13</f>
        <v>0.44861111111111107</v>
      </c>
      <c r="P11" s="29">
        <f>AP_CRONO_Sab!Q13</f>
        <v>0.48124999999999996</v>
      </c>
      <c r="Q11" s="29">
        <f>AP_CRONO_Sab!R13</f>
        <v>0.54694444444444446</v>
      </c>
    </row>
    <row r="12" spans="1:21" s="26" customFormat="1" x14ac:dyDescent="0.3">
      <c r="A12" s="26">
        <v>5</v>
      </c>
      <c r="B12" t="s">
        <v>40</v>
      </c>
      <c r="C12" s="36">
        <f>SUMIFS(ENCOMENDA!K:K,ENCOMENDA!A:A,B12,ENCOMENDA!L:L,D$1)</f>
        <v>9.6</v>
      </c>
      <c r="D12" s="29">
        <f>AP_CRONO_Sab!E14</f>
        <v>0.21527777777777782</v>
      </c>
      <c r="E12" s="50">
        <v>0.26041666666666669</v>
      </c>
      <c r="F12" s="29">
        <f>AP_CRONO_Sab!G14</f>
        <v>0.27430555555555558</v>
      </c>
      <c r="G12" s="29">
        <f>AP_CRONO_Sab!H14</f>
        <v>0.27430555555555558</v>
      </c>
      <c r="H12" s="29">
        <f>AP_CRONO_Sab!I14</f>
        <v>0.27777777777777779</v>
      </c>
      <c r="I12" s="29">
        <f>AP_CRONO_Sab!J14</f>
        <v>0.28611111111111115</v>
      </c>
      <c r="J12" s="29">
        <f>AP_CRONO_Sab!K14</f>
        <v>0.29444444444444451</v>
      </c>
      <c r="K12" s="29">
        <f>AP_CRONO_Sab!L14</f>
        <v>0.29791666666666672</v>
      </c>
      <c r="L12" s="29">
        <f>AP_CRONO_Sab!M14</f>
        <v>0.32569444444444451</v>
      </c>
      <c r="M12" s="29">
        <f>AP_CRONO_Sab!N14</f>
        <v>0.39166666666666672</v>
      </c>
      <c r="N12" s="29">
        <f>AP_CRONO_Sab!O14</f>
        <v>0.4159722222222223</v>
      </c>
      <c r="O12" s="29">
        <f>AP_CRONO_Sab!P14</f>
        <v>0.48194444444444451</v>
      </c>
      <c r="P12" s="29">
        <f>AP_CRONO_Sab!Q14</f>
        <v>0.51458333333333339</v>
      </c>
      <c r="Q12" s="29">
        <f>AP_CRONO_Sab!R14</f>
        <v>0.58027777777777789</v>
      </c>
    </row>
    <row r="13" spans="1:21" s="26" customFormat="1" x14ac:dyDescent="0.3">
      <c r="A13" s="26">
        <v>6</v>
      </c>
      <c r="B13" t="s">
        <v>25</v>
      </c>
      <c r="C13" s="36">
        <f>SUMIFS(ENCOMENDA!K:K,ENCOMENDA!A:A,B13,ENCOMENDA!L:L,D$1)</f>
        <v>34.200000000000003</v>
      </c>
      <c r="D13" s="29">
        <f>AP_CRONO_Sab!E15</f>
        <v>0.22083333333333338</v>
      </c>
      <c r="E13" s="50">
        <v>0.28125</v>
      </c>
      <c r="F13" s="29">
        <f>AP_CRONO_Sab!G15</f>
        <v>0.2951388888888889</v>
      </c>
      <c r="G13" s="29">
        <f>AP_CRONO_Sab!H15</f>
        <v>0.2951388888888889</v>
      </c>
      <c r="H13" s="29">
        <f>AP_CRONO_Sab!I15</f>
        <v>0.2986111111111111</v>
      </c>
      <c r="I13" s="29">
        <f>AP_CRONO_Sab!J15</f>
        <v>0.30694444444444446</v>
      </c>
      <c r="J13" s="29">
        <f>AP_CRONO_Sab!K15</f>
        <v>0.31527777777777782</v>
      </c>
      <c r="K13" s="29">
        <f>AP_CRONO_Sab!L15</f>
        <v>0.31875000000000003</v>
      </c>
      <c r="L13" s="29">
        <f>AP_CRONO_Sab!M15</f>
        <v>0.34652777777777782</v>
      </c>
      <c r="M13" s="29">
        <f>AP_CRONO_Sab!N15</f>
        <v>0.41250000000000003</v>
      </c>
      <c r="N13" s="29">
        <f>AP_CRONO_Sab!O15</f>
        <v>0.43680555555555556</v>
      </c>
      <c r="O13" s="29">
        <f>AP_CRONO_Sab!P15</f>
        <v>0.50277777777777777</v>
      </c>
      <c r="P13" s="29">
        <f>AP_CRONO_Sab!Q15</f>
        <v>0.53541666666666665</v>
      </c>
      <c r="Q13" s="29">
        <f>AP_CRONO_Sab!R15</f>
        <v>0.60111111111111115</v>
      </c>
    </row>
    <row r="14" spans="1:21" s="26" customFormat="1" x14ac:dyDescent="0.3">
      <c r="A14" s="26">
        <v>7</v>
      </c>
      <c r="B14" t="s">
        <v>52</v>
      </c>
      <c r="C14" s="36">
        <f>SUMIFS(ENCOMENDA!K:K,ENCOMENDA!A:A,B14,ENCOMENDA!L:L,D$1)</f>
        <v>3.6000000000000005</v>
      </c>
      <c r="D14" s="29">
        <f>AP_CRONO_Sab!E16</f>
        <v>0.22638888888888895</v>
      </c>
      <c r="E14" s="50">
        <v>0.29166666666666669</v>
      </c>
      <c r="F14" s="29">
        <f>AP_CRONO_Sab!G16</f>
        <v>0.30555555555555558</v>
      </c>
      <c r="G14" s="29">
        <f>AP_CRONO_Sab!H16</f>
        <v>0.30555555555555558</v>
      </c>
      <c r="H14" s="29">
        <f>AP_CRONO_Sab!I16</f>
        <v>0.30902777777777779</v>
      </c>
      <c r="I14" s="29">
        <f>AP_CRONO_Sab!J16</f>
        <v>0.31736111111111115</v>
      </c>
      <c r="J14" s="29">
        <f>AP_CRONO_Sab!K16</f>
        <v>0.32569444444444451</v>
      </c>
      <c r="K14" s="29">
        <f>AP_CRONO_Sab!L16</f>
        <v>0.32916666666666672</v>
      </c>
      <c r="L14" s="29">
        <f>AP_CRONO_Sab!M16</f>
        <v>0.35694444444444451</v>
      </c>
      <c r="M14" s="29">
        <f>AP_CRONO_Sab!N16</f>
        <v>0.42291666666666672</v>
      </c>
      <c r="N14" s="29">
        <f>AP_CRONO_Sab!O16</f>
        <v>0.4472222222222223</v>
      </c>
      <c r="O14" s="29">
        <f>AP_CRONO_Sab!P16</f>
        <v>0.51319444444444451</v>
      </c>
      <c r="P14" s="29">
        <f>AP_CRONO_Sab!Q16</f>
        <v>0.54583333333333339</v>
      </c>
      <c r="Q14" s="29">
        <f>AP_CRONO_Sab!R16</f>
        <v>0.61152777777777789</v>
      </c>
    </row>
    <row r="15" spans="1:21" x14ac:dyDescent="0.3">
      <c r="A15" s="26">
        <v>7</v>
      </c>
      <c r="B15" t="s">
        <v>28</v>
      </c>
      <c r="C15" s="36">
        <f>SUMIFS(ENCOMENDA!K:K,ENCOMENDA!A:A,B15,ENCOMENDA!L:L,D$1)</f>
        <v>6.6000000000000014</v>
      </c>
      <c r="D15" s="31">
        <f>AP_CRONO_Sab!E17</f>
        <v>0.23194444444444451</v>
      </c>
      <c r="E15" s="50">
        <v>0.29166666666666669</v>
      </c>
      <c r="F15" s="31">
        <f>AP_CRONO_Sab!G17</f>
        <v>0.30555555555555558</v>
      </c>
      <c r="G15" s="31">
        <f>AP_CRONO_Sab!H17</f>
        <v>0.30555555555555558</v>
      </c>
      <c r="H15" s="31">
        <f>AP_CRONO_Sab!I17</f>
        <v>0.30902777777777779</v>
      </c>
      <c r="I15" s="31">
        <f>AP_CRONO_Sab!J17</f>
        <v>0.31736111111111115</v>
      </c>
      <c r="J15" s="31">
        <f>AP_CRONO_Sab!K17</f>
        <v>0.32569444444444451</v>
      </c>
      <c r="K15" s="31">
        <f>AP_CRONO_Sab!L17</f>
        <v>0.32916666666666672</v>
      </c>
      <c r="L15" s="31">
        <f>AP_CRONO_Sab!M17</f>
        <v>0.35694444444444451</v>
      </c>
      <c r="M15" s="31">
        <f>AP_CRONO_Sab!N17</f>
        <v>0.42291666666666672</v>
      </c>
      <c r="N15" s="31">
        <f>AP_CRONO_Sab!O17</f>
        <v>0.4472222222222223</v>
      </c>
      <c r="O15" s="31">
        <f>AP_CRONO_Sab!P17</f>
        <v>0.51319444444444451</v>
      </c>
      <c r="P15" s="31">
        <f>AP_CRONO_Sab!Q17</f>
        <v>0.54583333333333339</v>
      </c>
      <c r="Q15" s="31">
        <f>AP_CRONO_Sab!R17</f>
        <v>0.61152777777777789</v>
      </c>
    </row>
    <row r="16" spans="1:21" x14ac:dyDescent="0.3">
      <c r="A16" s="26">
        <v>8</v>
      </c>
      <c r="B16" t="s">
        <v>38</v>
      </c>
      <c r="C16" s="36">
        <f>SUMIFS(ENCOMENDA!K:K,ENCOMENDA!A:A,B16,ENCOMENDA!L:L,D$1)</f>
        <v>2</v>
      </c>
      <c r="D16" s="31">
        <f>AP_CRONO_Sab!E18</f>
        <v>0.23750000000000007</v>
      </c>
      <c r="E16" s="50">
        <v>0.28125</v>
      </c>
      <c r="F16" s="31">
        <f>AP_CRONO_Sab!G18</f>
        <v>0.2951388888888889</v>
      </c>
      <c r="G16" s="31">
        <f>AP_CRONO_Sab!H18</f>
        <v>0.2951388888888889</v>
      </c>
      <c r="H16" s="31">
        <f>AP_CRONO_Sab!I18</f>
        <v>0.2986111111111111</v>
      </c>
      <c r="I16" s="31">
        <f>AP_CRONO_Sab!J18</f>
        <v>0.30694444444444446</v>
      </c>
      <c r="J16" s="31">
        <f>AP_CRONO_Sab!K18</f>
        <v>0.31527777777777782</v>
      </c>
      <c r="K16" s="31">
        <f>AP_CRONO_Sab!L18</f>
        <v>0.31875000000000003</v>
      </c>
      <c r="L16" s="31">
        <f>AP_CRONO_Sab!M18</f>
        <v>0.34652777777777782</v>
      </c>
      <c r="M16" s="31">
        <f>AP_CRONO_Sab!N18</f>
        <v>0.41250000000000003</v>
      </c>
      <c r="N16" s="31">
        <f>AP_CRONO_Sab!O18</f>
        <v>0.43680555555555556</v>
      </c>
      <c r="O16" s="31">
        <f>AP_CRONO_Sab!P18</f>
        <v>0.50277777777777777</v>
      </c>
      <c r="P16" s="31">
        <f>AP_CRONO_Sab!Q18</f>
        <v>0.53541666666666665</v>
      </c>
      <c r="Q16" s="31">
        <f>AP_CRONO_Sab!R18</f>
        <v>0.60111111111111115</v>
      </c>
    </row>
    <row r="17" spans="1:17" x14ac:dyDescent="0.3">
      <c r="A17" s="26">
        <v>9</v>
      </c>
      <c r="B17" t="s">
        <v>48</v>
      </c>
      <c r="C17" s="36">
        <f>SUMIFS(ENCOMENDA!K:K,ENCOMENDA!A:A,B17,ENCOMENDA!L:L,D$1)</f>
        <v>12.600000000000001</v>
      </c>
      <c r="D17" s="31">
        <f>AP_CRONO_Sab!E19</f>
        <v>0.24305555555555564</v>
      </c>
      <c r="E17" s="50">
        <v>0.30208333333333331</v>
      </c>
      <c r="F17" s="31">
        <f>AP_CRONO_Sab!G19</f>
        <v>0.31597222222222221</v>
      </c>
      <c r="G17" s="31">
        <f>AP_CRONO_Sab!H19</f>
        <v>0.31597222222222221</v>
      </c>
      <c r="H17" s="31">
        <f>AP_CRONO_Sab!I19</f>
        <v>0.31944444444444442</v>
      </c>
      <c r="I17" s="31">
        <f>AP_CRONO_Sab!J19</f>
        <v>0.32777777777777778</v>
      </c>
      <c r="J17" s="31">
        <f>AP_CRONO_Sab!K19</f>
        <v>0.33611111111111114</v>
      </c>
      <c r="K17" s="31">
        <f>AP_CRONO_Sab!L19</f>
        <v>0.33958333333333335</v>
      </c>
      <c r="L17" s="31">
        <f>AP_CRONO_Sab!M19</f>
        <v>0.36736111111111114</v>
      </c>
      <c r="M17" s="31">
        <f>AP_CRONO_Sab!N19</f>
        <v>0.43333333333333335</v>
      </c>
      <c r="N17" s="31">
        <f>AP_CRONO_Sab!O19</f>
        <v>0.45763888888888893</v>
      </c>
      <c r="O17" s="31">
        <f>AP_CRONO_Sab!P19</f>
        <v>0.52361111111111114</v>
      </c>
      <c r="P17" s="31">
        <f>AP_CRONO_Sab!Q19</f>
        <v>0.55625000000000002</v>
      </c>
      <c r="Q17" s="31">
        <f>AP_CRONO_Sab!R19</f>
        <v>0.62194444444444441</v>
      </c>
    </row>
    <row r="18" spans="1:17" x14ac:dyDescent="0.3">
      <c r="A18" s="26">
        <v>9</v>
      </c>
      <c r="B18" t="s">
        <v>27</v>
      </c>
      <c r="C18" s="36">
        <f>SUMIFS(ENCOMENDA!K:K,ENCOMENDA!A:A,B18,ENCOMENDA!L:L,D$1)</f>
        <v>111.15999999999998</v>
      </c>
      <c r="D18" s="31">
        <f>AP_CRONO_Sab!E20</f>
        <v>0.2486111111111112</v>
      </c>
      <c r="E18" s="50">
        <v>0.30208333333333331</v>
      </c>
      <c r="F18" s="31">
        <f>AP_CRONO_Sab!G20</f>
        <v>0.31597222222222221</v>
      </c>
      <c r="G18" s="31">
        <f>AP_CRONO_Sab!H20</f>
        <v>0.31597222222222221</v>
      </c>
      <c r="H18" s="31">
        <f>AP_CRONO_Sab!I20</f>
        <v>0.31944444444444442</v>
      </c>
      <c r="I18" s="31">
        <f>AP_CRONO_Sab!J20</f>
        <v>0.32777777777777778</v>
      </c>
      <c r="J18" s="31">
        <f>AP_CRONO_Sab!K20</f>
        <v>0.33611111111111114</v>
      </c>
      <c r="K18" s="31">
        <f>AP_CRONO_Sab!L20</f>
        <v>0.33958333333333335</v>
      </c>
      <c r="L18" s="31">
        <f>AP_CRONO_Sab!M20</f>
        <v>0.36736111111111114</v>
      </c>
      <c r="M18" s="31">
        <f>AP_CRONO_Sab!N20</f>
        <v>0.43333333333333335</v>
      </c>
      <c r="N18" s="31">
        <f>AP_CRONO_Sab!O20</f>
        <v>0.45763888888888893</v>
      </c>
      <c r="O18" s="31">
        <f>AP_CRONO_Sab!P20</f>
        <v>0.52361111111111114</v>
      </c>
      <c r="P18" s="31">
        <f>AP_CRONO_Sab!Q20</f>
        <v>0.55625000000000002</v>
      </c>
      <c r="Q18" s="31">
        <f>AP_CRONO_Sab!R20</f>
        <v>0.62194444444444441</v>
      </c>
    </row>
    <row r="19" spans="1:17" x14ac:dyDescent="0.3">
      <c r="A19" s="26">
        <v>10</v>
      </c>
      <c r="B19" t="s">
        <v>27</v>
      </c>
      <c r="C19" s="36">
        <f>SUMIFS(ENCOMENDA!K:K,ENCOMENDA!A:A,B19,ENCOMENDA!L:L,D$1)</f>
        <v>111.15999999999998</v>
      </c>
      <c r="D19" s="31">
        <f>AP_CRONO_Sab!E21</f>
        <v>0.25416666666666676</v>
      </c>
      <c r="E19" s="50">
        <v>0.3298611111111111</v>
      </c>
      <c r="F19" s="31">
        <f>AP_CRONO_Sab!G21</f>
        <v>0.34375</v>
      </c>
      <c r="G19" s="31">
        <f>AP_CRONO_Sab!H21</f>
        <v>0.34375</v>
      </c>
      <c r="H19" s="31">
        <f>AP_CRONO_Sab!I21</f>
        <v>0.34722222222222221</v>
      </c>
      <c r="I19" s="31">
        <f>AP_CRONO_Sab!J21</f>
        <v>0.35555555555555557</v>
      </c>
      <c r="J19" s="31">
        <f>AP_CRONO_Sab!K21</f>
        <v>0.36388888888888893</v>
      </c>
      <c r="K19" s="31">
        <f>AP_CRONO_Sab!L21</f>
        <v>0.36736111111111114</v>
      </c>
      <c r="L19" s="31">
        <f>AP_CRONO_Sab!M21</f>
        <v>0.39513888888888893</v>
      </c>
      <c r="M19" s="31">
        <f>AP_CRONO_Sab!N21</f>
        <v>0.46111111111111114</v>
      </c>
      <c r="N19" s="31">
        <f>AP_CRONO_Sab!O21</f>
        <v>0.48541666666666672</v>
      </c>
      <c r="O19" s="31">
        <f>AP_CRONO_Sab!P21</f>
        <v>0.55138888888888893</v>
      </c>
      <c r="P19" s="31">
        <f>AP_CRONO_Sab!Q21</f>
        <v>0.58402777777777781</v>
      </c>
      <c r="Q19" s="31">
        <f>AP_CRONO_Sab!R21</f>
        <v>0.64972222222222231</v>
      </c>
    </row>
    <row r="20" spans="1:17" x14ac:dyDescent="0.3">
      <c r="C20" s="36">
        <f>SUMIFS(ENCOMENDA!K:K,ENCOMENDA!A:A,B20,ENCOMENDA!L:L,D$1)</f>
        <v>0</v>
      </c>
      <c r="D20" s="31" t="str">
        <f>AP_CRONO_Sab!E22</f>
        <v/>
      </c>
      <c r="E20" s="50"/>
      <c r="F20" s="31" t="str">
        <f>AP_CRONO_Sab!G22</f>
        <v/>
      </c>
      <c r="G20" s="31" t="str">
        <f>AP_CRONO_Sab!H22</f>
        <v/>
      </c>
      <c r="H20" s="31" t="str">
        <f>AP_CRONO_Sab!I22</f>
        <v/>
      </c>
      <c r="I20" s="31" t="str">
        <f>AP_CRONO_Sab!J22</f>
        <v/>
      </c>
      <c r="J20" s="31" t="str">
        <f>AP_CRONO_Sab!K22</f>
        <v/>
      </c>
      <c r="K20" s="31" t="str">
        <f>AP_CRONO_Sab!L22</f>
        <v/>
      </c>
      <c r="L20" s="31" t="str">
        <f>AP_CRONO_Sab!M22</f>
        <v/>
      </c>
      <c r="M20" s="31" t="str">
        <f>AP_CRONO_Sab!N22</f>
        <v/>
      </c>
      <c r="N20" s="31" t="str">
        <f>AP_CRONO_Sab!O22</f>
        <v/>
      </c>
      <c r="O20" s="31" t="str">
        <f>AP_CRONO_Sab!P22</f>
        <v/>
      </c>
      <c r="P20" s="31" t="str">
        <f>AP_CRONO_Sab!Q22</f>
        <v/>
      </c>
      <c r="Q20" s="31" t="str">
        <f>AP_CRONO_Sab!R22</f>
        <v/>
      </c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20 F8:Q20">
    <cfRule type="cellIs" dxfId="1" priority="1" operator="lessThan">
      <formula>$T$8</formula>
    </cfRule>
  </conditionalFormatting>
  <conditionalFormatting sqref="D8:D20 F8:Q20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30"/>
  <sheetViews>
    <sheetView zoomScaleNormal="100" workbookViewId="0">
      <selection activeCell="B21" sqref="B21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1" max="21" width="11.21875" bestFit="1" customWidth="1"/>
    <col min="22" max="22" width="9.44140625" bestFit="1" customWidth="1"/>
    <col min="23" max="23" width="17.88671875" bestFit="1" customWidth="1"/>
  </cols>
  <sheetData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Crono_Seg!A8</f>
        <v>1</v>
      </c>
      <c r="B10" t="str">
        <f>Crono_Seg!B8</f>
        <v>AUSTRALIANO</v>
      </c>
      <c r="C10" s="17">
        <f>Crono_Seg!C8</f>
        <v>24.28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0.52381423715256947</v>
      </c>
      <c r="T10" s="45">
        <f>IFERROR(S10*C10,"")</f>
        <v>12.718209678064387</v>
      </c>
      <c r="U10" s="45">
        <f>IFERROR(VLOOKUP(B10,RECEITAS!A:C,3,FALSE),"")</f>
        <v>2.3452338811630851</v>
      </c>
      <c r="V10" s="45">
        <f>IFERROR((U10+S10)*(1-ANALISE!$I$4),"")</f>
        <v>2.8690481183156544</v>
      </c>
      <c r="W10" s="45">
        <f>IFERROR(V10*C10,"")</f>
        <v>69.660488312704089</v>
      </c>
    </row>
    <row r="11" spans="1:23" x14ac:dyDescent="0.3">
      <c r="A11">
        <f>Crono_Seg!A9</f>
        <v>1</v>
      </c>
      <c r="B11" t="str">
        <f>Crono_Seg!B9</f>
        <v>CASEIRINHO</v>
      </c>
      <c r="C11" s="17">
        <f>Crono_Seg!C9</f>
        <v>36.280000000000008</v>
      </c>
      <c r="D11" t="str">
        <f>IFERROR(VLOOKUP(B11,RECEITAS!A:C,$D$7,FALSE),"")</f>
        <v>DIRETO</v>
      </c>
      <c r="E11" s="1">
        <f>IFERROR(E10+(VLOOKUP($D11,PROCESSO!$B:$P,AP_CRONO_SEG!E$8,FALSE)/24),"")</f>
        <v>0.19861111111111113</v>
      </c>
      <c r="F11" s="1">
        <f>Crono_Seg!E9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30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0.37430555555555556</v>
      </c>
      <c r="P11" s="1">
        <f>IFERROR(IF(O11=0,"",VLOOKUP($D11,PROCESSO!$B:$P,O$8,FALSE)/24)+($A$8/24)+O11,"")</f>
        <v>0.44027777777777777</v>
      </c>
      <c r="Q11" s="1">
        <f>IFERROR(IF(P11=0,"",VLOOKUP($D11,PROCESSO!$B:$P,P$8,FALSE)/24)+($A$8/24)+P11,"")</f>
        <v>0.47291666666666665</v>
      </c>
      <c r="R11" s="1">
        <f>IFERROR(IF(Q11=0,"",VLOOKUP($D11,PROCESSO!$B:$P,Q$8,FALSE)/24)+($A$8/24)+Q11,"")</f>
        <v>0.53861111111111115</v>
      </c>
      <c r="S11" s="45">
        <f>IFERROR(IFERROR(VLOOKUP(D11,PROCESSO!B:P,15,FALSE),"")/SUMIFS(C:C,A:A,A11),"")</f>
        <v>0.52381423715256947</v>
      </c>
      <c r="T11" s="45">
        <f t="shared" ref="T11:T22" si="1">IFERROR(S11*C11,"")</f>
        <v>19.003980523895226</v>
      </c>
      <c r="U11" s="45">
        <f>IFERROR(VLOOKUP(B11,RECEITAS!A:C,3,FALSE),"")</f>
        <v>2.3235487959442338</v>
      </c>
      <c r="V11" s="45">
        <f>IFERROR((U11+S11)*(1-ANALISE!$I$4),"")</f>
        <v>2.8473630330968032</v>
      </c>
      <c r="W11" s="45">
        <f t="shared" ref="W11:W22" si="2">IFERROR(V11*C11,"")</f>
        <v>103.30233084075205</v>
      </c>
    </row>
    <row r="12" spans="1:23" x14ac:dyDescent="0.3">
      <c r="A12">
        <f>Crono_Seg!A10</f>
        <v>1</v>
      </c>
      <c r="B12" t="str">
        <f>Crono_Seg!B10</f>
        <v>PH VINHEDO</v>
      </c>
      <c r="C12" s="17">
        <f>Crono_Seg!C10</f>
        <v>6.120000000000001</v>
      </c>
      <c r="D12" t="str">
        <f>IFERROR(VLOOKUP(B12,RECEITAS!A:C,$D$7,FALSE),"")</f>
        <v>DIRETO</v>
      </c>
      <c r="E12" s="1">
        <f>IFERROR(E11+(VLOOKUP($D12,PROCESSO!$B:$P,AP_CRONO_SEG!E$8,FALSE)/24),"")</f>
        <v>0.20416666666666669</v>
      </c>
      <c r="F12" s="1">
        <f>Crono_Seg!E10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0.54902777777777767</v>
      </c>
      <c r="S12" s="45">
        <f>IFERROR(IFERROR(VLOOKUP(D12,PROCESSO!B:P,15,FALSE),"")/SUMIFS(C:C,A:A,A12),"")</f>
        <v>0.52381423715256947</v>
      </c>
      <c r="T12" s="45">
        <f t="shared" si="1"/>
        <v>3.2057431313737257</v>
      </c>
      <c r="U12" s="45">
        <f>IFERROR(VLOOKUP(B12,RECEITAS!A:C,3,FALSE),"")</f>
        <v>4.2629144274493598</v>
      </c>
      <c r="V12" s="45">
        <f>IFERROR((U12+S12)*(1-ANALISE!$I$4),"")</f>
        <v>4.7867286646019291</v>
      </c>
      <c r="W12" s="45">
        <f t="shared" si="2"/>
        <v>29.29477942736381</v>
      </c>
    </row>
    <row r="13" spans="1:23" x14ac:dyDescent="0.3">
      <c r="A13">
        <f>Crono_Seg!A11</f>
        <v>2</v>
      </c>
      <c r="B13" t="str">
        <f>Crono_Seg!B11</f>
        <v>P. AO LEVAIN</v>
      </c>
      <c r="C13" s="17">
        <f>Crono_Seg!C11</f>
        <v>10.55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0.23958333333333331</v>
      </c>
      <c r="G13" s="1">
        <f>IFERROR(IF(F13=0,"",VLOOKUP($D13,PROCESSO!$B:$P,G$8,FALSE)/24)*IFERROR(IF(#REF!&gt;$B$8,ROUNDUP(#REF!/$B$8,0),1),1)+($A$8/24)+F13,"")</f>
        <v>0.25347222222222221</v>
      </c>
      <c r="H13" s="1">
        <f t="shared" si="0"/>
        <v>0.25347222222222221</v>
      </c>
      <c r="I13" s="1">
        <f>IFERROR(IF(H13=0,"",VLOOKUP($D13,PROCESSO!$B:$P,H$8,FALSE)/24)+($A$8/24)+H13,"")</f>
        <v>0.25694444444444442</v>
      </c>
      <c r="J13" s="1">
        <f>IFERROR(IF(I13=0,"",VLOOKUP($D13,PROCESSO!$B:$P,I$8,FALSE)/24)+($A$8/24)+I13,"")</f>
        <v>0.30208333333333331</v>
      </c>
      <c r="K13" s="1">
        <f>IFERROR(IF(J13=0,"",VLOOKUP($D13,PROCESSO!$B:$P,J$8,FALSE)/24)+($A$8/24)+J13,"")</f>
        <v>0.32291666666666663</v>
      </c>
      <c r="L13" s="1">
        <f>IFERROR(IF(K13=0,"",VLOOKUP($D13,PROCESSO!$B:$P,K$8,FALSE)/24)+($A$8/24)+K13,"")</f>
        <v>0.35416666666666663</v>
      </c>
      <c r="M13" s="1">
        <f>IFERROR(IF(L13=0,"",VLOOKUP($D13,PROCESSO!$B:$P,L$8,FALSE)/24)+($A$8/24)+L13,"")</f>
        <v>0.37499999999999994</v>
      </c>
      <c r="N13" s="1">
        <f>IFERROR(IF(M13=0,"",VLOOKUP($D13,PROCESSO!$B:$P,M$8,FALSE)/24)+($A$8/24)+M13,"")</f>
        <v>0.42013888888888884</v>
      </c>
      <c r="O13" s="1">
        <f>IFERROR(IF(N13=0,"",VLOOKUP($D13,PROCESSO!$B:$P,N$8,FALSE)/24)+($A$8/24)+N13,"")</f>
        <v>0.45138888888888884</v>
      </c>
      <c r="P13" s="1">
        <f>IFERROR(IF(O13=0,"",VLOOKUP($D13,PROCESSO!$B:$P,O$8,FALSE)/24)+($A$8/24)+O13,"")</f>
        <v>0.51736111111111105</v>
      </c>
      <c r="Q13" s="1">
        <f>IFERROR(IF(P13=0,"",VLOOKUP($D13,PROCESSO!$B:$P,P$8,FALSE)/24)+($A$8/24)+P13,"")</f>
        <v>0.52083333333333326</v>
      </c>
      <c r="R13" s="1">
        <f>IFERROR(IF(Q13=0,"",VLOOKUP($D13,PROCESSO!$B:$P,Q$8,FALSE)/24)+($A$8/24)+Q13,"")</f>
        <v>0.59374999999999989</v>
      </c>
      <c r="S13" s="45">
        <f>IFERROR(IFERROR(VLOOKUP(D13,PROCESSO!B:P,15,FALSE),"")/SUMIFS(C:C,A:A,A13),"")</f>
        <v>1.3546571290595197</v>
      </c>
      <c r="T13" s="45">
        <f t="shared" si="1"/>
        <v>14.291632711577934</v>
      </c>
      <c r="U13" s="45">
        <f>IFERROR(VLOOKUP(B13,RECEITAS!A:C,3,FALSE),"")</f>
        <v>2.3235487959442338</v>
      </c>
      <c r="V13" s="45">
        <f>IFERROR((U13+S13)*(1-ANALISE!$I$4),"")</f>
        <v>3.6782059250037538</v>
      </c>
      <c r="W13" s="45">
        <f t="shared" si="2"/>
        <v>38.805072508789607</v>
      </c>
    </row>
    <row r="14" spans="1:23" x14ac:dyDescent="0.3">
      <c r="A14">
        <f>Crono_Seg!A12</f>
        <v>2</v>
      </c>
      <c r="B14" t="str">
        <f>Crono_Seg!B12</f>
        <v>P. AZEITE RUST.</v>
      </c>
      <c r="C14" s="17">
        <f>Crono_Seg!C12</f>
        <v>8.75</v>
      </c>
      <c r="D14" t="str">
        <f>IFERROR(VLOOKUP(B14,RECEITAS!A:C,$D$7,FALSE),"")</f>
        <v>RÚSTICO</v>
      </c>
      <c r="E14" s="1">
        <f>IFERROR(E13+(VLOOKUP($D14,PROCESSO!$B:$P,AP_CRONO_SEG!E$8,FALSE)/24),"")</f>
        <v>0.21527777777777782</v>
      </c>
      <c r="F14" s="1">
        <f>Crono_Seg!E12</f>
        <v>0.24999999999999997</v>
      </c>
      <c r="G14" s="1">
        <f>IFERROR(IF(F14=0,"",VLOOKUP($D14,PROCESSO!$B:$P,G$8,FALSE)/24)*IFERROR(IF(#REF!&gt;$B$8,ROUNDUP(#REF!/$B$8,0),1),1)+($A$8/24)+F14,"")</f>
        <v>0.26388888888888884</v>
      </c>
      <c r="H14" s="1">
        <f t="shared" si="0"/>
        <v>0.26388888888888884</v>
      </c>
      <c r="I14" s="1">
        <f>IFERROR(IF(H14=0,"",VLOOKUP($D14,PROCESSO!$B:$P,H$8,FALSE)/24)+($A$8/24)+H14,"")</f>
        <v>0.26736111111111105</v>
      </c>
      <c r="J14" s="1">
        <f>IFERROR(IF(I14=0,"",VLOOKUP($D14,PROCESSO!$B:$P,I$8,FALSE)/24)+($A$8/24)+I14,"")</f>
        <v>0.31249999999999994</v>
      </c>
      <c r="K14" s="1">
        <f>IFERROR(IF(J14=0,"",VLOOKUP($D14,PROCESSO!$B:$P,J$8,FALSE)/24)+($A$8/24)+J14,"")</f>
        <v>0.33333333333333326</v>
      </c>
      <c r="L14" s="1">
        <f>IFERROR(IF(K14=0,"",VLOOKUP($D14,PROCESSO!$B:$P,K$8,FALSE)/24)+($A$8/24)+K14,"")</f>
        <v>0.36458333333333326</v>
      </c>
      <c r="M14" s="1">
        <f>IFERROR(IF(L14=0,"",VLOOKUP($D14,PROCESSO!$B:$P,L$8,FALSE)/24)+($A$8/24)+L14,"")</f>
        <v>0.38541666666666657</v>
      </c>
      <c r="N14" s="1">
        <f>IFERROR(IF(M14=0,"",VLOOKUP($D14,PROCESSO!$B:$P,M$8,FALSE)/24)+($A$8/24)+M14,"")</f>
        <v>0.43055555555555547</v>
      </c>
      <c r="O14" s="1">
        <f>IFERROR(IF(N14=0,"",VLOOKUP($D14,PROCESSO!$B:$P,N$8,FALSE)/24)+($A$8/24)+N14,"")</f>
        <v>0.46180555555555547</v>
      </c>
      <c r="P14" s="1">
        <f>IFERROR(IF(O14=0,"",VLOOKUP($D14,PROCESSO!$B:$P,O$8,FALSE)/24)+($A$8/24)+O14,"")</f>
        <v>0.52777777777777768</v>
      </c>
      <c r="Q14" s="1">
        <f>IFERROR(IF(P14=0,"",VLOOKUP($D14,PROCESSO!$B:$P,P$8,FALSE)/24)+($A$8/24)+P14,"")</f>
        <v>0.53124999999999989</v>
      </c>
      <c r="R14" s="1">
        <f>IFERROR(IF(Q14=0,"",VLOOKUP($D14,PROCESSO!$B:$P,Q$8,FALSE)/24)+($A$8/24)+Q14,"")</f>
        <v>0.60416666666666652</v>
      </c>
      <c r="S14" s="45">
        <f>IFERROR(IFERROR(VLOOKUP(D14,PROCESSO!B:P,15,FALSE),"")/SUMIFS(C:C,A:A,A14),"")</f>
        <v>1.3546571290595197</v>
      </c>
      <c r="T14" s="45">
        <f t="shared" si="1"/>
        <v>11.853249879270798</v>
      </c>
      <c r="U14" s="45">
        <f>IFERROR(VLOOKUP(B14,RECEITAS!A:C,3,FALSE),"")</f>
        <v>2.046595017783527</v>
      </c>
      <c r="V14" s="45">
        <f>IFERROR((U14+S14)*(1-ANALISE!$I$4),"")</f>
        <v>3.4012521468430466</v>
      </c>
      <c r="W14" s="45">
        <f t="shared" si="2"/>
        <v>29.760956284876656</v>
      </c>
    </row>
    <row r="15" spans="1:23" x14ac:dyDescent="0.3">
      <c r="A15">
        <f>Crono_Seg!A13</f>
        <v>2</v>
      </c>
      <c r="B15" t="str">
        <f>Crono_Seg!B13</f>
        <v>BRIOCHE MARGARINA</v>
      </c>
      <c r="C15" s="17">
        <f>Crono_Seg!C13</f>
        <v>8.31</v>
      </c>
      <c r="D15" t="str">
        <f>IFERROR(VLOOKUP(B15,RECEITAS!A:C,$D$7,FALSE),"")</f>
        <v>DIRETO</v>
      </c>
      <c r="E15" s="1">
        <f>IFERROR(E14+(VLOOKUP($D15,PROCESSO!$B:$P,AP_CRONO_SEG!E$8,FALSE)/24),"")</f>
        <v>0.22083333333333338</v>
      </c>
      <c r="F15" s="1">
        <f>Crono_Seg!E13</f>
        <v>0.26041666666666663</v>
      </c>
      <c r="G15" s="1">
        <f>IFERROR(IF(F15=0,"",VLOOKUP($D15,PROCESSO!$B:$P,G$8,FALSE)/24)*IFERROR(IF(#REF!&gt;$B$8,ROUNDUP(#REF!/$B$8,0),1),1)+($A$8/24)+F15,"")</f>
        <v>0.27430555555555552</v>
      </c>
      <c r="H15" s="1">
        <f t="shared" si="0"/>
        <v>0.27430555555555552</v>
      </c>
      <c r="I15" s="1">
        <f>IFERROR(IF(H15=0,"",VLOOKUP($D15,PROCESSO!$B:$P,H$8,FALSE)/24)+($A$8/24)+H15,"")</f>
        <v>0.27777777777777773</v>
      </c>
      <c r="J15" s="1">
        <f>IFERROR(IF(I15=0,"",VLOOKUP($D15,PROCESSO!$B:$P,I$8,FALSE)/24)+($A$8/24)+I15,"")</f>
        <v>0.28611111111111109</v>
      </c>
      <c r="K15" s="1">
        <f>IFERROR(IF(J15=0,"",VLOOKUP($D15,PROCESSO!$B:$P,J$8,FALSE)/24)+($A$8/24)+J15,"")</f>
        <v>0.29444444444444445</v>
      </c>
      <c r="L15" s="1">
        <f>IFERROR(IF(K15=0,"",VLOOKUP($D15,PROCESSO!$B:$P,K$8,FALSE)/24)+($A$8/24)+K15,"")</f>
        <v>0.29791666666666666</v>
      </c>
      <c r="M15" s="1">
        <f>IFERROR(IF(L15=0,"",VLOOKUP($D15,PROCESSO!$B:$P,L$8,FALSE)/24)+($A$8/24)+L15,"")</f>
        <v>0.32569444444444445</v>
      </c>
      <c r="N15" s="1">
        <f>IFERROR(IF(M15=0,"",VLOOKUP($D15,PROCESSO!$B:$P,M$8,FALSE)/24)+($A$8/24)+M15,"")</f>
        <v>0.39166666666666666</v>
      </c>
      <c r="O15" s="1">
        <f>IFERROR(IF(N15=0,"",VLOOKUP($D15,PROCESSO!$B:$P,N$8,FALSE)/24)+($A$8/24)+N15,"")</f>
        <v>0.41597222222222219</v>
      </c>
      <c r="P15" s="1">
        <f>IFERROR(IF(O15=0,"",VLOOKUP($D15,PROCESSO!$B:$P,O$8,FALSE)/24)+($A$8/24)+O15,"")</f>
        <v>0.4819444444444444</v>
      </c>
      <c r="Q15" s="1">
        <f>IFERROR(IF(P15=0,"",VLOOKUP($D15,PROCESSO!$B:$P,P$8,FALSE)/24)+($A$8/24)+P15,"")</f>
        <v>0.51458333333333328</v>
      </c>
      <c r="R15" s="1">
        <f>IFERROR(IF(Q15=0,"",VLOOKUP($D15,PROCESSO!$B:$P,Q$8,FALSE)/24)+($A$8/24)+Q15,"")</f>
        <v>0.58027777777777767</v>
      </c>
      <c r="S15" s="45">
        <f>IFERROR(IFERROR(VLOOKUP(D15,PROCESSO!B:P,15,FALSE),"")/SUMIFS(C:C,A:A,A15),"")</f>
        <v>1.2650464807436921</v>
      </c>
      <c r="T15" s="45">
        <f t="shared" si="1"/>
        <v>10.512536254980082</v>
      </c>
      <c r="U15" s="45">
        <f>IFERROR(VLOOKUP(B15,RECEITAS!A:C,3,FALSE),"")</f>
        <v>2.8395295247239574</v>
      </c>
      <c r="V15" s="45">
        <f>IFERROR((U15+S15)*(1-ANALISE!$I$4),"")</f>
        <v>4.1045760054676492</v>
      </c>
      <c r="W15" s="45">
        <f t="shared" si="2"/>
        <v>34.109026605436171</v>
      </c>
    </row>
    <row r="16" spans="1:23" x14ac:dyDescent="0.3">
      <c r="A16">
        <f>Crono_Seg!A14</f>
        <v>3</v>
      </c>
      <c r="B16" t="str">
        <f>Crono_Seg!B14</f>
        <v>VINHEDO RUST.</v>
      </c>
      <c r="C16" s="17">
        <f>Crono_Seg!C14</f>
        <v>6.24</v>
      </c>
      <c r="D16" t="str">
        <f>IFERROR(VLOOKUP(B16,RECEITAS!A:C,$D$7,FALSE),"")</f>
        <v>RÚSTICO</v>
      </c>
      <c r="E16" s="1">
        <f>IFERROR(E15+(VLOOKUP($D16,PROCESSO!$B:$P,AP_CRONO_SEG!E$8,FALSE)/24),"")</f>
        <v>0.22638888888888895</v>
      </c>
      <c r="F16" s="1">
        <f>Crono_Seg!E14</f>
        <v>0.27083333333333331</v>
      </c>
      <c r="G16" s="1">
        <f>IFERROR(IF(F16=0,"",VLOOKUP($D16,PROCESSO!$B:$P,G$8,FALSE)/24)*IFERROR(IF(#REF!&gt;$B$8,ROUNDUP(#REF!/$B$8,0),1),1)+($A$8/24)+F16,"")</f>
        <v>0.28472222222222221</v>
      </c>
      <c r="H16" s="1">
        <f t="shared" si="0"/>
        <v>0.28472222222222221</v>
      </c>
      <c r="I16" s="1">
        <f>IFERROR(IF(H16=0,"",VLOOKUP($D16,PROCESSO!$B:$P,H$8,FALSE)/24)+($A$8/24)+H16,"")</f>
        <v>0.28819444444444442</v>
      </c>
      <c r="J16" s="1">
        <f>IFERROR(IF(I16=0,"",VLOOKUP($D16,PROCESSO!$B:$P,I$8,FALSE)/24)+($A$8/24)+I16,"")</f>
        <v>0.33333333333333331</v>
      </c>
      <c r="K16" s="1">
        <f>IFERROR(IF(J16=0,"",VLOOKUP($D16,PROCESSO!$B:$P,J$8,FALSE)/24)+($A$8/24)+J16,"")</f>
        <v>0.35416666666666663</v>
      </c>
      <c r="L16" s="1">
        <f>IFERROR(IF(K16=0,"",VLOOKUP($D16,PROCESSO!$B:$P,K$8,FALSE)/24)+($A$8/24)+K16,"")</f>
        <v>0.38541666666666663</v>
      </c>
      <c r="M16" s="1">
        <f>IFERROR(IF(L16=0,"",VLOOKUP($D16,PROCESSO!$B:$P,L$8,FALSE)/24)+($A$8/24)+L16,"")</f>
        <v>0.40624999999999994</v>
      </c>
      <c r="N16" s="1">
        <f>IFERROR(IF(M16=0,"",VLOOKUP($D16,PROCESSO!$B:$P,M$8,FALSE)/24)+($A$8/24)+M16,"")</f>
        <v>0.45138888888888884</v>
      </c>
      <c r="O16" s="1">
        <f>IFERROR(IF(N16=0,"",VLOOKUP($D16,PROCESSO!$B:$P,N$8,FALSE)/24)+($A$8/24)+N16,"")</f>
        <v>0.48263888888888884</v>
      </c>
      <c r="P16" s="1">
        <f>IFERROR(IF(O16=0,"",VLOOKUP($D16,PROCESSO!$B:$P,O$8,FALSE)/24)+($A$8/24)+O16,"")</f>
        <v>0.54861111111111105</v>
      </c>
      <c r="Q16" s="1">
        <f>IFERROR(IF(P16=0,"",VLOOKUP($D16,PROCESSO!$B:$P,P$8,FALSE)/24)+($A$8/24)+P16,"")</f>
        <v>0.55208333333333326</v>
      </c>
      <c r="R16" s="1">
        <f>IFERROR(IF(Q16=0,"",VLOOKUP($D16,PROCESSO!$B:$P,Q$8,FALSE)/24)+($A$8/24)+Q16,"")</f>
        <v>0.62499999999999989</v>
      </c>
      <c r="S16" s="45">
        <f>IFERROR(IFERROR(VLOOKUP(D16,PROCESSO!B:P,15,FALSE),"")/SUMIFS(C:C,A:A,A16),"")</f>
        <v>2.2544956801285911</v>
      </c>
      <c r="T16" s="45">
        <f t="shared" si="1"/>
        <v>14.06805304400241</v>
      </c>
      <c r="U16" s="45">
        <f>IFERROR(VLOOKUP(B16,RECEITAS!A:C,3,FALSE),"")</f>
        <v>4.2629144274493598</v>
      </c>
      <c r="V16" s="45">
        <f>IFERROR((U16+S16)*(1-ANALISE!$I$4),"")</f>
        <v>6.5174101075779509</v>
      </c>
      <c r="W16" s="45">
        <f t="shared" si="2"/>
        <v>40.668639071286414</v>
      </c>
    </row>
    <row r="17" spans="1:23" x14ac:dyDescent="0.3">
      <c r="A17">
        <f>Crono_Seg!A15</f>
        <v>3</v>
      </c>
      <c r="B17" t="str">
        <f>Crono_Seg!B15</f>
        <v>PF INTEGRAL</v>
      </c>
      <c r="C17" s="17">
        <f>Crono_Seg!C15</f>
        <v>4.95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0.28125</v>
      </c>
      <c r="G17" s="1">
        <f>IFERROR(IF(F17=0,"",VLOOKUP($D17,PROCESSO!$B:$P,G$8,FALSE)/24)*IFERROR(IF(#REF!&gt;$B$8,ROUNDUP(#REF!/$B$8,0),1),1)+($A$8/24)+F17,"")</f>
        <v>0.2951388888888889</v>
      </c>
      <c r="H17" s="1">
        <f t="shared" si="0"/>
        <v>0.2951388888888889</v>
      </c>
      <c r="I17" s="1">
        <f>IFERROR(IF(H17=0,"",VLOOKUP($D17,PROCESSO!$B:$P,H$8,FALSE)/24)+($A$8/24)+H17,"")</f>
        <v>0.2986111111111111</v>
      </c>
      <c r="J17" s="1">
        <f>IFERROR(IF(I17=0,"",VLOOKUP($D17,PROCESSO!$B:$P,I$8,FALSE)/24)+($A$8/24)+I17,"")</f>
        <v>0.30694444444444446</v>
      </c>
      <c r="K17" s="1">
        <f>IFERROR(IF(J17=0,"",VLOOKUP($D17,PROCESSO!$B:$P,J$8,FALSE)/24)+($A$8/24)+J17,"")</f>
        <v>0.31527777777777782</v>
      </c>
      <c r="L17" s="1">
        <f>IFERROR(IF(K17=0,"",VLOOKUP($D17,PROCESSO!$B:$P,K$8,FALSE)/24)+($A$8/24)+K17,"")</f>
        <v>0.31875000000000003</v>
      </c>
      <c r="M17" s="1">
        <f>IFERROR(IF(L17=0,"",VLOOKUP($D17,PROCESSO!$B:$P,L$8,FALSE)/24)+($A$8/24)+L17,"")</f>
        <v>0.34652777777777782</v>
      </c>
      <c r="N17" s="1">
        <f>IFERROR(IF(M17=0,"",VLOOKUP($D17,PROCESSO!$B:$P,M$8,FALSE)/24)+($A$8/24)+M17,"")</f>
        <v>0.41250000000000003</v>
      </c>
      <c r="O17" s="1">
        <f>IFERROR(IF(N17=0,"",VLOOKUP($D17,PROCESSO!$B:$P,N$8,FALSE)/24)+($A$8/24)+N17,"")</f>
        <v>0.43680555555555556</v>
      </c>
      <c r="P17" s="1">
        <f>IFERROR(IF(O17=0,"",VLOOKUP($D17,PROCESSO!$B:$P,O$8,FALSE)/24)+($A$8/24)+O17,"")</f>
        <v>0.50277777777777777</v>
      </c>
      <c r="Q17" s="1">
        <f>IFERROR(IF(P17=0,"",VLOOKUP($D17,PROCESSO!$B:$P,P$8,FALSE)/24)+($A$8/24)+P17,"")</f>
        <v>0.53541666666666665</v>
      </c>
      <c r="R17" s="1">
        <f>IFERROR(IF(Q17=0,"",VLOOKUP($D17,PROCESSO!$B:$P,Q$8,FALSE)/24)+($A$8/24)+Q17,"")</f>
        <v>0.60111111111111115</v>
      </c>
      <c r="S17" s="45">
        <f>IFERROR(IFERROR(VLOOKUP(D17,PROCESSO!B:P,15,FALSE),"")/SUMIFS(C:C,A:A,A17),"")</f>
        <v>2.105360659031545</v>
      </c>
      <c r="T17" s="45">
        <f t="shared" si="1"/>
        <v>10.421535262206149</v>
      </c>
      <c r="U17" s="45">
        <f>IFERROR(VLOOKUP(B17,RECEITAS!A:C,3,FALSE),"")</f>
        <v>2.6739550191991226</v>
      </c>
      <c r="V17" s="45">
        <f>IFERROR((U17+S17)*(1-ANALISE!$I$4),"")</f>
        <v>4.7793156782306676</v>
      </c>
      <c r="W17" s="45">
        <f t="shared" si="2"/>
        <v>23.657612607241806</v>
      </c>
    </row>
    <row r="18" spans="1:23" x14ac:dyDescent="0.3">
      <c r="A18">
        <f>Crono_Seg!A16</f>
        <v>3</v>
      </c>
      <c r="B18" t="str">
        <f>Crono_Seg!B16</f>
        <v>AMANTEIGADO</v>
      </c>
      <c r="C18" s="17">
        <f>Crono_Seg!C16</f>
        <v>5.4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0.29166666666666669</v>
      </c>
      <c r="G18" s="1">
        <f>IFERROR(IF(F18=0,"",VLOOKUP($D18,PROCESSO!$B:$P,G$8,FALSE)/24)*IFERROR(IF(#REF!&gt;$B$8,ROUNDUP(#REF!/$B$8,0),1),1)+($A$8/24)+F18,"")</f>
        <v>0.30555555555555558</v>
      </c>
      <c r="H18" s="1">
        <f t="shared" si="0"/>
        <v>0.30555555555555558</v>
      </c>
      <c r="I18" s="1">
        <f>IFERROR(IF(H18=0,"",VLOOKUP($D18,PROCESSO!$B:$P,H$8,FALSE)/24)+($A$8/24)+H18,"")</f>
        <v>0.30902777777777779</v>
      </c>
      <c r="J18" s="1">
        <f>IFERROR(IF(I18=0,"",VLOOKUP($D18,PROCESSO!$B:$P,I$8,FALSE)/24)+($A$8/24)+I18,"")</f>
        <v>0.31736111111111115</v>
      </c>
      <c r="K18" s="1">
        <f>IFERROR(IF(J18=0,"",VLOOKUP($D18,PROCESSO!$B:$P,J$8,FALSE)/24)+($A$8/24)+J18,"")</f>
        <v>0.32569444444444451</v>
      </c>
      <c r="L18" s="1">
        <f>IFERROR(IF(K18=0,"",VLOOKUP($D18,PROCESSO!$B:$P,K$8,FALSE)/24)+($A$8/24)+K18,"")</f>
        <v>0.32916666666666672</v>
      </c>
      <c r="M18" s="1">
        <f>IFERROR(IF(L18=0,"",VLOOKUP($D18,PROCESSO!$B:$P,L$8,FALSE)/24)+($A$8/24)+L18,"")</f>
        <v>0.35694444444444451</v>
      </c>
      <c r="N18" s="1">
        <f>IFERROR(IF(M18=0,"",VLOOKUP($D18,PROCESSO!$B:$P,M$8,FALSE)/24)+($A$8/24)+M18,"")</f>
        <v>0.42291666666666672</v>
      </c>
      <c r="O18" s="1">
        <f>IFERROR(IF(N18=0,"",VLOOKUP($D18,PROCESSO!$B:$P,N$8,FALSE)/24)+($A$8/24)+N18,"")</f>
        <v>0.4472222222222223</v>
      </c>
      <c r="P18" s="1">
        <f>IFERROR(IF(O18=0,"",VLOOKUP($D18,PROCESSO!$B:$P,O$8,FALSE)/24)+($A$8/24)+O18,"")</f>
        <v>0.51319444444444451</v>
      </c>
      <c r="Q18" s="1">
        <f>IFERROR(IF(P18=0,"",VLOOKUP($D18,PROCESSO!$B:$P,P$8,FALSE)/24)+($A$8/24)+P18,"")</f>
        <v>0.54583333333333339</v>
      </c>
      <c r="R18" s="1">
        <f>IFERROR(IF(Q18=0,"",VLOOKUP($D18,PROCESSO!$B:$P,Q$8,FALSE)/24)+($A$8/24)+Q18,"")</f>
        <v>0.61152777777777789</v>
      </c>
      <c r="S18" s="45">
        <f>IFERROR(IFERROR(VLOOKUP(D18,PROCESSO!B:P,15,FALSE),"")/SUMIFS(C:C,A:A,A18),"")</f>
        <v>2.105360659031545</v>
      </c>
      <c r="T18" s="45">
        <f t="shared" si="1"/>
        <v>11.368947558770344</v>
      </c>
      <c r="U18" s="45">
        <f>IFERROR(VLOOKUP(B18,RECEITAS!A:C,3,FALSE),"")</f>
        <v>1.8031880400301454</v>
      </c>
      <c r="V18" s="45">
        <f>IFERROR((U18+S18)*(1-ANALISE!$I$4),"")</f>
        <v>3.9085486990616904</v>
      </c>
      <c r="W18" s="45">
        <f t="shared" si="2"/>
        <v>21.106162974933131</v>
      </c>
    </row>
    <row r="19" spans="1:23" x14ac:dyDescent="0.3">
      <c r="A19">
        <f>Crono_Seg!A17</f>
        <v>4</v>
      </c>
      <c r="B19" t="str">
        <f>Crono_Seg!B17</f>
        <v>BAG. PRIMAS</v>
      </c>
      <c r="C19" s="17">
        <f>Crono_Seg!C17</f>
        <v>14.8</v>
      </c>
      <c r="D19" t="str">
        <f>IFERROR(VLOOKUP(B19,RECEITAS!A:C,$D$7,FALSE),"")</f>
        <v>RÚSTICO</v>
      </c>
      <c r="E19" s="1">
        <f>IFERROR(E18+(VLOOKUP($D19,PROCESSO!$B:$P,AP_CRONO_SEG!E$8,FALSE)/24),"")</f>
        <v>0.24305555555555564</v>
      </c>
      <c r="F19" s="1">
        <f>Crono_Seg!E17</f>
        <v>0.30208333333333337</v>
      </c>
      <c r="G19" s="1">
        <f>IFERROR(IF(F19=0,"",VLOOKUP($D19,PROCESSO!$B:$P,G$8,FALSE)/24)*IFERROR(IF(#REF!&gt;$B$8,ROUNDUP(#REF!/$B$8,0),1),1)+($A$8/24)+F19,"")</f>
        <v>0.31597222222222227</v>
      </c>
      <c r="H19" s="1">
        <f t="shared" si="0"/>
        <v>0.31597222222222227</v>
      </c>
      <c r="I19" s="1">
        <f>IFERROR(IF(H19=0,"",VLOOKUP($D19,PROCESSO!$B:$P,H$8,FALSE)/24)+($A$8/24)+H19,"")</f>
        <v>0.31944444444444448</v>
      </c>
      <c r="J19" s="1">
        <f>IFERROR(IF(I19=0,"",VLOOKUP($D19,PROCESSO!$B:$P,I$8,FALSE)/24)+($A$8/24)+I19,"")</f>
        <v>0.36458333333333337</v>
      </c>
      <c r="K19" s="1">
        <f>IFERROR(IF(J19=0,"",VLOOKUP($D19,PROCESSO!$B:$P,J$8,FALSE)/24)+($A$8/24)+J19,"")</f>
        <v>0.38541666666666669</v>
      </c>
      <c r="L19" s="1">
        <f>IFERROR(IF(K19=0,"",VLOOKUP($D19,PROCESSO!$B:$P,K$8,FALSE)/24)+($A$8/24)+K19,"")</f>
        <v>0.41666666666666669</v>
      </c>
      <c r="M19" s="1">
        <f>IFERROR(IF(L19=0,"",VLOOKUP($D19,PROCESSO!$B:$P,L$8,FALSE)/24)+($A$8/24)+L19,"")</f>
        <v>0.4375</v>
      </c>
      <c r="N19" s="1">
        <f>IFERROR(IF(M19=0,"",VLOOKUP($D19,PROCESSO!$B:$P,M$8,FALSE)/24)+($A$8/24)+M19,"")</f>
        <v>0.4826388888888889</v>
      </c>
      <c r="O19" s="1">
        <f>IFERROR(IF(N19=0,"",VLOOKUP($D19,PROCESSO!$B:$P,N$8,FALSE)/24)+($A$8/24)+N19,"")</f>
        <v>0.51388888888888884</v>
      </c>
      <c r="P19" s="1">
        <f>IFERROR(IF(O19=0,"",VLOOKUP($D19,PROCESSO!$B:$P,O$8,FALSE)/24)+($A$8/24)+O19,"")</f>
        <v>0.57986111111111105</v>
      </c>
      <c r="Q19" s="1">
        <f>IFERROR(IF(P19=0,"",VLOOKUP($D19,PROCESSO!$B:$P,P$8,FALSE)/24)+($A$8/24)+P19,"")</f>
        <v>0.58333333333333326</v>
      </c>
      <c r="R19" s="1">
        <f>IFERROR(IF(Q19=0,"",VLOOKUP($D19,PROCESSO!$B:$P,Q$8,FALSE)/24)+($A$8/24)+Q19,"")</f>
        <v>0.65624999999999989</v>
      </c>
      <c r="S19" s="45">
        <f>IFERROR(IFERROR(VLOOKUP(D19,PROCESSO!B:P,15,FALSE),"")/SUMIFS(C:C,A:A,A19),"")</f>
        <v>2.3672204641350212</v>
      </c>
      <c r="T19" s="45">
        <f t="shared" si="1"/>
        <v>35.034862869198314</v>
      </c>
      <c r="U19" s="45">
        <f>IFERROR(VLOOKUP(B19,RECEITAS!A:C,3,FALSE),"")</f>
        <v>2.206347678369196</v>
      </c>
      <c r="V19" s="45">
        <f>IFERROR((U19+S19)*(1-ANALISE!$I$4),"")</f>
        <v>4.5735681425042172</v>
      </c>
      <c r="W19" s="45">
        <f t="shared" si="2"/>
        <v>67.688808509062412</v>
      </c>
    </row>
    <row r="20" spans="1:23" x14ac:dyDescent="0.3">
      <c r="A20">
        <f>Crono_Seg!A18</f>
        <v>4</v>
      </c>
      <c r="B20" t="str">
        <f>Crono_Seg!B18</f>
        <v>BREZEL</v>
      </c>
      <c r="C20" s="17">
        <f>Crono_Seg!C18</f>
        <v>1</v>
      </c>
      <c r="D20" t="str">
        <f>IFERROR(VLOOKUP(B20,RECEITAS!A:C,$D$7,FALSE),"")</f>
        <v>RÚSTICO</v>
      </c>
      <c r="E20" s="1">
        <f>IFERROR(E19+(VLOOKUP($D20,PROCESSO!$B:$P,AP_CRONO_SEG!E$8,FALSE)/24),"")</f>
        <v>0.2486111111111112</v>
      </c>
      <c r="F20" s="1">
        <f>Crono_Seg!E18</f>
        <v>0.31250000000000006</v>
      </c>
      <c r="G20" s="1">
        <f>IFERROR(IF(F20=0,"",VLOOKUP($D20,PROCESSO!$B:$P,G$8,FALSE)/24)*IFERROR(IF(#REF!&gt;$B$8,ROUNDUP(#REF!/$B$8,0),1),1)+($A$8/24)+F20,"")</f>
        <v>0.32638888888888895</v>
      </c>
      <c r="H20" s="1">
        <f t="shared" si="0"/>
        <v>0.32638888888888895</v>
      </c>
      <c r="I20" s="1">
        <f>IFERROR(IF(H20=0,"",VLOOKUP($D20,PROCESSO!$B:$P,H$8,FALSE)/24)+($A$8/24)+H20,"")</f>
        <v>0.32986111111111116</v>
      </c>
      <c r="J20" s="1">
        <f>IFERROR(IF(I20=0,"",VLOOKUP($D20,PROCESSO!$B:$P,I$8,FALSE)/24)+($A$8/24)+I20,"")</f>
        <v>0.37500000000000006</v>
      </c>
      <c r="K20" s="1">
        <f>IFERROR(IF(J20=0,"",VLOOKUP($D20,PROCESSO!$B:$P,J$8,FALSE)/24)+($A$8/24)+J20,"")</f>
        <v>0.39583333333333337</v>
      </c>
      <c r="L20" s="1">
        <f>IFERROR(IF(K20=0,"",VLOOKUP($D20,PROCESSO!$B:$P,K$8,FALSE)/24)+($A$8/24)+K20,"")</f>
        <v>0.42708333333333337</v>
      </c>
      <c r="M20" s="1">
        <f>IFERROR(IF(L20=0,"",VLOOKUP($D20,PROCESSO!$B:$P,L$8,FALSE)/24)+($A$8/24)+L20,"")</f>
        <v>0.44791666666666669</v>
      </c>
      <c r="N20" s="1">
        <f>IFERROR(IF(M20=0,"",VLOOKUP($D20,PROCESSO!$B:$P,M$8,FALSE)/24)+($A$8/24)+M20,"")</f>
        <v>0.49305555555555558</v>
      </c>
      <c r="O20" s="1">
        <f>IFERROR(IF(N20=0,"",VLOOKUP($D20,PROCESSO!$B:$P,N$8,FALSE)/24)+($A$8/24)+N20,"")</f>
        <v>0.52430555555555558</v>
      </c>
      <c r="P20" s="1">
        <f>IFERROR(IF(O20=0,"",VLOOKUP($D20,PROCESSO!$B:$P,O$8,FALSE)/24)+($A$8/24)+O20,"")</f>
        <v>0.59027777777777779</v>
      </c>
      <c r="Q20" s="1">
        <f>IFERROR(IF(P20=0,"",VLOOKUP($D20,PROCESSO!$B:$P,P$8,FALSE)/24)+($A$8/24)+P20,"")</f>
        <v>0.59375</v>
      </c>
      <c r="R20" s="1">
        <f>IFERROR(IF(Q20=0,"",VLOOKUP($D20,PROCESSO!$B:$P,Q$8,FALSE)/24)+($A$8/24)+Q20,"")</f>
        <v>0.66666666666666663</v>
      </c>
      <c r="S20" s="45">
        <f>IFERROR(IFERROR(VLOOKUP(D20,PROCESSO!B:P,15,FALSE),"")/SUMIFS(C:C,A:A,A20),"")</f>
        <v>2.3672204641350212</v>
      </c>
      <c r="T20" s="45">
        <f t="shared" si="1"/>
        <v>2.3672204641350212</v>
      </c>
      <c r="U20" s="45">
        <f>IFERROR(VLOOKUP(B20,RECEITAS!A:C,3,FALSE),"")</f>
        <v>2.21</v>
      </c>
      <c r="V20" s="45">
        <f>IFERROR((U20+S20)*(1-ANALISE!$I$4),"")</f>
        <v>4.5772204641350207</v>
      </c>
      <c r="W20" s="45">
        <f t="shared" si="2"/>
        <v>4.5772204641350207</v>
      </c>
    </row>
    <row r="21" spans="1:23" x14ac:dyDescent="0.3">
      <c r="A21">
        <f>Crono_Seg!A19</f>
        <v>5</v>
      </c>
      <c r="B21" t="str">
        <f>Crono_Seg!B19</f>
        <v>BRIOCHE MARGARINA 50% AÇUCAR</v>
      </c>
      <c r="C21" s="17">
        <f>Crono_Seg!C19</f>
        <v>16.200000000000003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0.32291666666666674</v>
      </c>
      <c r="G21" s="1">
        <f>IFERROR(IF(F21=0,"",VLOOKUP($D21,PROCESSO!$B:$P,G$8,FALSE)/24)*IFERROR(IF(#REF!&gt;$B$8,ROUNDUP(#REF!/$B$8,0),1),1)+($A$8/24)+F21,"")</f>
        <v>0.33680555555555564</v>
      </c>
      <c r="H21" s="1">
        <f t="shared" si="0"/>
        <v>0.33680555555555564</v>
      </c>
      <c r="I21" s="1">
        <f>IFERROR(IF(H21=0,"",VLOOKUP($D21,PROCESSO!$B:$P,H$8,FALSE)/24)+($A$8/24)+H21,"")</f>
        <v>0.34027777777777785</v>
      </c>
      <c r="J21" s="1">
        <f>IFERROR(IF(I21=0,"",VLOOKUP($D21,PROCESSO!$B:$P,I$8,FALSE)/24)+($A$8/24)+I21,"")</f>
        <v>0.3486111111111112</v>
      </c>
      <c r="K21" s="1">
        <f>IFERROR(IF(J21=0,"",VLOOKUP($D21,PROCESSO!$B:$P,J$8,FALSE)/24)+($A$8/24)+J21,"")</f>
        <v>0.35694444444444456</v>
      </c>
      <c r="L21" s="1">
        <f>IFERROR(IF(K21=0,"",VLOOKUP($D21,PROCESSO!$B:$P,K$8,FALSE)/24)+($A$8/24)+K21,"")</f>
        <v>0.36041666666666677</v>
      </c>
      <c r="M21" s="1">
        <f>IFERROR(IF(L21=0,"",VLOOKUP($D21,PROCESSO!$B:$P,L$8,FALSE)/24)+($A$8/24)+L21,"")</f>
        <v>0.38819444444444456</v>
      </c>
      <c r="N21" s="1">
        <f>IFERROR(IF(M21=0,"",VLOOKUP($D21,PROCESSO!$B:$P,M$8,FALSE)/24)+($A$8/24)+M21,"")</f>
        <v>0.45416666666666677</v>
      </c>
      <c r="O21" s="1">
        <f>IFERROR(IF(N21=0,"",VLOOKUP($D21,PROCESSO!$B:$P,N$8,FALSE)/24)+($A$8/24)+N21,"")</f>
        <v>0.4784722222222223</v>
      </c>
      <c r="P21" s="1">
        <f>IFERROR(IF(O21=0,"",VLOOKUP($D21,PROCESSO!$B:$P,O$8,FALSE)/24)+($A$8/24)+O21,"")</f>
        <v>0.54444444444444451</v>
      </c>
      <c r="Q21" s="1">
        <f>IFERROR(IF(P21=0,"",VLOOKUP($D21,PROCESSO!$B:$P,P$8,FALSE)/24)+($A$8/24)+P21,"")</f>
        <v>0.57708333333333339</v>
      </c>
      <c r="R21" s="1">
        <f>IFERROR(IF(Q21=0,"",VLOOKUP($D21,PROCESSO!$B:$P,Q$8,FALSE)/24)+($A$8/24)+Q21,"")</f>
        <v>0.64277777777777789</v>
      </c>
      <c r="S21" s="45">
        <f>IFERROR(IFERROR(VLOOKUP(D21,PROCESSO!B:P,15,FALSE),"")/SUMIFS(C:C,A:A,A21),"")</f>
        <v>1.7640370370370368</v>
      </c>
      <c r="T21" s="45">
        <f t="shared" si="1"/>
        <v>28.577400000000001</v>
      </c>
      <c r="U21" s="45">
        <f>IFERROR(VLOOKUP(B21,RECEITAS!A:C,3,FALSE),"")</f>
        <v>2.8814478282576137</v>
      </c>
      <c r="V21" s="45">
        <f>IFERROR((U21+S21)*(1-ANALISE!$I$4),"")</f>
        <v>4.6454848652946508</v>
      </c>
      <c r="W21" s="45">
        <f t="shared" si="2"/>
        <v>75.256854817773359</v>
      </c>
    </row>
    <row r="22" spans="1:23" x14ac:dyDescent="0.3">
      <c r="A22">
        <f>Crono_Seg!A20</f>
        <v>5</v>
      </c>
      <c r="B22" t="str">
        <f>Crono_Seg!B20</f>
        <v>PIZZA PAN</v>
      </c>
      <c r="C22" s="17">
        <f>Crono_Seg!C20</f>
        <v>0.60000000000000009</v>
      </c>
      <c r="D22" t="str">
        <f>IFERROR(VLOOKUP(B22,RECEITAS!A:C,$D$7,FALSE),"")</f>
        <v>RÚSTICO</v>
      </c>
      <c r="E22" s="1">
        <f>IFERROR(E21+(VLOOKUP($D22,PROCESSO!$B:$P,AP_CRONO_SEG!E$8,FALSE)/24),"")</f>
        <v>0.2597222222222223</v>
      </c>
      <c r="F22" s="1">
        <f>Crono_Seg!E20</f>
        <v>0.33333333333333343</v>
      </c>
      <c r="G22" s="1">
        <f>IFERROR(IF(F22=0,"",VLOOKUP($D22,PROCESSO!$B:$P,G$8,FALSE)/24)*IFERROR(IF(#REF!&gt;$B$8,ROUNDUP(#REF!/$B$8,0),1),1)+($A$8/24)+F22,"")</f>
        <v>0.34722222222222232</v>
      </c>
      <c r="H22" s="1">
        <f t="shared" ref="H22:H25" si="3">G22</f>
        <v>0.34722222222222232</v>
      </c>
      <c r="I22" s="1">
        <f>IFERROR(IF(H22=0,"",VLOOKUP($D22,PROCESSO!$B:$P,H$8,FALSE)/24)+($A$8/24)+H22,"")</f>
        <v>0.35069444444444453</v>
      </c>
      <c r="J22" s="1">
        <f>IFERROR(IF(I22=0,"",VLOOKUP($D22,PROCESSO!$B:$P,I$8,FALSE)/24)+($A$8/24)+I22,"")</f>
        <v>0.39583333333333343</v>
      </c>
      <c r="K22" s="1">
        <f>IFERROR(IF(J22=0,"",VLOOKUP($D22,PROCESSO!$B:$P,J$8,FALSE)/24)+($A$8/24)+J22,"")</f>
        <v>0.41666666666666674</v>
      </c>
      <c r="L22" s="1">
        <f>IFERROR(IF(K22=0,"",VLOOKUP($D22,PROCESSO!$B:$P,K$8,FALSE)/24)+($A$8/24)+K22,"")</f>
        <v>0.44791666666666674</v>
      </c>
      <c r="M22" s="1">
        <f>IFERROR(IF(L22=0,"",VLOOKUP($D22,PROCESSO!$B:$P,L$8,FALSE)/24)+($A$8/24)+L22,"")</f>
        <v>0.46875000000000006</v>
      </c>
      <c r="N22" s="1">
        <f>IFERROR(IF(M22=0,"",VLOOKUP($D22,PROCESSO!$B:$P,M$8,FALSE)/24)+($A$8/24)+M22,"")</f>
        <v>0.51388888888888895</v>
      </c>
      <c r="O22" s="1">
        <f>IFERROR(IF(N22=0,"",VLOOKUP($D22,PROCESSO!$B:$P,N$8,FALSE)/24)+($A$8/24)+N22,"")</f>
        <v>0.54513888888888895</v>
      </c>
      <c r="P22" s="1">
        <f>IFERROR(IF(O22=0,"",VLOOKUP($D22,PROCESSO!$B:$P,O$8,FALSE)/24)+($A$8/24)+O22,"")</f>
        <v>0.61111111111111116</v>
      </c>
      <c r="Q22" s="1">
        <f>IFERROR(IF(P22=0,"",VLOOKUP($D22,PROCESSO!$B:$P,P$8,FALSE)/24)+($A$8/24)+P22,"")</f>
        <v>0.61458333333333337</v>
      </c>
      <c r="R22" s="1">
        <f>IFERROR(IF(Q22=0,"",VLOOKUP($D22,PROCESSO!$B:$P,Q$8,FALSE)/24)+($A$8/24)+Q22,"")</f>
        <v>0.6875</v>
      </c>
      <c r="S22" s="45">
        <f>IFERROR(IFERROR(VLOOKUP(D22,PROCESSO!B:P,15,FALSE),"")/SUMIFS(C:C,A:A,A22),"")</f>
        <v>1.8889941077441075</v>
      </c>
      <c r="T22" s="45">
        <f t="shared" si="1"/>
        <v>1.1333964646464647</v>
      </c>
      <c r="U22" s="45">
        <f>IFERROR(VLOOKUP(B22,RECEITAS!A:C,3,FALSE),"")</f>
        <v>2.4490459229898076</v>
      </c>
      <c r="V22" s="45">
        <f>IFERROR((U22+S22)*(1-ANALISE!$I$4),"")</f>
        <v>4.3380400307339153</v>
      </c>
      <c r="W22" s="45">
        <f t="shared" si="2"/>
        <v>2.6028240184403497</v>
      </c>
    </row>
    <row r="23" spans="1:23" x14ac:dyDescent="0.3">
      <c r="A23">
        <f>Crono_Seg!A21</f>
        <v>5</v>
      </c>
      <c r="B23" t="str">
        <f>Crono_Seg!B21</f>
        <v>PH INTEGRAL COM ÓLEO</v>
      </c>
      <c r="C23" s="17">
        <f>Crono_Seg!C21</f>
        <v>3.0000000000000004</v>
      </c>
      <c r="D23" t="str">
        <f>IFERROR(VLOOKUP(B23,RECEITAS!A:C,$D$7,FALSE),"")</f>
        <v>DIRETO</v>
      </c>
      <c r="E23" s="1">
        <f>IFERROR(E22+(VLOOKUP($D23,PROCESSO!$B:$P,AP_CRONO_SEG!E$8,FALSE)/24),"")</f>
        <v>0.26527777777777783</v>
      </c>
      <c r="F23" s="1">
        <f>Crono_Seg!E21</f>
        <v>0.34375000000000011</v>
      </c>
      <c r="G23" s="1">
        <f>IFERROR(IF(F23=0,"",VLOOKUP($D23,PROCESSO!$B:$P,G$8,FALSE)/24)*IFERROR(IF(#REF!&gt;$B$8,ROUNDUP(#REF!/$B$8,0),1),1)+($A$8/24)+F23,"")</f>
        <v>0.35763888888888901</v>
      </c>
      <c r="H23" s="1">
        <f t="shared" si="3"/>
        <v>0.35763888888888901</v>
      </c>
      <c r="I23" s="1">
        <f>IFERROR(IF(H23=0,"",VLOOKUP($D23,PROCESSO!$B:$P,H$8,FALSE)/24)+($A$8/24)+H23,"")</f>
        <v>0.36111111111111122</v>
      </c>
      <c r="J23" s="1">
        <f>IFERROR(IF(I23=0,"",VLOOKUP($D23,PROCESSO!$B:$P,I$8,FALSE)/24)+($A$8/24)+I23,"")</f>
        <v>0.36944444444444458</v>
      </c>
      <c r="K23" s="1">
        <f>IFERROR(IF(J23=0,"",VLOOKUP($D23,PROCESSO!$B:$P,J$8,FALSE)/24)+($A$8/24)+J23,"")</f>
        <v>0.37777777777777793</v>
      </c>
      <c r="L23" s="1">
        <f>IFERROR(IF(K23=0,"",VLOOKUP($D23,PROCESSO!$B:$P,K$8,FALSE)/24)+($A$8/24)+K23,"")</f>
        <v>0.38125000000000014</v>
      </c>
      <c r="M23" s="1">
        <f>IFERROR(IF(L23=0,"",VLOOKUP($D23,PROCESSO!$B:$P,L$8,FALSE)/24)+($A$8/24)+L23,"")</f>
        <v>0.40902777777777793</v>
      </c>
      <c r="N23" s="1">
        <f>IFERROR(IF(M23=0,"",VLOOKUP($D23,PROCESSO!$B:$P,M$8,FALSE)/24)+($A$8/24)+M23,"")</f>
        <v>0.47500000000000014</v>
      </c>
      <c r="O23" s="1">
        <f>IFERROR(IF(N23=0,"",VLOOKUP($D23,PROCESSO!$B:$P,N$8,FALSE)/24)+($A$8/24)+N23,"")</f>
        <v>0.49930555555555567</v>
      </c>
      <c r="P23" s="1">
        <f>IFERROR(IF(O23=0,"",VLOOKUP($D23,PROCESSO!$B:$P,O$8,FALSE)/24)+($A$8/24)+O23,"")</f>
        <v>0.56527777777777788</v>
      </c>
      <c r="Q23" s="1">
        <f>IFERROR(IF(P23=0,"",VLOOKUP($D23,PROCESSO!$B:$P,P$8,FALSE)/24)+($A$8/24)+P23,"")</f>
        <v>0.59791666666666676</v>
      </c>
      <c r="R23" s="1">
        <f>IFERROR(IF(Q23=0,"",VLOOKUP($D23,PROCESSO!$B:$P,Q$8,FALSE)/24)+($A$8/24)+Q23,"")</f>
        <v>0.66361111111111115</v>
      </c>
      <c r="S23" s="45">
        <f>IFERROR(IFERROR(VLOOKUP(D23,PROCESSO!B:P,15,FALSE),"")/SUMIFS(C:C,A:A,A23),"")</f>
        <v>1.7640370370370368</v>
      </c>
      <c r="T23" s="45">
        <f t="shared" ref="T23:T25" si="4">IFERROR(S23*C23,"")</f>
        <v>5.2921111111111117</v>
      </c>
      <c r="U23" s="45">
        <f>IFERROR(VLOOKUP(B23,RECEITAS!A:C,3,FALSE),"")</f>
        <v>2.4498411145462371</v>
      </c>
      <c r="V23" s="45">
        <f>IFERROR((U23+S23)*(1-ANALISE!$I$4),"")</f>
        <v>4.2138781515832742</v>
      </c>
      <c r="W23" s="45">
        <f t="shared" ref="W23:W25" si="5">IFERROR(V23*C23,"")</f>
        <v>12.641634454749825</v>
      </c>
    </row>
    <row r="24" spans="1:23" x14ac:dyDescent="0.3">
      <c r="A24">
        <f>Crono_Seg!A22</f>
        <v>6</v>
      </c>
      <c r="B24" t="str">
        <f>Crono_Seg!B22</f>
        <v>PH MALTE AROMA CARAMEL CACAU</v>
      </c>
      <c r="C24" s="17">
        <f>Crono_Seg!C22</f>
        <v>2.4000000000000004</v>
      </c>
      <c r="D24" t="str">
        <f>IFERROR(VLOOKUP(B24,RECEITAS!A:C,$D$7,FALSE),"")</f>
        <v>DIRETO</v>
      </c>
      <c r="E24" s="1">
        <f>IFERROR(E23+(VLOOKUP($D24,PROCESSO!$B:$P,AP_CRONO_SEG!E$8,FALSE)/24),"")</f>
        <v>0.27083333333333337</v>
      </c>
      <c r="F24" s="1">
        <f>Crono_Seg!E22</f>
        <v>0.3541666666666668</v>
      </c>
      <c r="G24" s="1">
        <f>IFERROR(IF(F24=0,"",VLOOKUP($D24,PROCESSO!$B:$P,G$8,FALSE)/24)*IFERROR(IF(#REF!&gt;$B$8,ROUNDUP(#REF!/$B$8,0),1),1)+($A$8/24)+F24,"")</f>
        <v>0.36805555555555569</v>
      </c>
      <c r="H24" s="1">
        <f t="shared" si="3"/>
        <v>0.36805555555555569</v>
      </c>
      <c r="I24" s="1">
        <f>IFERROR(IF(H24=0,"",VLOOKUP($D24,PROCESSO!$B:$P,H$8,FALSE)/24)+($A$8/24)+H24,"")</f>
        <v>0.3715277777777779</v>
      </c>
      <c r="J24" s="1">
        <f>IFERROR(IF(I24=0,"",VLOOKUP($D24,PROCESSO!$B:$P,I$8,FALSE)/24)+($A$8/24)+I24,"")</f>
        <v>0.37986111111111126</v>
      </c>
      <c r="K24" s="1">
        <f>IFERROR(IF(J24=0,"",VLOOKUP($D24,PROCESSO!$B:$P,J$8,FALSE)/24)+($A$8/24)+J24,"")</f>
        <v>0.38819444444444462</v>
      </c>
      <c r="L24" s="1">
        <f>IFERROR(IF(K24=0,"",VLOOKUP($D24,PROCESSO!$B:$P,K$8,FALSE)/24)+($A$8/24)+K24,"")</f>
        <v>0.39166666666666683</v>
      </c>
      <c r="M24" s="1">
        <f>IFERROR(IF(L24=0,"",VLOOKUP($D24,PROCESSO!$B:$P,L$8,FALSE)/24)+($A$8/24)+L24,"")</f>
        <v>0.41944444444444462</v>
      </c>
      <c r="N24" s="1">
        <f>IFERROR(IF(M24=0,"",VLOOKUP($D24,PROCESSO!$B:$P,M$8,FALSE)/24)+($A$8/24)+M24,"")</f>
        <v>0.48541666666666683</v>
      </c>
      <c r="O24" s="1">
        <f>IFERROR(IF(N24=0,"",VLOOKUP($D24,PROCESSO!$B:$P,N$8,FALSE)/24)+($A$8/24)+N24,"")</f>
        <v>0.50972222222222241</v>
      </c>
      <c r="P24" s="1">
        <f>IFERROR(IF(O24=0,"",VLOOKUP($D24,PROCESSO!$B:$P,O$8,FALSE)/24)+($A$8/24)+O24,"")</f>
        <v>0.57569444444444462</v>
      </c>
      <c r="Q24" s="1">
        <f>IFERROR(IF(P24=0,"",VLOOKUP($D24,PROCESSO!$B:$P,P$8,FALSE)/24)+($A$8/24)+P24,"")</f>
        <v>0.6083333333333335</v>
      </c>
      <c r="R24" s="1">
        <f>IFERROR(IF(Q24=0,"",VLOOKUP($D24,PROCESSO!$B:$P,Q$8,FALSE)/24)+($A$8/24)+Q24,"")</f>
        <v>0.67402777777777789</v>
      </c>
      <c r="S24" s="45">
        <f>IFERROR(IFERROR(VLOOKUP(D24,PROCESSO!B:P,15,FALSE),"")/SUMIFS(C:C,A:A,A24),"")</f>
        <v>14.553305555555553</v>
      </c>
      <c r="T24" s="45">
        <f t="shared" si="4"/>
        <v>34.927933333333335</v>
      </c>
      <c r="U24" s="45">
        <f>IFERROR(VLOOKUP(B24,RECEITAS!A:C,3,FALSE),"")</f>
        <v>3.802317938072997</v>
      </c>
      <c r="V24" s="45">
        <f>IFERROR((U24+S24)*(1-ANALISE!$I$4),"")</f>
        <v>18.355623493628549</v>
      </c>
      <c r="W24" s="45">
        <f t="shared" si="5"/>
        <v>44.053496384708524</v>
      </c>
    </row>
    <row r="25" spans="1:23" x14ac:dyDescent="0.3">
      <c r="A25">
        <f>Crono_Seg!A23</f>
        <v>0</v>
      </c>
      <c r="B25">
        <f>Crono_Seg!B23</f>
        <v>0</v>
      </c>
      <c r="C25" s="17">
        <f>Crono_Seg!C23</f>
        <v>0</v>
      </c>
      <c r="D25" t="str">
        <f>IFERROR(VLOOKUP(B25,RECEITAS!A:C,$D$7,FALSE),"")</f>
        <v/>
      </c>
      <c r="E25" s="1" t="str">
        <f>IFERROR(E24+(VLOOKUP($D25,PROCESSO!$B:$P,AP_CRONO_SEG!E$8,FALSE)/24),"")</f>
        <v/>
      </c>
      <c r="F25" s="1">
        <f>Crono_Seg!E23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3">
      <c r="B26">
        <f>Crono_Seg!B24</f>
        <v>0</v>
      </c>
      <c r="D26" t="str">
        <f>IFERROR(VLOOKUP(B26,RECEITAS!A:C,$D$7,FALSE),"")</f>
        <v/>
      </c>
      <c r="E26" s="1" t="str">
        <f>IFERROR(E25+(VLOOKUP($D26,PROCESSO!$B:$P,AP_CRONO_SEG!E$8,FALSE)/24),"")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Crono_Seg!B25</f>
        <v>0</v>
      </c>
      <c r="D27" t="str">
        <f>IFERROR(VLOOKUP(B27,RECEITAS!A:C,$D$7,FALSE),"")</f>
        <v/>
      </c>
      <c r="E27" s="1" t="str">
        <f>IFERROR(E26+(VLOOKUP($D27,PROCESSO!$B:$P,AP_CRONO_SEG!E$8,FALSE)/24),"")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Crono_Seg!B26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Crono_Seg!B27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Crono_Seg!B28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30"/>
  <sheetViews>
    <sheetView topLeftCell="I4" zoomScaleNormal="100" workbookViewId="0">
      <selection activeCell="T24" sqref="T24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10.44140625" bestFit="1" customWidth="1"/>
    <col min="23" max="23" width="17.88671875" bestFit="1" customWidth="1"/>
  </cols>
  <sheetData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Crono_Ter!A8</f>
        <v>1</v>
      </c>
      <c r="B10" t="str">
        <f>Crono_Ter!B8</f>
        <v>CASEIRINHO</v>
      </c>
      <c r="C10" s="17">
        <f>Crono_Ter!C8</f>
        <v>49.079999999999991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0.71165308340124989</v>
      </c>
      <c r="T10" s="45">
        <f>IFERROR(S10*C10,"")</f>
        <v>34.927933333333335</v>
      </c>
      <c r="U10" s="45">
        <f>IFERROR(VLOOKUP(B10,RECEITAS!A:C,3,FALSE),"")</f>
        <v>2.3235487959442338</v>
      </c>
      <c r="V10" s="45">
        <f>IFERROR((U10+S10)*(1-ANALISE!$I$4),"")</f>
        <v>3.0352018793454838</v>
      </c>
      <c r="W10" s="45">
        <f>IFERROR(V10*C10,"")</f>
        <v>148.96770823827632</v>
      </c>
    </row>
    <row r="11" spans="1:23" x14ac:dyDescent="0.3">
      <c r="A11">
        <f>Crono_Ter!A9</f>
        <v>2</v>
      </c>
      <c r="B11" t="str">
        <f>Crono_Ter!B9</f>
        <v>AUSTRALIANO</v>
      </c>
      <c r="C11" s="17">
        <f>Crono_Ter!C9</f>
        <v>10.64</v>
      </c>
      <c r="D11" t="str">
        <f>IFERROR(VLOOKUP(B11,RECEITAS!A:C,$D$7,FALSE),"")</f>
        <v>DIRETO</v>
      </c>
      <c r="E11" s="1">
        <f>IFERROR(E10+(VLOOKUP($D11,PROCESSO!$B:$P,AP_CRONO_TER!E$8,FALSE)/24),"")</f>
        <v>0.19861111111111113</v>
      </c>
      <c r="F11" s="1">
        <f>Crono_Ter!E9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30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0.37430555555555556</v>
      </c>
      <c r="P11" s="1">
        <f>IFERROR(IF(O11=0,"",VLOOKUP($D11,PROCESSO!$B:$P,O$8,FALSE)/24)+($A$8/24)+O11,"")</f>
        <v>0.44027777777777777</v>
      </c>
      <c r="Q11" s="1">
        <f>IFERROR(IF(P11=0,"",VLOOKUP($D11,PROCESSO!$B:$P,P$8,FALSE)/24)+($A$8/24)+P11,"")</f>
        <v>0.47291666666666665</v>
      </c>
      <c r="R11" s="1">
        <f>IFERROR(IF(Q11=0,"",VLOOKUP($D11,PROCESSO!$B:$P,Q$8,FALSE)/24)+($A$8/24)+Q11,"")</f>
        <v>0.53861111111111115</v>
      </c>
      <c r="S11" s="45">
        <f>IFERROR(IFERROR(VLOOKUP(D11,PROCESSO!B:P,15,FALSE),"")/SUMIFS(C:C,A:A,A11),"")</f>
        <v>2.2978903508771928</v>
      </c>
      <c r="T11" s="45">
        <f t="shared" ref="T11:T22" si="1">IFERROR(S11*C11,"")</f>
        <v>24.449553333333334</v>
      </c>
      <c r="U11" s="45">
        <f>IFERROR(VLOOKUP(B11,RECEITAS!A:C,3,FALSE),"")</f>
        <v>2.3452338811630851</v>
      </c>
      <c r="V11" s="45">
        <f>IFERROR((U11+S11)*(1-ANALISE!$I$4),"")</f>
        <v>4.6431242320402779</v>
      </c>
      <c r="W11" s="45">
        <f t="shared" ref="W11:W22" si="2">IFERROR(V11*C11,"")</f>
        <v>49.402841828908556</v>
      </c>
    </row>
    <row r="12" spans="1:23" x14ac:dyDescent="0.3">
      <c r="A12">
        <f>Crono_Ter!A10</f>
        <v>2</v>
      </c>
      <c r="B12" t="str">
        <f>Crono_Ter!B10</f>
        <v>PH VINHEDO</v>
      </c>
      <c r="C12" s="17">
        <f>Crono_Ter!C10</f>
        <v>2.8800000000000003</v>
      </c>
      <c r="D12" t="str">
        <f>IFERROR(VLOOKUP(B12,RECEITAS!A:C,$D$7,FALSE),"")</f>
        <v>DIRETO</v>
      </c>
      <c r="E12" s="1">
        <f>IFERROR(E11+(VLOOKUP($D12,PROCESSO!$B:$P,AP_CRONO_TER!E$8,FALSE)/24),"")</f>
        <v>0.20416666666666669</v>
      </c>
      <c r="F12" s="1">
        <f>Crono_Ter!E10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0.24444444444444444</v>
      </c>
      <c r="K12" s="1">
        <f>IFERROR(IF(J12=0,"",VLOOKUP($D12,PROCESSO!$B:$P,J$8,FALSE)/24)+($A$8/24)+J12,"")</f>
        <v>0.25277777777777777</v>
      </c>
      <c r="L12" s="1">
        <f>IFERROR(IF(K12=0,"",VLOOKUP($D12,PROCESSO!$B:$P,K$8,FALSE)/24)+($A$8/24)+K12,"")</f>
        <v>0.25624999999999998</v>
      </c>
      <c r="M12" s="1">
        <f>IFERROR(IF(L12=0,"",VLOOKUP($D12,PROCESSO!$B:$P,L$8,FALSE)/24)+($A$8/24)+L12,"")</f>
        <v>0.28402777777777777</v>
      </c>
      <c r="N12" s="1">
        <f>IFERROR(IF(M12=0,"",VLOOKUP($D12,PROCESSO!$B:$P,M$8,FALSE)/24)+($A$8/24)+M12,"")</f>
        <v>0.35</v>
      </c>
      <c r="O12" s="1">
        <f>IFERROR(IF(N12=0,"",VLOOKUP($D12,PROCESSO!$B:$P,N$8,FALSE)/24)+($A$8/24)+N12,"")</f>
        <v>0.37430555555555556</v>
      </c>
      <c r="P12" s="1">
        <f>IFERROR(IF(O12=0,"",VLOOKUP($D12,PROCESSO!$B:$P,O$8,FALSE)/24)+($A$8/24)+O12,"")</f>
        <v>0.44027777777777777</v>
      </c>
      <c r="Q12" s="1">
        <f>IFERROR(IF(P12=0,"",VLOOKUP($D12,PROCESSO!$B:$P,P$8,FALSE)/24)+($A$8/24)+P12,"")</f>
        <v>0.47291666666666665</v>
      </c>
      <c r="R12" s="1">
        <f>IFERROR(IF(Q12=0,"",VLOOKUP($D12,PROCESSO!$B:$P,Q$8,FALSE)/24)+($A$8/24)+Q12,"")</f>
        <v>0.53861111111111115</v>
      </c>
      <c r="S12" s="45">
        <f>IFERROR(IFERROR(VLOOKUP(D12,PROCESSO!B:P,15,FALSE),"")/SUMIFS(C:C,A:A,A12),"")</f>
        <v>2.2978903508771928</v>
      </c>
      <c r="T12" s="45">
        <f t="shared" si="1"/>
        <v>6.6179242105263159</v>
      </c>
      <c r="U12" s="45">
        <f>IFERROR(VLOOKUP(B12,RECEITAS!A:C,3,FALSE),"")</f>
        <v>4.2629144274493598</v>
      </c>
      <c r="V12" s="45">
        <f>IFERROR((U12+S12)*(1-ANALISE!$I$4),"")</f>
        <v>6.5608047783265526</v>
      </c>
      <c r="W12" s="45">
        <f t="shared" si="2"/>
        <v>18.895117761580472</v>
      </c>
    </row>
    <row r="13" spans="1:23" x14ac:dyDescent="0.3">
      <c r="A13">
        <f>Crono_Ter!A11</f>
        <v>2</v>
      </c>
      <c r="B13" t="str">
        <f>Crono_Ter!B11</f>
        <v>PH BETERRADA</v>
      </c>
      <c r="C13" s="17">
        <f>Crono_Ter!C11</f>
        <v>1.6800000000000002</v>
      </c>
      <c r="D13" t="str">
        <f>IFERROR(VLOOKUP(B13,RECEITAS!A:C,$D$7,FALSE),"")</f>
        <v>DIRETO</v>
      </c>
      <c r="E13" s="1">
        <f>IFERROR(E12+(VLOOKUP($D13,PROCESSO!$B:$P,AP_CRONO_TER!E$8,FALSE)/24),"")</f>
        <v>0.20972222222222225</v>
      </c>
      <c r="F13" s="1">
        <f>Crono_Ter!E11</f>
        <v>0.21875</v>
      </c>
      <c r="G13" s="1">
        <f>IFERROR(IF(F13=0,"",VLOOKUP($D13,PROCESSO!$B:$P,G$8,FALSE)/24)*IFERROR(IF(#REF!&gt;$B$8,ROUNDUP(#REF!/$B$8,0),1),1)+($A$8/24)+F13,"")</f>
        <v>0.2326388888888889</v>
      </c>
      <c r="H13" s="1">
        <f t="shared" si="0"/>
        <v>0.2326388888888889</v>
      </c>
      <c r="I13" s="1">
        <f>IFERROR(IF(H13=0,"",VLOOKUP($D13,PROCESSO!$B:$P,H$8,FALSE)/24)+($A$8/24)+H13,"")</f>
        <v>0.2361111111111111</v>
      </c>
      <c r="J13" s="1">
        <f>IFERROR(IF(I13=0,"",VLOOKUP($D13,PROCESSO!$B:$P,I$8,FALSE)/24)+($A$8/24)+I13,"")</f>
        <v>0.24444444444444444</v>
      </c>
      <c r="K13" s="1">
        <f>IFERROR(IF(J13=0,"",VLOOKUP($D13,PROCESSO!$B:$P,J$8,FALSE)/24)+($A$8/24)+J13,"")</f>
        <v>0.25277777777777777</v>
      </c>
      <c r="L13" s="1">
        <f>IFERROR(IF(K13=0,"",VLOOKUP($D13,PROCESSO!$B:$P,K$8,FALSE)/24)+($A$8/24)+K13,"")</f>
        <v>0.25624999999999998</v>
      </c>
      <c r="M13" s="1">
        <f>IFERROR(IF(L13=0,"",VLOOKUP($D13,PROCESSO!$B:$P,L$8,FALSE)/24)+($A$8/24)+L13,"")</f>
        <v>0.28402777777777777</v>
      </c>
      <c r="N13" s="1">
        <f>IFERROR(IF(M13=0,"",VLOOKUP($D13,PROCESSO!$B:$P,M$8,FALSE)/24)+($A$8/24)+M13,"")</f>
        <v>0.35</v>
      </c>
      <c r="O13" s="1">
        <f>IFERROR(IF(N13=0,"",VLOOKUP($D13,PROCESSO!$B:$P,N$8,FALSE)/24)+($A$8/24)+N13,"")</f>
        <v>0.37430555555555556</v>
      </c>
      <c r="P13" s="1">
        <f>IFERROR(IF(O13=0,"",VLOOKUP($D13,PROCESSO!$B:$P,O$8,FALSE)/24)+($A$8/24)+O13,"")</f>
        <v>0.44027777777777777</v>
      </c>
      <c r="Q13" s="1">
        <f>IFERROR(IF(P13=0,"",VLOOKUP($D13,PROCESSO!$B:$P,P$8,FALSE)/24)+($A$8/24)+P13,"")</f>
        <v>0.47291666666666665</v>
      </c>
      <c r="R13" s="1">
        <f>IFERROR(IF(Q13=0,"",VLOOKUP($D13,PROCESSO!$B:$P,Q$8,FALSE)/24)+($A$8/24)+Q13,"")</f>
        <v>0.53861111111111115</v>
      </c>
      <c r="S13" s="45">
        <f>IFERROR(IFERROR(VLOOKUP(D13,PROCESSO!B:P,15,FALSE),"")/SUMIFS(C:C,A:A,A13),"")</f>
        <v>2.2978903508771928</v>
      </c>
      <c r="T13" s="45">
        <f t="shared" si="1"/>
        <v>3.8604557894736842</v>
      </c>
      <c r="U13" s="45">
        <f>IFERROR(VLOOKUP(B13,RECEITAS!A:C,3,FALSE),"")</f>
        <v>2.3235487959442338</v>
      </c>
      <c r="V13" s="45">
        <f>IFERROR((U13+S13)*(1-ANALISE!$I$4),"")</f>
        <v>4.6214391468214266</v>
      </c>
      <c r="W13" s="45">
        <f t="shared" si="2"/>
        <v>7.7640177666599977</v>
      </c>
    </row>
    <row r="14" spans="1:23" x14ac:dyDescent="0.3">
      <c r="A14">
        <f>Crono_Ter!A12</f>
        <v>3</v>
      </c>
      <c r="B14" t="str">
        <f>Crono_Ter!B12</f>
        <v>PH MALTE AROMA CARAMEL CACAU</v>
      </c>
      <c r="C14" s="17">
        <f>Crono_Ter!C12</f>
        <v>3.4800000000000004</v>
      </c>
      <c r="D14" t="str">
        <f>IFERROR(VLOOKUP(B14,RECEITAS!A:C,$D$7,FALSE),"")</f>
        <v>DIRETO</v>
      </c>
      <c r="E14" s="1">
        <f>IFERROR(E13+(VLOOKUP($D14,PROCESSO!$B:$P,AP_CRONO_TER!E$8,FALSE)/24),"")</f>
        <v>0.21527777777777782</v>
      </c>
      <c r="F14" s="1">
        <f>Crono_Ter!E12</f>
        <v>0.22916666666666666</v>
      </c>
      <c r="G14" s="1">
        <f>IFERROR(IF(F14=0,"",VLOOKUP($D14,PROCESSO!$B:$P,G$8,FALSE)/24)*IFERROR(IF(#REF!&gt;$B$8,ROUNDUP(#REF!/$B$8,0),1),1)+($A$8/24)+F14,"")</f>
        <v>0.24305555555555555</v>
      </c>
      <c r="H14" s="1">
        <f t="shared" si="0"/>
        <v>0.24305555555555555</v>
      </c>
      <c r="I14" s="1">
        <f>IFERROR(IF(H14=0,"",VLOOKUP($D14,PROCESSO!$B:$P,H$8,FALSE)/24)+($A$8/24)+H14,"")</f>
        <v>0.24652777777777776</v>
      </c>
      <c r="J14" s="1">
        <f>IFERROR(IF(I14=0,"",VLOOKUP($D14,PROCESSO!$B:$P,I$8,FALSE)/24)+($A$8/24)+I14,"")</f>
        <v>0.25486111111111109</v>
      </c>
      <c r="K14" s="1">
        <f>IFERROR(IF(J14=0,"",VLOOKUP($D14,PROCESSO!$B:$P,J$8,FALSE)/24)+($A$8/24)+J14,"")</f>
        <v>0.26319444444444445</v>
      </c>
      <c r="L14" s="1">
        <f>IFERROR(IF(K14=0,"",VLOOKUP($D14,PROCESSO!$B:$P,K$8,FALSE)/24)+($A$8/24)+K14,"")</f>
        <v>0.26666666666666666</v>
      </c>
      <c r="M14" s="1">
        <f>IFERROR(IF(L14=0,"",VLOOKUP($D14,PROCESSO!$B:$P,L$8,FALSE)/24)+($A$8/24)+L14,"")</f>
        <v>0.29444444444444445</v>
      </c>
      <c r="N14" s="1">
        <f>IFERROR(IF(M14=0,"",VLOOKUP($D14,PROCESSO!$B:$P,M$8,FALSE)/24)+($A$8/24)+M14,"")</f>
        <v>0.36041666666666666</v>
      </c>
      <c r="O14" s="1">
        <f>IFERROR(IF(N14=0,"",VLOOKUP($D14,PROCESSO!$B:$P,N$8,FALSE)/24)+($A$8/24)+N14,"")</f>
        <v>0.38472222222222219</v>
      </c>
      <c r="P14" s="1">
        <f>IFERROR(IF(O14=0,"",VLOOKUP($D14,PROCESSO!$B:$P,O$8,FALSE)/24)+($A$8/24)+O14,"")</f>
        <v>0.4506944444444444</v>
      </c>
      <c r="Q14" s="1">
        <f>IFERROR(IF(P14=0,"",VLOOKUP($D14,PROCESSO!$B:$P,P$8,FALSE)/24)+($A$8/24)+P14,"")</f>
        <v>0.48333333333333328</v>
      </c>
      <c r="R14" s="1">
        <f>IFERROR(IF(Q14=0,"",VLOOKUP($D14,PROCESSO!$B:$P,Q$8,FALSE)/24)+($A$8/24)+Q14,"")</f>
        <v>0.54902777777777767</v>
      </c>
      <c r="S14" s="45">
        <f>IFERROR(IFERROR(VLOOKUP(D14,PROCESSO!B:P,15,FALSE),"")/SUMIFS(C:C,A:A,A14),"")</f>
        <v>1.5585869403540087</v>
      </c>
      <c r="T14" s="45">
        <f t="shared" si="1"/>
        <v>5.4238825524319507</v>
      </c>
      <c r="U14" s="45">
        <f>IFERROR(VLOOKUP(B14,RECEITAS!A:C,3,FALSE),"")</f>
        <v>3.802317938072997</v>
      </c>
      <c r="V14" s="45">
        <f>IFERROR((U14+S14)*(1-ANALISE!$I$4),"")</f>
        <v>5.3609048784270055</v>
      </c>
      <c r="W14" s="45">
        <f t="shared" si="2"/>
        <v>18.655948976925981</v>
      </c>
    </row>
    <row r="15" spans="1:23" x14ac:dyDescent="0.3">
      <c r="A15">
        <f>Crono_Ter!A13</f>
        <v>3</v>
      </c>
      <c r="B15" t="str">
        <f>Crono_Ter!B13</f>
        <v>VEGANO TRAD.</v>
      </c>
      <c r="C15" s="17">
        <f>Crono_Ter!C13</f>
        <v>16.8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0.23958333333333331</v>
      </c>
      <c r="G15" s="1">
        <f>IFERROR(IF(F15=0,"",VLOOKUP($D15,PROCESSO!$B:$P,G$8,FALSE)/24)*IFERROR(IF(#REF!&gt;$B$8,ROUNDUP(#REF!/$B$8,0),1),1)+($A$8/24)+F15,"")</f>
        <v>0.25347222222222221</v>
      </c>
      <c r="H15" s="1">
        <f t="shared" si="0"/>
        <v>0.25347222222222221</v>
      </c>
      <c r="I15" s="1">
        <f>IFERROR(IF(H15=0,"",VLOOKUP($D15,PROCESSO!$B:$P,H$8,FALSE)/24)+($A$8/24)+H15,"")</f>
        <v>0.25694444444444442</v>
      </c>
      <c r="J15" s="1">
        <f>IFERROR(IF(I15=0,"",VLOOKUP($D15,PROCESSO!$B:$P,I$8,FALSE)/24)+($A$8/24)+I15,"")</f>
        <v>0.26527777777777778</v>
      </c>
      <c r="K15" s="1">
        <f>IFERROR(IF(J15=0,"",VLOOKUP($D15,PROCESSO!$B:$P,J$8,FALSE)/24)+($A$8/24)+J15,"")</f>
        <v>0.27361111111111114</v>
      </c>
      <c r="L15" s="1">
        <f>IFERROR(IF(K15=0,"",VLOOKUP($D15,PROCESSO!$B:$P,K$8,FALSE)/24)+($A$8/24)+K15,"")</f>
        <v>0.27708333333333335</v>
      </c>
      <c r="M15" s="1">
        <f>IFERROR(IF(L15=0,"",VLOOKUP($D15,PROCESSO!$B:$P,L$8,FALSE)/24)+($A$8/24)+L15,"")</f>
        <v>0.30486111111111114</v>
      </c>
      <c r="N15" s="1">
        <f>IFERROR(IF(M15=0,"",VLOOKUP($D15,PROCESSO!$B:$P,M$8,FALSE)/24)+($A$8/24)+M15,"")</f>
        <v>0.37083333333333335</v>
      </c>
      <c r="O15" s="1">
        <f>IFERROR(IF(N15=0,"",VLOOKUP($D15,PROCESSO!$B:$P,N$8,FALSE)/24)+($A$8/24)+N15,"")</f>
        <v>0.39513888888888893</v>
      </c>
      <c r="P15" s="1">
        <f>IFERROR(IF(O15=0,"",VLOOKUP($D15,PROCESSO!$B:$P,O$8,FALSE)/24)+($A$8/24)+O15,"")</f>
        <v>0.46111111111111114</v>
      </c>
      <c r="Q15" s="1">
        <f>IFERROR(IF(P15=0,"",VLOOKUP($D15,PROCESSO!$B:$P,P$8,FALSE)/24)+($A$8/24)+P15,"")</f>
        <v>0.49375000000000002</v>
      </c>
      <c r="R15" s="1">
        <f>IFERROR(IF(Q15=0,"",VLOOKUP($D15,PROCESSO!$B:$P,Q$8,FALSE)/24)+($A$8/24)+Q15,"")</f>
        <v>0.55944444444444441</v>
      </c>
      <c r="S15" s="45">
        <f>IFERROR(IFERROR(VLOOKUP(D15,PROCESSO!B:P,15,FALSE),"")/SUMIFS(C:C,A:A,A15),"")</f>
        <v>1.5585869403540087</v>
      </c>
      <c r="T15" s="45">
        <f t="shared" si="1"/>
        <v>26.184260597947347</v>
      </c>
      <c r="U15" s="45">
        <f>IFERROR(VLOOKUP(B15,RECEITAS!A:C,3,FALSE),"")</f>
        <v>1.4304241248567149</v>
      </c>
      <c r="V15" s="45">
        <f>IFERROR((U15+S15)*(1-ANALISE!$I$4),"")</f>
        <v>2.9890110652107236</v>
      </c>
      <c r="W15" s="45">
        <f t="shared" si="2"/>
        <v>50.215385895540159</v>
      </c>
    </row>
    <row r="16" spans="1:23" x14ac:dyDescent="0.3">
      <c r="A16">
        <f>Crono_Ter!A14</f>
        <v>3</v>
      </c>
      <c r="B16" t="str">
        <f>Crono_Ter!B14</f>
        <v>P. AO LEVAIN</v>
      </c>
      <c r="C16" s="17">
        <f>Crono_Ter!C14</f>
        <v>2.13</v>
      </c>
      <c r="D16" t="str">
        <f>IFERROR(VLOOKUP(B16,RECEITAS!A:C,$D$7,FALSE),"")</f>
        <v>RÚSTICO</v>
      </c>
      <c r="E16" s="1">
        <f>IFERROR(E15+(VLOOKUP($D16,PROCESSO!$B:$P,AP_CRONO_TER!E$8,FALSE)/24),"")</f>
        <v>0.22638888888888895</v>
      </c>
      <c r="F16" s="1">
        <f>Crono_Ter!E14</f>
        <v>0.24999999999999997</v>
      </c>
      <c r="G16" s="1">
        <f>IFERROR(IF(F16=0,"",VLOOKUP($D16,PROCESSO!$B:$P,G$8,FALSE)/24)*IFERROR(IF(#REF!&gt;$B$8,ROUNDUP(#REF!/$B$8,0),1),1)+($A$8/24)+F16,"")</f>
        <v>0.26388888888888884</v>
      </c>
      <c r="H16" s="1">
        <f t="shared" si="0"/>
        <v>0.26388888888888884</v>
      </c>
      <c r="I16" s="1">
        <f>IFERROR(IF(H16=0,"",VLOOKUP($D16,PROCESSO!$B:$P,H$8,FALSE)/24)+($A$8/24)+H16,"")</f>
        <v>0.26736111111111105</v>
      </c>
      <c r="J16" s="1">
        <f>IFERROR(IF(I16=0,"",VLOOKUP($D16,PROCESSO!$B:$P,I$8,FALSE)/24)+($A$8/24)+I16,"")</f>
        <v>0.31249999999999994</v>
      </c>
      <c r="K16" s="1">
        <f>IFERROR(IF(J16=0,"",VLOOKUP($D16,PROCESSO!$B:$P,J$8,FALSE)/24)+($A$8/24)+J16,"")</f>
        <v>0.33333333333333326</v>
      </c>
      <c r="L16" s="1">
        <f>IFERROR(IF(K16=0,"",VLOOKUP($D16,PROCESSO!$B:$P,K$8,FALSE)/24)+($A$8/24)+K16,"")</f>
        <v>0.36458333333333326</v>
      </c>
      <c r="M16" s="1">
        <f>IFERROR(IF(L16=0,"",VLOOKUP($D16,PROCESSO!$B:$P,L$8,FALSE)/24)+($A$8/24)+L16,"")</f>
        <v>0.38541666666666657</v>
      </c>
      <c r="N16" s="1">
        <f>IFERROR(IF(M16=0,"",VLOOKUP($D16,PROCESSO!$B:$P,M$8,FALSE)/24)+($A$8/24)+M16,"")</f>
        <v>0.43055555555555547</v>
      </c>
      <c r="O16" s="1">
        <f>IFERROR(IF(N16=0,"",VLOOKUP($D16,PROCESSO!$B:$P,N$8,FALSE)/24)+($A$8/24)+N16,"")</f>
        <v>0.46180555555555547</v>
      </c>
      <c r="P16" s="1">
        <f>IFERROR(IF(O16=0,"",VLOOKUP($D16,PROCESSO!$B:$P,O$8,FALSE)/24)+($A$8/24)+O16,"")</f>
        <v>0.52777777777777768</v>
      </c>
      <c r="Q16" s="1">
        <f>IFERROR(IF(P16=0,"",VLOOKUP($D16,PROCESSO!$B:$P,P$8,FALSE)/24)+($A$8/24)+P16,"")</f>
        <v>0.53124999999999989</v>
      </c>
      <c r="R16" s="1">
        <f>IFERROR(IF(Q16=0,"",VLOOKUP($D16,PROCESSO!$B:$P,Q$8,FALSE)/24)+($A$8/24)+Q16,"")</f>
        <v>0.60416666666666652</v>
      </c>
      <c r="S16" s="45">
        <f>IFERROR(IFERROR(VLOOKUP(D16,PROCESSO!B:P,15,FALSE),"")/SUMIFS(C:C,A:A,A16),"")</f>
        <v>1.668990777926521</v>
      </c>
      <c r="T16" s="45">
        <f t="shared" si="1"/>
        <v>3.5549503569834893</v>
      </c>
      <c r="U16" s="45">
        <f>IFERROR(VLOOKUP(B16,RECEITAS!A:C,3,FALSE),"")</f>
        <v>2.3235487959442338</v>
      </c>
      <c r="V16" s="45">
        <f>IFERROR((U16+S16)*(1-ANALISE!$I$4),"")</f>
        <v>3.9925395738707548</v>
      </c>
      <c r="W16" s="45">
        <f t="shared" si="2"/>
        <v>8.5041092923447064</v>
      </c>
    </row>
    <row r="17" spans="1:23" x14ac:dyDescent="0.3">
      <c r="A17">
        <f>Crono_Ter!A15</f>
        <v>4</v>
      </c>
      <c r="B17" t="str">
        <f>Crono_Ter!B15</f>
        <v>MALTADO</v>
      </c>
      <c r="C17" s="17">
        <f>Crono_Ter!C15</f>
        <v>5.4</v>
      </c>
      <c r="D17" t="str">
        <f>IFERROR(VLOOKUP(B17,RECEITAS!A:C,$D$7,FALSE),"")</f>
        <v>RÚSTICO</v>
      </c>
      <c r="E17" s="1">
        <f>IFERROR(E16+(VLOOKUP($D17,PROCESSO!$B:$P,AP_CRONO_TER!E$8,FALSE)/24),"")</f>
        <v>0.23194444444444451</v>
      </c>
      <c r="F17" s="1">
        <f>Crono_Ter!E15</f>
        <v>0.26041666666666663</v>
      </c>
      <c r="G17" s="1">
        <f>IFERROR(IF(F17=0,"",VLOOKUP($D17,PROCESSO!$B:$P,G$8,FALSE)/24)*IFERROR(IF(#REF!&gt;$B$8,ROUNDUP(#REF!/$B$8,0),1),1)+($A$8/24)+F17,"")</f>
        <v>0.27430555555555552</v>
      </c>
      <c r="H17" s="1">
        <f t="shared" si="0"/>
        <v>0.27430555555555552</v>
      </c>
      <c r="I17" s="1">
        <f>IFERROR(IF(H17=0,"",VLOOKUP($D17,PROCESSO!$B:$P,H$8,FALSE)/24)+($A$8/24)+H17,"")</f>
        <v>0.27777777777777773</v>
      </c>
      <c r="J17" s="1">
        <f>IFERROR(IF(I17=0,"",VLOOKUP($D17,PROCESSO!$B:$P,I$8,FALSE)/24)+($A$8/24)+I17,"")</f>
        <v>0.32291666666666663</v>
      </c>
      <c r="K17" s="1">
        <f>IFERROR(IF(J17=0,"",VLOOKUP($D17,PROCESSO!$B:$P,J$8,FALSE)/24)+($A$8/24)+J17,"")</f>
        <v>0.34374999999999994</v>
      </c>
      <c r="L17" s="1">
        <f>IFERROR(IF(K17=0,"",VLOOKUP($D17,PROCESSO!$B:$P,K$8,FALSE)/24)+($A$8/24)+K17,"")</f>
        <v>0.37499999999999994</v>
      </c>
      <c r="M17" s="1">
        <f>IFERROR(IF(L17=0,"",VLOOKUP($D17,PROCESSO!$B:$P,L$8,FALSE)/24)+($A$8/24)+L17,"")</f>
        <v>0.39583333333333326</v>
      </c>
      <c r="N17" s="1">
        <f>IFERROR(IF(M17=0,"",VLOOKUP($D17,PROCESSO!$B:$P,M$8,FALSE)/24)+($A$8/24)+M17,"")</f>
        <v>0.44097222222222215</v>
      </c>
      <c r="O17" s="1">
        <f>IFERROR(IF(N17=0,"",VLOOKUP($D17,PROCESSO!$B:$P,N$8,FALSE)/24)+($A$8/24)+N17,"")</f>
        <v>0.47222222222222215</v>
      </c>
      <c r="P17" s="1">
        <f>IFERROR(IF(O17=0,"",VLOOKUP($D17,PROCESSO!$B:$P,O$8,FALSE)/24)+($A$8/24)+O17,"")</f>
        <v>0.53819444444444442</v>
      </c>
      <c r="Q17" s="1">
        <f>IFERROR(IF(P17=0,"",VLOOKUP($D17,PROCESSO!$B:$P,P$8,FALSE)/24)+($A$8/24)+P17,"")</f>
        <v>0.54166666666666663</v>
      </c>
      <c r="R17" s="1">
        <f>IFERROR(IF(Q17=0,"",VLOOKUP($D17,PROCESSO!$B:$P,Q$8,FALSE)/24)+($A$8/24)+Q17,"")</f>
        <v>0.61458333333333326</v>
      </c>
      <c r="S17" s="45">
        <f>IFERROR(IFERROR(VLOOKUP(D17,PROCESSO!B:P,15,FALSE),"")/SUMIFS(C:C,A:A,A17),"")</f>
        <v>4.6869778613199671</v>
      </c>
      <c r="T17" s="45">
        <f t="shared" si="1"/>
        <v>25.309680451127825</v>
      </c>
      <c r="U17" s="45">
        <f>IFERROR(VLOOKUP(B17,RECEITAS!A:C,3,FALSE),"")</f>
        <v>2.6739550191991226</v>
      </c>
      <c r="V17" s="45">
        <f>IFERROR((U17+S17)*(1-ANALISE!$I$4),"")</f>
        <v>7.3609328805190897</v>
      </c>
      <c r="W17" s="45">
        <f t="shared" si="2"/>
        <v>39.749037554803088</v>
      </c>
    </row>
    <row r="18" spans="1:23" x14ac:dyDescent="0.3">
      <c r="A18">
        <f>Crono_Ter!A16</f>
        <v>4</v>
      </c>
      <c r="B18" t="str">
        <f>Crono_Ter!B16</f>
        <v>VINHEDO RUST.</v>
      </c>
      <c r="C18" s="17">
        <f>Crono_Ter!C16</f>
        <v>0.78</v>
      </c>
      <c r="D18" t="str">
        <f>IFERROR(VLOOKUP(B18,RECEITAS!A:C,$D$7,FALSE),"")</f>
        <v>RÚSTICO</v>
      </c>
      <c r="E18" s="1">
        <f>IFERROR(E17+(VLOOKUP($D18,PROCESSO!$B:$P,AP_CRONO_TER!E$8,FALSE)/24),"")</f>
        <v>0.23750000000000007</v>
      </c>
      <c r="F18" s="1">
        <f>Crono_Ter!E16</f>
        <v>0.27083333333333331</v>
      </c>
      <c r="G18" s="1">
        <f>IFERROR(IF(F18=0,"",VLOOKUP($D18,PROCESSO!$B:$P,G$8,FALSE)/24)*IFERROR(IF(#REF!&gt;$B$8,ROUNDUP(#REF!/$B$8,0),1),1)+($A$8/24)+F18,"")</f>
        <v>0.28472222222222221</v>
      </c>
      <c r="H18" s="1">
        <f t="shared" si="0"/>
        <v>0.28472222222222221</v>
      </c>
      <c r="I18" s="1">
        <f>IFERROR(IF(H18=0,"",VLOOKUP($D18,PROCESSO!$B:$P,H$8,FALSE)/24)+($A$8/24)+H18,"")</f>
        <v>0.28819444444444442</v>
      </c>
      <c r="J18" s="1">
        <f>IFERROR(IF(I18=0,"",VLOOKUP($D18,PROCESSO!$B:$P,I$8,FALSE)/24)+($A$8/24)+I18,"")</f>
        <v>0.33333333333333331</v>
      </c>
      <c r="K18" s="1">
        <f>IFERROR(IF(J18=0,"",VLOOKUP($D18,PROCESSO!$B:$P,J$8,FALSE)/24)+($A$8/24)+J18,"")</f>
        <v>0.35416666666666663</v>
      </c>
      <c r="L18" s="1">
        <f>IFERROR(IF(K18=0,"",VLOOKUP($D18,PROCESSO!$B:$P,K$8,FALSE)/24)+($A$8/24)+K18,"")</f>
        <v>0.38541666666666663</v>
      </c>
      <c r="M18" s="1">
        <f>IFERROR(IF(L18=0,"",VLOOKUP($D18,PROCESSO!$B:$P,L$8,FALSE)/24)+($A$8/24)+L18,"")</f>
        <v>0.40624999999999994</v>
      </c>
      <c r="N18" s="1">
        <f>IFERROR(IF(M18=0,"",VLOOKUP($D18,PROCESSO!$B:$P,M$8,FALSE)/24)+($A$8/24)+M18,"")</f>
        <v>0.45138888888888884</v>
      </c>
      <c r="O18" s="1">
        <f>IFERROR(IF(N18=0,"",VLOOKUP($D18,PROCESSO!$B:$P,N$8,FALSE)/24)+($A$8/24)+N18,"")</f>
        <v>0.48263888888888884</v>
      </c>
      <c r="P18" s="1">
        <f>IFERROR(IF(O18=0,"",VLOOKUP($D18,PROCESSO!$B:$P,O$8,FALSE)/24)+($A$8/24)+O18,"")</f>
        <v>0.54861111111111105</v>
      </c>
      <c r="Q18" s="1">
        <f>IFERROR(IF(P18=0,"",VLOOKUP($D18,PROCESSO!$B:$P,P$8,FALSE)/24)+($A$8/24)+P18,"")</f>
        <v>0.55208333333333326</v>
      </c>
      <c r="R18" s="1">
        <f>IFERROR(IF(Q18=0,"",VLOOKUP($D18,PROCESSO!$B:$P,Q$8,FALSE)/24)+($A$8/24)+Q18,"")</f>
        <v>0.62499999999999989</v>
      </c>
      <c r="S18" s="45">
        <f>IFERROR(IFERROR(VLOOKUP(D18,PROCESSO!B:P,15,FALSE),"")/SUMIFS(C:C,A:A,A18),"")</f>
        <v>4.6869778613199671</v>
      </c>
      <c r="T18" s="45">
        <f t="shared" si="1"/>
        <v>3.6558427318295745</v>
      </c>
      <c r="U18" s="45">
        <f>IFERROR(VLOOKUP(B18,RECEITAS!A:C,3,FALSE),"")</f>
        <v>4.2629144274493598</v>
      </c>
      <c r="V18" s="45">
        <f>IFERROR((U18+S18)*(1-ANALISE!$I$4),"")</f>
        <v>8.9498922887693269</v>
      </c>
      <c r="W18" s="45">
        <f t="shared" si="2"/>
        <v>6.9809159852400748</v>
      </c>
    </row>
    <row r="19" spans="1:23" x14ac:dyDescent="0.3">
      <c r="A19">
        <f>Crono_Ter!A17</f>
        <v>4</v>
      </c>
      <c r="B19" t="str">
        <f>Crono_Ter!B17</f>
        <v>PF INTEGRAL</v>
      </c>
      <c r="C19" s="17">
        <f>Crono_Ter!C17</f>
        <v>1.8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0.28125</v>
      </c>
      <c r="G19" s="1">
        <f>IFERROR(IF(F19=0,"",VLOOKUP($D19,PROCESSO!$B:$P,G$8,FALSE)/24)*IFERROR(IF(#REF!&gt;$B$8,ROUNDUP(#REF!/$B$8,0),1),1)+($A$8/24)+F19,"")</f>
        <v>0.2951388888888889</v>
      </c>
      <c r="H19" s="1">
        <f t="shared" si="0"/>
        <v>0.2951388888888889</v>
      </c>
      <c r="I19" s="1">
        <f>IFERROR(IF(H19=0,"",VLOOKUP($D19,PROCESSO!$B:$P,H$8,FALSE)/24)+($A$8/24)+H19,"")</f>
        <v>0.2986111111111111</v>
      </c>
      <c r="J19" s="1">
        <f>IFERROR(IF(I19=0,"",VLOOKUP($D19,PROCESSO!$B:$P,I$8,FALSE)/24)+($A$8/24)+I19,"")</f>
        <v>0.30694444444444446</v>
      </c>
      <c r="K19" s="1">
        <f>IFERROR(IF(J19=0,"",VLOOKUP($D19,PROCESSO!$B:$P,J$8,FALSE)/24)+($A$8/24)+J19,"")</f>
        <v>0.31527777777777782</v>
      </c>
      <c r="L19" s="1">
        <f>IFERROR(IF(K19=0,"",VLOOKUP($D19,PROCESSO!$B:$P,K$8,FALSE)/24)+($A$8/24)+K19,"")</f>
        <v>0.31875000000000003</v>
      </c>
      <c r="M19" s="1">
        <f>IFERROR(IF(L19=0,"",VLOOKUP($D19,PROCESSO!$B:$P,L$8,FALSE)/24)+($A$8/24)+L19,"")</f>
        <v>0.34652777777777782</v>
      </c>
      <c r="N19" s="1">
        <f>IFERROR(IF(M19=0,"",VLOOKUP($D19,PROCESSO!$B:$P,M$8,FALSE)/24)+($A$8/24)+M19,"")</f>
        <v>0.41250000000000003</v>
      </c>
      <c r="O19" s="1">
        <f>IFERROR(IF(N19=0,"",VLOOKUP($D19,PROCESSO!$B:$P,N$8,FALSE)/24)+($A$8/24)+N19,"")</f>
        <v>0.43680555555555556</v>
      </c>
      <c r="P19" s="1">
        <f>IFERROR(IF(O19=0,"",VLOOKUP($D19,PROCESSO!$B:$P,O$8,FALSE)/24)+($A$8/24)+O19,"")</f>
        <v>0.50277777777777777</v>
      </c>
      <c r="Q19" s="1">
        <f>IFERROR(IF(P19=0,"",VLOOKUP($D19,PROCESSO!$B:$P,P$8,FALSE)/24)+($A$8/24)+P19,"")</f>
        <v>0.53541666666666665</v>
      </c>
      <c r="R19" s="1">
        <f>IFERROR(IF(Q19=0,"",VLOOKUP($D19,PROCESSO!$B:$P,Q$8,FALSE)/24)+($A$8/24)+Q19,"")</f>
        <v>0.60111111111111115</v>
      </c>
      <c r="S19" s="45">
        <f>IFERROR(IFERROR(VLOOKUP(D19,PROCESSO!B:P,15,FALSE),"")/SUMIFS(C:C,A:A,A19),"")</f>
        <v>4.3769340016708442</v>
      </c>
      <c r="T19" s="45">
        <f t="shared" si="1"/>
        <v>7.87848120300752</v>
      </c>
      <c r="U19" s="45">
        <f>IFERROR(VLOOKUP(B19,RECEITAS!A:C,3,FALSE),"")</f>
        <v>2.6739550191991226</v>
      </c>
      <c r="V19" s="45">
        <f>IFERROR((U19+S19)*(1-ANALISE!$I$4),"")</f>
        <v>7.0508890208699668</v>
      </c>
      <c r="W19" s="45">
        <f t="shared" si="2"/>
        <v>12.691600237565941</v>
      </c>
    </row>
    <row r="20" spans="1:23" x14ac:dyDescent="0.3">
      <c r="A20">
        <f>Crono_Ter!A18</f>
        <v>5</v>
      </c>
      <c r="B20" t="str">
        <f>Crono_Ter!B18</f>
        <v>BRIOCHE MARGARINA</v>
      </c>
      <c r="C20" s="17">
        <f>Crono_Ter!C18</f>
        <v>3.6000000000000005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0.29166666666666669</v>
      </c>
      <c r="G20" s="1">
        <f>IFERROR(IF(F20=0,"",VLOOKUP($D20,PROCESSO!$B:$P,G$8,FALSE)/24)*IFERROR(IF(#REF!&gt;$B$8,ROUNDUP(#REF!/$B$8,0),1),1)+($A$8/24)+F20,"")</f>
        <v>0.30555555555555558</v>
      </c>
      <c r="H20" s="1">
        <f t="shared" si="0"/>
        <v>0.30555555555555558</v>
      </c>
      <c r="I20" s="1">
        <f>IFERROR(IF(H20=0,"",VLOOKUP($D20,PROCESSO!$B:$P,H$8,FALSE)/24)+($A$8/24)+H20,"")</f>
        <v>0.30902777777777779</v>
      </c>
      <c r="J20" s="1">
        <f>IFERROR(IF(I20=0,"",VLOOKUP($D20,PROCESSO!$B:$P,I$8,FALSE)/24)+($A$8/24)+I20,"")</f>
        <v>0.31736111111111115</v>
      </c>
      <c r="K20" s="1">
        <f>IFERROR(IF(J20=0,"",VLOOKUP($D20,PROCESSO!$B:$P,J$8,FALSE)/24)+($A$8/24)+J20,"")</f>
        <v>0.32569444444444451</v>
      </c>
      <c r="L20" s="1">
        <f>IFERROR(IF(K20=0,"",VLOOKUP($D20,PROCESSO!$B:$P,K$8,FALSE)/24)+($A$8/24)+K20,"")</f>
        <v>0.32916666666666672</v>
      </c>
      <c r="M20" s="1">
        <f>IFERROR(IF(L20=0,"",VLOOKUP($D20,PROCESSO!$B:$P,L$8,FALSE)/24)+($A$8/24)+L20,"")</f>
        <v>0.35694444444444451</v>
      </c>
      <c r="N20" s="1">
        <f>IFERROR(IF(M20=0,"",VLOOKUP($D20,PROCESSO!$B:$P,M$8,FALSE)/24)+($A$8/24)+M20,"")</f>
        <v>0.42291666666666672</v>
      </c>
      <c r="O20" s="1">
        <f>IFERROR(IF(N20=0,"",VLOOKUP($D20,PROCESSO!$B:$P,N$8,FALSE)/24)+($A$8/24)+N20,"")</f>
        <v>0.4472222222222223</v>
      </c>
      <c r="P20" s="1">
        <f>IFERROR(IF(O20=0,"",VLOOKUP($D20,PROCESSO!$B:$P,O$8,FALSE)/24)+($A$8/24)+O20,"")</f>
        <v>0.51319444444444451</v>
      </c>
      <c r="Q20" s="1">
        <f>IFERROR(IF(P20=0,"",VLOOKUP($D20,PROCESSO!$B:$P,P$8,FALSE)/24)+($A$8/24)+P20,"")</f>
        <v>0.54583333333333339</v>
      </c>
      <c r="R20" s="1">
        <f>IFERROR(IF(Q20=0,"",VLOOKUP($D20,PROCESSO!$B:$P,Q$8,FALSE)/24)+($A$8/24)+Q20,"")</f>
        <v>0.61152777777777789</v>
      </c>
      <c r="S20" s="45">
        <f>IFERROR(IFERROR(VLOOKUP(D20,PROCESSO!B:P,15,FALSE),"")/SUMIFS(C:C,A:A,A20),"")</f>
        <v>4.3442703150912108</v>
      </c>
      <c r="T20" s="45">
        <f t="shared" si="1"/>
        <v>15.639373134328361</v>
      </c>
      <c r="U20" s="45">
        <f>IFERROR(VLOOKUP(B20,RECEITAS!A:C,3,FALSE),"")</f>
        <v>2.8395295247239574</v>
      </c>
      <c r="V20" s="45">
        <f>IFERROR((U20+S20)*(1-ANALISE!$I$4),"")</f>
        <v>7.1837998398151681</v>
      </c>
      <c r="W20" s="45">
        <f t="shared" si="2"/>
        <v>25.861679423334611</v>
      </c>
    </row>
    <row r="21" spans="1:23" x14ac:dyDescent="0.3">
      <c r="A21">
        <f>Crono_Ter!A19</f>
        <v>5</v>
      </c>
      <c r="B21" t="str">
        <f>Crono_Ter!B19</f>
        <v>BROWN</v>
      </c>
      <c r="C21" s="17">
        <f>Crono_Ter!C19</f>
        <v>1.44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0.30208333333333337</v>
      </c>
      <c r="G21" s="1">
        <f>IFERROR(IF(F21=0,"",VLOOKUP($D21,PROCESSO!$B:$P,G$8,FALSE)/24)*IFERROR(IF(#REF!&gt;$B$8,ROUNDUP(#REF!/$B$8,0),1),1)+($A$8/24)+F21,"")</f>
        <v>0.31597222222222227</v>
      </c>
      <c r="H21" s="1">
        <f t="shared" si="0"/>
        <v>0.31597222222222227</v>
      </c>
      <c r="I21" s="1">
        <f>IFERROR(IF(H21=0,"",VLOOKUP($D21,PROCESSO!$B:$P,H$8,FALSE)/24)+($A$8/24)+H21,"")</f>
        <v>0.31944444444444448</v>
      </c>
      <c r="J21" s="1">
        <f>IFERROR(IF(I21=0,"",VLOOKUP($D21,PROCESSO!$B:$P,I$8,FALSE)/24)+($A$8/24)+I21,"")</f>
        <v>0.32777777777777783</v>
      </c>
      <c r="K21" s="1">
        <f>IFERROR(IF(J21=0,"",VLOOKUP($D21,PROCESSO!$B:$P,J$8,FALSE)/24)+($A$8/24)+J21,"")</f>
        <v>0.33611111111111119</v>
      </c>
      <c r="L21" s="1">
        <f>IFERROR(IF(K21=0,"",VLOOKUP($D21,PROCESSO!$B:$P,K$8,FALSE)/24)+($A$8/24)+K21,"")</f>
        <v>0.3395833333333334</v>
      </c>
      <c r="M21" s="1">
        <f>IFERROR(IF(L21=0,"",VLOOKUP($D21,PROCESSO!$B:$P,L$8,FALSE)/24)+($A$8/24)+L21,"")</f>
        <v>0.36736111111111119</v>
      </c>
      <c r="N21" s="1">
        <f>IFERROR(IF(M21=0,"",VLOOKUP($D21,PROCESSO!$B:$P,M$8,FALSE)/24)+($A$8/24)+M21,"")</f>
        <v>0.4333333333333334</v>
      </c>
      <c r="O21" s="1">
        <f>IFERROR(IF(N21=0,"",VLOOKUP($D21,PROCESSO!$B:$P,N$8,FALSE)/24)+($A$8/24)+N21,"")</f>
        <v>0.45763888888888893</v>
      </c>
      <c r="P21" s="1">
        <f>IFERROR(IF(O21=0,"",VLOOKUP($D21,PROCESSO!$B:$P,O$8,FALSE)/24)+($A$8/24)+O21,"")</f>
        <v>0.52361111111111114</v>
      </c>
      <c r="Q21" s="1">
        <f>IFERROR(IF(P21=0,"",VLOOKUP($D21,PROCESSO!$B:$P,P$8,FALSE)/24)+($A$8/24)+P21,"")</f>
        <v>0.55625000000000002</v>
      </c>
      <c r="R21" s="1">
        <f>IFERROR(IF(Q21=0,"",VLOOKUP($D21,PROCESSO!$B:$P,Q$8,FALSE)/24)+($A$8/24)+Q21,"")</f>
        <v>0.62194444444444441</v>
      </c>
      <c r="S21" s="45">
        <f>IFERROR(IFERROR(VLOOKUP(D21,PROCESSO!B:P,15,FALSE),"")/SUMIFS(C:C,A:A,A21),"")</f>
        <v>4.3442703150912108</v>
      </c>
      <c r="T21" s="45">
        <f t="shared" si="1"/>
        <v>6.2557492537313433</v>
      </c>
      <c r="U21" s="45">
        <f>IFERROR(VLOOKUP(B21,RECEITAS!A:C,3,FALSE),"")</f>
        <v>2.3452338811630851</v>
      </c>
      <c r="V21" s="45">
        <f>IFERROR((U21+S21)*(1-ANALISE!$I$4),"")</f>
        <v>6.6895041962542958</v>
      </c>
      <c r="W21" s="45">
        <f t="shared" si="2"/>
        <v>9.6328860426061862</v>
      </c>
    </row>
    <row r="22" spans="1:23" x14ac:dyDescent="0.3">
      <c r="A22">
        <f>Crono_Ter!A20</f>
        <v>5</v>
      </c>
      <c r="B22" t="str">
        <f>Crono_Ter!B20</f>
        <v>BRIOCHE MARGARINA 50% AÇUCAR</v>
      </c>
      <c r="C22" s="17">
        <f>Crono_Ter!C20</f>
        <v>3.0000000000000004</v>
      </c>
      <c r="D22" t="str">
        <f>IFERROR(VLOOKUP(B22,RECEITAS!A:C,$D$7,FALSE),"")</f>
        <v>DIRETO</v>
      </c>
      <c r="E22" s="1">
        <f>IFERROR(E21+(VLOOKUP($D22,PROCESSO!$B:$P,AP_CRONO_TER!E$8,FALSE)/24),"")</f>
        <v>0.2597222222222223</v>
      </c>
      <c r="F22" s="1">
        <f>Crono_Ter!E20</f>
        <v>0.31250000000000006</v>
      </c>
      <c r="G22" s="1">
        <f>IFERROR(IF(F22=0,"",VLOOKUP($D22,PROCESSO!$B:$P,G$8,FALSE)/24)*IFERROR(IF(#REF!&gt;$B$8,ROUNDUP(#REF!/$B$8,0),1),1)+($A$8/24)+F22,"")</f>
        <v>0.32638888888888895</v>
      </c>
      <c r="H22" s="1">
        <f t="shared" ref="H22:H29" si="3">G22</f>
        <v>0.32638888888888895</v>
      </c>
      <c r="I22" s="1">
        <f>IFERROR(IF(H22=0,"",VLOOKUP($D22,PROCESSO!$B:$P,H$8,FALSE)/24)+($A$8/24)+H22,"")</f>
        <v>0.32986111111111116</v>
      </c>
      <c r="J22" s="1">
        <f>IFERROR(IF(I22=0,"",VLOOKUP($D22,PROCESSO!$B:$P,I$8,FALSE)/24)+($A$8/24)+I22,"")</f>
        <v>0.33819444444444452</v>
      </c>
      <c r="K22" s="1">
        <f>IFERROR(IF(J22=0,"",VLOOKUP($D22,PROCESSO!$B:$P,J$8,FALSE)/24)+($A$8/24)+J22,"")</f>
        <v>0.34652777777777788</v>
      </c>
      <c r="L22" s="1">
        <f>IFERROR(IF(K22=0,"",VLOOKUP($D22,PROCESSO!$B:$P,K$8,FALSE)/24)+($A$8/24)+K22,"")</f>
        <v>0.35000000000000009</v>
      </c>
      <c r="M22" s="1">
        <f>IFERROR(IF(L22=0,"",VLOOKUP($D22,PROCESSO!$B:$P,L$8,FALSE)/24)+($A$8/24)+L22,"")</f>
        <v>0.37777777777777788</v>
      </c>
      <c r="N22" s="1">
        <f>IFERROR(IF(M22=0,"",VLOOKUP($D22,PROCESSO!$B:$P,M$8,FALSE)/24)+($A$8/24)+M22,"")</f>
        <v>0.44375000000000009</v>
      </c>
      <c r="O22" s="1">
        <f>IFERROR(IF(N22=0,"",VLOOKUP($D22,PROCESSO!$B:$P,N$8,FALSE)/24)+($A$8/24)+N22,"")</f>
        <v>0.46805555555555567</v>
      </c>
      <c r="P22" s="1">
        <f>IFERROR(IF(O22=0,"",VLOOKUP($D22,PROCESSO!$B:$P,O$8,FALSE)/24)+($A$8/24)+O22,"")</f>
        <v>0.53402777777777788</v>
      </c>
      <c r="Q22" s="1">
        <f>IFERROR(IF(P22=0,"",VLOOKUP($D22,PROCESSO!$B:$P,P$8,FALSE)/24)+($A$8/24)+P22,"")</f>
        <v>0.56666666666666676</v>
      </c>
      <c r="R22" s="1">
        <f>IFERROR(IF(Q22=0,"",VLOOKUP($D22,PROCESSO!$B:$P,Q$8,FALSE)/24)+($A$8/24)+Q22,"")</f>
        <v>0.63236111111111115</v>
      </c>
      <c r="S22" s="45">
        <f>IFERROR(IFERROR(VLOOKUP(D22,PROCESSO!B:P,15,FALSE),"")/SUMIFS(C:C,A:A,A22),"")</f>
        <v>4.3442703150912108</v>
      </c>
      <c r="T22" s="45">
        <f t="shared" si="1"/>
        <v>13.032810945273635</v>
      </c>
      <c r="U22" s="45">
        <f>IFERROR(VLOOKUP(B22,RECEITAS!A:C,3,FALSE),"")</f>
        <v>2.8814478282576137</v>
      </c>
      <c r="V22" s="45">
        <f>IFERROR((U22+S22)*(1-ANALISE!$I$4),"")</f>
        <v>7.2257181433488249</v>
      </c>
      <c r="W22" s="45">
        <f t="shared" si="2"/>
        <v>21.677154430046478</v>
      </c>
    </row>
    <row r="23" spans="1:23" x14ac:dyDescent="0.3">
      <c r="B23">
        <f>Crono_Ter!B21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</row>
    <row r="24" spans="1:23" x14ac:dyDescent="0.3">
      <c r="B24">
        <f>Crono_Ter!B22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</row>
    <row r="25" spans="1:23" x14ac:dyDescent="0.3">
      <c r="B25">
        <f>Crono_Ter!B23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B26">
        <f>Crono_Ter!B24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Crono_Ter!B25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Crono_Ter!B26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Crono_Ter!B27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Crono_Ter!B28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0"/>
  <sheetViews>
    <sheetView topLeftCell="I1" zoomScaleNormal="100" workbookViewId="0">
      <selection activeCell="S22" sqref="S22:W24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</cols>
  <sheetData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0.65866898148148145</v>
      </c>
      <c r="T8" s="1">
        <v>6.9444444444444441E-3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Crono_Qua!A8</f>
        <v>1</v>
      </c>
      <c r="B10" t="str">
        <f>Crono_Qua!B8</f>
        <v>AUSTRALIANO</v>
      </c>
      <c r="C10" s="17">
        <f>Crono_Qua!C8</f>
        <v>16.72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0.78701967853387422</v>
      </c>
      <c r="T10" s="45">
        <f>IFERROR(S10*C10,"")</f>
        <v>13.158969025086376</v>
      </c>
      <c r="U10" s="45">
        <f>IFERROR(VLOOKUP(B10,RECEITAS!A:C,3,FALSE),"")</f>
        <v>2.3452338811630851</v>
      </c>
      <c r="V10" s="45">
        <f>IFERROR((U10+S10)*(1-ANALISE!$I$4),"")</f>
        <v>3.1322535596969594</v>
      </c>
      <c r="W10" s="45">
        <f>IFERROR(V10*C10,"")</f>
        <v>52.371279518133157</v>
      </c>
    </row>
    <row r="11" spans="1:23" x14ac:dyDescent="0.3">
      <c r="A11">
        <f>Crono_Qua!A9</f>
        <v>1</v>
      </c>
      <c r="B11" t="str">
        <f>Crono_Qua!B9</f>
        <v>PH VINHEDO</v>
      </c>
      <c r="C11" s="17">
        <f>Crono_Qua!C9</f>
        <v>10.079999999999998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30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0.37430555555555556</v>
      </c>
      <c r="P11" s="1">
        <f>IFERROR(IF(O11=0,"",VLOOKUP($D11,PROCESSO!$B:$P,O$8,FALSE)/24)+($A$8/24)+O11,"")</f>
        <v>0.44027777777777777</v>
      </c>
      <c r="Q11" s="1">
        <f>IFERROR(IF(P11=0,"",VLOOKUP($D11,PROCESSO!$B:$P,P$8,FALSE)/24)+($A$8/24)+P11,"")</f>
        <v>0.47291666666666665</v>
      </c>
      <c r="R11" s="1">
        <f>IFERROR(IF(Q11=0,"",VLOOKUP($D11,PROCESSO!$B:$P,Q$8,FALSE)/24)+($A$8/24)+Q11,"")</f>
        <v>0.53861111111111115</v>
      </c>
      <c r="S11" s="45">
        <f>IFERROR(IFERROR(VLOOKUP(D11,PROCESSO!B:P,15,FALSE),"")/SUMIFS(C:C,A:A,A11),"")</f>
        <v>0.78701967853387422</v>
      </c>
      <c r="T11" s="45">
        <f t="shared" ref="T11:T22" si="1">IFERROR(S11*C11,"")</f>
        <v>7.9331583596214506</v>
      </c>
      <c r="U11" s="45">
        <f>IFERROR(VLOOKUP(B11,RECEITAS!A:C,3,FALSE),"")</f>
        <v>4.2629144274493598</v>
      </c>
      <c r="V11" s="45">
        <f>IFERROR((U11+S11)*(1-ANALISE!$I$4),"")</f>
        <v>5.0499341059832341</v>
      </c>
      <c r="W11" s="45">
        <f t="shared" ref="W11:W22" si="2">IFERROR(V11*C11,"")</f>
        <v>50.90333578831099</v>
      </c>
    </row>
    <row r="12" spans="1:23" x14ac:dyDescent="0.3">
      <c r="A12">
        <f>Crono_Qua!A10</f>
        <v>1</v>
      </c>
      <c r="B12" t="str">
        <f>Crono_Qua!B10</f>
        <v>BRIOCHE MARGARINA</v>
      </c>
      <c r="C12" s="17">
        <f>Crono_Qua!C10</f>
        <v>17.580000000000002</v>
      </c>
      <c r="D12" t="str">
        <f>IFERROR(VLOOKUP(B12,RECEITAS!A:C,$D$7,FALSE),"")</f>
        <v>DIRETO</v>
      </c>
      <c r="E12" s="1">
        <f>IFERROR(E11+(VLOOKUP($D12,PROCESSO!$B:$P,AP_CRONO_qua!E$8,FALSE)/24),"")</f>
        <v>0.20416666666666669</v>
      </c>
      <c r="F12" s="1">
        <f>Crono_Qua!E10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0.54902777777777767</v>
      </c>
      <c r="S12" s="45">
        <f>IFERROR(IFERROR(VLOOKUP(D12,PROCESSO!B:P,15,FALSE),"")/SUMIFS(C:C,A:A,A12),"")</f>
        <v>0.78701967853387422</v>
      </c>
      <c r="T12" s="45">
        <f t="shared" si="1"/>
        <v>13.835805948625511</v>
      </c>
      <c r="U12" s="45">
        <f>IFERROR(VLOOKUP(B12,RECEITAS!A:C,3,FALSE),"")</f>
        <v>2.8395295247239574</v>
      </c>
      <c r="V12" s="45">
        <f>IFERROR((U12+S12)*(1-ANALISE!$I$4),"")</f>
        <v>3.6265492032578317</v>
      </c>
      <c r="W12" s="45">
        <f t="shared" si="2"/>
        <v>63.754734993272685</v>
      </c>
    </row>
    <row r="13" spans="1:23" x14ac:dyDescent="0.3">
      <c r="A13">
        <f>Crono_Qua!A11</f>
        <v>2</v>
      </c>
      <c r="B13" t="str">
        <f>Crono_Qua!B11</f>
        <v>CASEIRINHO</v>
      </c>
      <c r="C13" s="17">
        <f>Crono_Qua!C11</f>
        <v>36.720000000000006</v>
      </c>
      <c r="D13" t="str">
        <f>IFERROR(VLOOKUP(B13,RECEITAS!A:C,$D$7,FALSE),"")</f>
        <v>DIRETO</v>
      </c>
      <c r="E13" s="1">
        <f>IFERROR(E12+(VLOOKUP($D13,PROCESSO!$B:$P,AP_CRONO_qua!E$8,FALSE)/24),"")</f>
        <v>0.20972222222222225</v>
      </c>
      <c r="F13" s="1">
        <f>Crono_Qua!E11</f>
        <v>0.23958333333333331</v>
      </c>
      <c r="G13" s="1">
        <f>IFERROR(IF(F13=0,"",VLOOKUP($D13,PROCESSO!$B:$P,G$8,FALSE)/24)*IFERROR(IF(#REF!&gt;$B$8,ROUNDUP(#REF!/$B$8,0),1),1)+($A$8/24)+F13,"")</f>
        <v>0.25347222222222221</v>
      </c>
      <c r="H13" s="1">
        <f t="shared" si="0"/>
        <v>0.25347222222222221</v>
      </c>
      <c r="I13" s="1">
        <f>IFERROR(IF(H13=0,"",VLOOKUP($D13,PROCESSO!$B:$P,H$8,FALSE)/24)+($A$8/24)+H13,"")</f>
        <v>0.25694444444444442</v>
      </c>
      <c r="J13" s="1">
        <f>IFERROR(IF(I13=0,"",VLOOKUP($D13,PROCESSO!$B:$P,I$8,FALSE)/24)+($A$8/24)+I13,"")</f>
        <v>0.26527777777777778</v>
      </c>
      <c r="K13" s="1">
        <f>IFERROR(IF(J13=0,"",VLOOKUP($D13,PROCESSO!$B:$P,J$8,FALSE)/24)+($A$8/24)+J13,"")</f>
        <v>0.27361111111111114</v>
      </c>
      <c r="L13" s="1">
        <f>IFERROR(IF(K13=0,"",VLOOKUP($D13,PROCESSO!$B:$P,K$8,FALSE)/24)+($A$8/24)+K13,"")</f>
        <v>0.27708333333333335</v>
      </c>
      <c r="M13" s="1">
        <f>IFERROR(IF(L13=0,"",VLOOKUP($D13,PROCESSO!$B:$P,L$8,FALSE)/24)+($A$8/24)+L13,"")</f>
        <v>0.30486111111111114</v>
      </c>
      <c r="N13" s="1">
        <f>IFERROR(IF(M13=0,"",VLOOKUP($D13,PROCESSO!$B:$P,M$8,FALSE)/24)+($A$8/24)+M13,"")</f>
        <v>0.37083333333333335</v>
      </c>
      <c r="O13" s="1">
        <f>IFERROR(IF(N13=0,"",VLOOKUP($D13,PROCESSO!$B:$P,N$8,FALSE)/24)+($A$8/24)+N13,"")</f>
        <v>0.39513888888888893</v>
      </c>
      <c r="P13" s="1">
        <f>IFERROR(IF(O13=0,"",VLOOKUP($D13,PROCESSO!$B:$P,O$8,FALSE)/24)+($A$8/24)+O13,"")</f>
        <v>0.46111111111111114</v>
      </c>
      <c r="Q13" s="1">
        <f>IFERROR(IF(P13=0,"",VLOOKUP($D13,PROCESSO!$B:$P,P$8,FALSE)/24)+($A$8/24)+P13,"")</f>
        <v>0.49375000000000002</v>
      </c>
      <c r="R13" s="1">
        <f>IFERROR(IF(Q13=0,"",VLOOKUP($D13,PROCESSO!$B:$P,Q$8,FALSE)/24)+($A$8/24)+Q13,"")</f>
        <v>0.55944444444444441</v>
      </c>
      <c r="S13" s="45">
        <f>IFERROR(IFERROR(VLOOKUP(D13,PROCESSO!B:P,15,FALSE),"")/SUMIFS(C:C,A:A,A13),"")</f>
        <v>0.74536776212832545</v>
      </c>
      <c r="T13" s="45">
        <f t="shared" si="1"/>
        <v>27.369904225352116</v>
      </c>
      <c r="U13" s="45">
        <f>IFERROR(VLOOKUP(B13,RECEITAS!A:C,3,FALSE),"")</f>
        <v>2.3235487959442338</v>
      </c>
      <c r="V13" s="45">
        <f>IFERROR((U13+S13)*(1-ANALISE!$I$4),"")</f>
        <v>3.0689165580725595</v>
      </c>
      <c r="W13" s="45">
        <f t="shared" si="2"/>
        <v>112.6906160124244</v>
      </c>
    </row>
    <row r="14" spans="1:23" x14ac:dyDescent="0.3">
      <c r="A14">
        <f>Crono_Qua!A12</f>
        <v>2</v>
      </c>
      <c r="B14" t="str">
        <f>Crono_Qua!B12</f>
        <v>BREZEL</v>
      </c>
      <c r="C14" s="17">
        <f>Crono_Qua!C12</f>
        <v>5.94</v>
      </c>
      <c r="D14" t="str">
        <f>IFERROR(VLOOKUP(B14,RECEITAS!A:C,$D$7,FALSE),"")</f>
        <v>RÚSTICO</v>
      </c>
      <c r="E14" s="1">
        <f>IFERROR(E13+(VLOOKUP($D14,PROCESSO!$B:$P,AP_CRONO_qua!E$8,FALSE)/24),"")</f>
        <v>0.21527777777777782</v>
      </c>
      <c r="F14" s="1">
        <f>Crono_Qua!E12</f>
        <v>0.24999999999999997</v>
      </c>
      <c r="G14" s="1">
        <f>IFERROR(IF(F14=0,"",VLOOKUP($D14,PROCESSO!$B:$P,G$8,FALSE)/24)*IFERROR(IF(#REF!&gt;$B$8,ROUNDUP(#REF!/$B$8,0),1),1)+($A$8/24)+F14,"")</f>
        <v>0.26388888888888884</v>
      </c>
      <c r="H14" s="1">
        <f t="shared" si="0"/>
        <v>0.26388888888888884</v>
      </c>
      <c r="I14" s="1">
        <f>IFERROR(IF(H14=0,"",VLOOKUP($D14,PROCESSO!$B:$P,H$8,FALSE)/24)+($A$8/24)+H14,"")</f>
        <v>0.26736111111111105</v>
      </c>
      <c r="J14" s="1">
        <f>IFERROR(IF(I14=0,"",VLOOKUP($D14,PROCESSO!$B:$P,I$8,FALSE)/24)+($A$8/24)+I14,"")</f>
        <v>0.31249999999999994</v>
      </c>
      <c r="K14" s="1">
        <f>IFERROR(IF(J14=0,"",VLOOKUP($D14,PROCESSO!$B:$P,J$8,FALSE)/24)+($A$8/24)+J14,"")</f>
        <v>0.33333333333333326</v>
      </c>
      <c r="L14" s="1">
        <f>IFERROR(IF(K14=0,"",VLOOKUP($D14,PROCESSO!$B:$P,K$8,FALSE)/24)+($A$8/24)+K14,"")</f>
        <v>0.36458333333333326</v>
      </c>
      <c r="M14" s="1">
        <f>IFERROR(IF(L14=0,"",VLOOKUP($D14,PROCESSO!$B:$P,L$8,FALSE)/24)+($A$8/24)+L14,"")</f>
        <v>0.38541666666666657</v>
      </c>
      <c r="N14" s="1">
        <f>IFERROR(IF(M14=0,"",VLOOKUP($D14,PROCESSO!$B:$P,M$8,FALSE)/24)+($A$8/24)+M14,"")</f>
        <v>0.43055555555555547</v>
      </c>
      <c r="O14" s="1">
        <f>IFERROR(IF(N14=0,"",VLOOKUP($D14,PROCESSO!$B:$P,N$8,FALSE)/24)+($A$8/24)+N14,"")</f>
        <v>0.46180555555555547</v>
      </c>
      <c r="P14" s="1">
        <f>IFERROR(IF(O14=0,"",VLOOKUP($D14,PROCESSO!$B:$P,O$8,FALSE)/24)+($A$8/24)+O14,"")</f>
        <v>0.52777777777777768</v>
      </c>
      <c r="Q14" s="1">
        <f>IFERROR(IF(P14=0,"",VLOOKUP($D14,PROCESSO!$B:$P,P$8,FALSE)/24)+($A$8/24)+P14,"")</f>
        <v>0.53124999999999989</v>
      </c>
      <c r="R14" s="1">
        <f>IFERROR(IF(Q14=0,"",VLOOKUP($D14,PROCESSO!$B:$P,Q$8,FALSE)/24)+($A$8/24)+Q14,"")</f>
        <v>0.60416666666666652</v>
      </c>
      <c r="S14" s="45">
        <f>IFERROR(IFERROR(VLOOKUP(D14,PROCESSO!B:P,15,FALSE),"")/SUMIFS(C:C,A:A,A14),"")</f>
        <v>0.79816652439891878</v>
      </c>
      <c r="T14" s="45">
        <f t="shared" si="1"/>
        <v>4.7411091549295774</v>
      </c>
      <c r="U14" s="45">
        <f>IFERROR(VLOOKUP(B14,RECEITAS!A:C,3,FALSE),"")</f>
        <v>2.21</v>
      </c>
      <c r="V14" s="45">
        <f>IFERROR((U14+S14)*(1-ANALISE!$I$4),"")</f>
        <v>3.0081665243989186</v>
      </c>
      <c r="W14" s="45">
        <f t="shared" si="2"/>
        <v>17.868509154929576</v>
      </c>
    </row>
    <row r="15" spans="1:23" x14ac:dyDescent="0.3">
      <c r="A15">
        <f>Crono_Qua!A13</f>
        <v>2</v>
      </c>
      <c r="B15" t="str">
        <f>Crono_Qua!B13</f>
        <v>SCHWARZBROT</v>
      </c>
      <c r="C15" s="17">
        <f>Crono_Qua!C13</f>
        <v>4.2</v>
      </c>
      <c r="D15" t="str">
        <f>IFERROR(VLOOKUP(B15,RECEITAS!A:C,$D$7,FALSE),"")</f>
        <v>RÚSTICO</v>
      </c>
      <c r="E15" s="1">
        <f>IFERROR(E14+(VLOOKUP($D15,PROCESSO!$B:$P,AP_CRONO_qua!E$8,FALSE)/24),"")</f>
        <v>0.22083333333333338</v>
      </c>
      <c r="F15" s="1">
        <f>Crono_Qua!E13</f>
        <v>0.26041666666666663</v>
      </c>
      <c r="G15" s="1">
        <f>IFERROR(IF(F15=0,"",VLOOKUP($D15,PROCESSO!$B:$P,G$8,FALSE)/24)*IFERROR(IF(#REF!&gt;$B$8,ROUNDUP(#REF!/$B$8,0),1),1)+($A$8/24)+F15,"")</f>
        <v>0.27430555555555552</v>
      </c>
      <c r="H15" s="1">
        <f t="shared" si="0"/>
        <v>0.27430555555555552</v>
      </c>
      <c r="I15" s="1">
        <f>IFERROR(IF(H15=0,"",VLOOKUP($D15,PROCESSO!$B:$P,H$8,FALSE)/24)+($A$8/24)+H15,"")</f>
        <v>0.27777777777777773</v>
      </c>
      <c r="J15" s="1">
        <f>IFERROR(IF(I15=0,"",VLOOKUP($D15,PROCESSO!$B:$P,I$8,FALSE)/24)+($A$8/24)+I15,"")</f>
        <v>0.32291666666666663</v>
      </c>
      <c r="K15" s="1">
        <f>IFERROR(IF(J15=0,"",VLOOKUP($D15,PROCESSO!$B:$P,J$8,FALSE)/24)+($A$8/24)+J15,"")</f>
        <v>0.34374999999999994</v>
      </c>
      <c r="L15" s="1">
        <f>IFERROR(IF(K15=0,"",VLOOKUP($D15,PROCESSO!$B:$P,K$8,FALSE)/24)+($A$8/24)+K15,"")</f>
        <v>0.37499999999999994</v>
      </c>
      <c r="M15" s="1">
        <f>IFERROR(IF(L15=0,"",VLOOKUP($D15,PROCESSO!$B:$P,L$8,FALSE)/24)+($A$8/24)+L15,"")</f>
        <v>0.39583333333333326</v>
      </c>
      <c r="N15" s="1">
        <f>IFERROR(IF(M15=0,"",VLOOKUP($D15,PROCESSO!$B:$P,M$8,FALSE)/24)+($A$8/24)+M15,"")</f>
        <v>0.44097222222222215</v>
      </c>
      <c r="O15" s="1">
        <f>IFERROR(IF(N15=0,"",VLOOKUP($D15,PROCESSO!$B:$P,N$8,FALSE)/24)+($A$8/24)+N15,"")</f>
        <v>0.47222222222222215</v>
      </c>
      <c r="P15" s="1">
        <f>IFERROR(IF(O15=0,"",VLOOKUP($D15,PROCESSO!$B:$P,O$8,FALSE)/24)+($A$8/24)+O15,"")</f>
        <v>0.53819444444444442</v>
      </c>
      <c r="Q15" s="1">
        <f>IFERROR(IF(P15=0,"",VLOOKUP($D15,PROCESSO!$B:$P,P$8,FALSE)/24)+($A$8/24)+P15,"")</f>
        <v>0.54166666666666663</v>
      </c>
      <c r="R15" s="1">
        <f>IFERROR(IF(Q15=0,"",VLOOKUP($D15,PROCESSO!$B:$P,Q$8,FALSE)/24)+($A$8/24)+Q15,"")</f>
        <v>0.61458333333333326</v>
      </c>
      <c r="S15" s="45">
        <f>IFERROR(IFERROR(VLOOKUP(D15,PROCESSO!B:P,15,FALSE),"")/SUMIFS(C:C,A:A,A15),"")</f>
        <v>0.79816652439891878</v>
      </c>
      <c r="T15" s="45">
        <f t="shared" si="1"/>
        <v>3.3522994024754591</v>
      </c>
      <c r="U15" s="45">
        <f>IFERROR(VLOOKUP(B15,RECEITAS!A:C,3,FALSE),"")</f>
        <v>2.6739550191991226</v>
      </c>
      <c r="V15" s="45">
        <f>IFERROR((U15+S15)*(1-ANALISE!$I$4),"")</f>
        <v>3.4721215435980413</v>
      </c>
      <c r="W15" s="45">
        <f t="shared" si="2"/>
        <v>14.582910483111775</v>
      </c>
    </row>
    <row r="16" spans="1:23" x14ac:dyDescent="0.3">
      <c r="A16">
        <f>Crono_Qua!A14</f>
        <v>3</v>
      </c>
      <c r="B16" t="str">
        <f>Crono_Qua!B14</f>
        <v>BAG. FRANCESA DE AZEITE</v>
      </c>
      <c r="C16" s="17">
        <f>Crono_Qua!C14</f>
        <v>3.3000000000000003</v>
      </c>
      <c r="D16" t="str">
        <f>IFERROR(VLOOKUP(B16,RECEITAS!A:C,$D$7,FALSE),"")</f>
        <v>RÚSTICO</v>
      </c>
      <c r="E16" s="1">
        <f>IFERROR(E15+(VLOOKUP($D16,PROCESSO!$B:$P,AP_CRONO_qua!E$8,FALSE)/24),"")</f>
        <v>0.22638888888888895</v>
      </c>
      <c r="F16" s="1">
        <f>Crono_Qua!E14</f>
        <v>0.27083333333333331</v>
      </c>
      <c r="G16" s="1">
        <f>IFERROR(IF(F16=0,"",VLOOKUP($D16,PROCESSO!$B:$P,G$8,FALSE)/24)*IFERROR(IF(#REF!&gt;$B$8,ROUNDUP(#REF!/$B$8,0),1),1)+($A$8/24)+F16,"")</f>
        <v>0.28472222222222221</v>
      </c>
      <c r="H16" s="1">
        <f t="shared" si="0"/>
        <v>0.28472222222222221</v>
      </c>
      <c r="I16" s="1">
        <f>IFERROR(IF(H16=0,"",VLOOKUP($D16,PROCESSO!$B:$P,H$8,FALSE)/24)+($A$8/24)+H16,"")</f>
        <v>0.28819444444444442</v>
      </c>
      <c r="J16" s="1">
        <f>IFERROR(IF(I16=0,"",VLOOKUP($D16,PROCESSO!$B:$P,I$8,FALSE)/24)+($A$8/24)+I16,"")</f>
        <v>0.33333333333333331</v>
      </c>
      <c r="K16" s="1">
        <f>IFERROR(IF(J16=0,"",VLOOKUP($D16,PROCESSO!$B:$P,J$8,FALSE)/24)+($A$8/24)+J16,"")</f>
        <v>0.35416666666666663</v>
      </c>
      <c r="L16" s="1">
        <f>IFERROR(IF(K16=0,"",VLOOKUP($D16,PROCESSO!$B:$P,K$8,FALSE)/24)+($A$8/24)+K16,"")</f>
        <v>0.38541666666666663</v>
      </c>
      <c r="M16" s="1">
        <f>IFERROR(IF(L16=0,"",VLOOKUP($D16,PROCESSO!$B:$P,L$8,FALSE)/24)+($A$8/24)+L16,"")</f>
        <v>0.40624999999999994</v>
      </c>
      <c r="N16" s="1">
        <f>IFERROR(IF(M16=0,"",VLOOKUP($D16,PROCESSO!$B:$P,M$8,FALSE)/24)+($A$8/24)+M16,"")</f>
        <v>0.45138888888888884</v>
      </c>
      <c r="O16" s="1">
        <f>IFERROR(IF(N16=0,"",VLOOKUP($D16,PROCESSO!$B:$P,N$8,FALSE)/24)+($A$8/24)+N16,"")</f>
        <v>0.48263888888888884</v>
      </c>
      <c r="P16" s="1">
        <f>IFERROR(IF(O16=0,"",VLOOKUP($D16,PROCESSO!$B:$P,O$8,FALSE)/24)+($A$8/24)+O16,"")</f>
        <v>0.54861111111111105</v>
      </c>
      <c r="Q16" s="1">
        <f>IFERROR(IF(P16=0,"",VLOOKUP($D16,PROCESSO!$B:$P,P$8,FALSE)/24)+($A$8/24)+P16,"")</f>
        <v>0.55208333333333326</v>
      </c>
      <c r="R16" s="1">
        <f>IFERROR(IF(Q16=0,"",VLOOKUP($D16,PROCESSO!$B:$P,Q$8,FALSE)/24)+($A$8/24)+Q16,"")</f>
        <v>0.62499999999999989</v>
      </c>
      <c r="S16" s="45">
        <f>IFERROR(IFERROR(VLOOKUP(D16,PROCESSO!B:P,15,FALSE),"")/SUMIFS(C:C,A:A,A16),"")</f>
        <v>1.7078576864535768</v>
      </c>
      <c r="T16" s="45">
        <f t="shared" si="1"/>
        <v>5.6359303652968036</v>
      </c>
      <c r="U16" s="45">
        <f>IFERROR(VLOOKUP(B16,RECEITAS!A:C,3,FALSE),"")</f>
        <v>2.206347678369196</v>
      </c>
      <c r="V16" s="45">
        <f>IFERROR((U16+S16)*(1-ANALISE!$I$4),"")</f>
        <v>3.9142053648227728</v>
      </c>
      <c r="W16" s="45">
        <f t="shared" si="2"/>
        <v>12.916877703915151</v>
      </c>
    </row>
    <row r="17" spans="1:23" x14ac:dyDescent="0.3">
      <c r="A17">
        <f>Crono_Qua!A15</f>
        <v>3</v>
      </c>
      <c r="B17" t="str">
        <f>Crono_Qua!B15</f>
        <v>MALTADO</v>
      </c>
      <c r="C17" s="17">
        <f>Crono_Qua!C15</f>
        <v>4.2</v>
      </c>
      <c r="D17" t="str">
        <f>IFERROR(VLOOKUP(B17,RECEITAS!A:C,$D$7,FALSE),"")</f>
        <v>RÚSTICO</v>
      </c>
      <c r="E17" s="1">
        <f>IFERROR(E16+(VLOOKUP($D17,PROCESSO!$B:$P,AP_CRONO_qua!E$8,FALSE)/24),"")</f>
        <v>0.23194444444444451</v>
      </c>
      <c r="F17" s="1">
        <f>Crono_Qua!E15</f>
        <v>0.28125</v>
      </c>
      <c r="G17" s="1">
        <f>IFERROR(IF(F17=0,"",VLOOKUP($D17,PROCESSO!$B:$P,G$8,FALSE)/24)*IFERROR(IF(#REF!&gt;$B$8,ROUNDUP(#REF!/$B$8,0),1),1)+($A$8/24)+F17,"")</f>
        <v>0.2951388888888889</v>
      </c>
      <c r="H17" s="1">
        <f t="shared" si="0"/>
        <v>0.2951388888888889</v>
      </c>
      <c r="I17" s="1">
        <f>IFERROR(IF(H17=0,"",VLOOKUP($D17,PROCESSO!$B:$P,H$8,FALSE)/24)+($A$8/24)+H17,"")</f>
        <v>0.2986111111111111</v>
      </c>
      <c r="J17" s="1">
        <f>IFERROR(IF(I17=0,"",VLOOKUP($D17,PROCESSO!$B:$P,I$8,FALSE)/24)+($A$8/24)+I17,"")</f>
        <v>0.34375</v>
      </c>
      <c r="K17" s="1">
        <f>IFERROR(IF(J17=0,"",VLOOKUP($D17,PROCESSO!$B:$P,J$8,FALSE)/24)+($A$8/24)+J17,"")</f>
        <v>0.36458333333333331</v>
      </c>
      <c r="L17" s="1">
        <f>IFERROR(IF(K17=0,"",VLOOKUP($D17,PROCESSO!$B:$P,K$8,FALSE)/24)+($A$8/24)+K17,"")</f>
        <v>0.39583333333333331</v>
      </c>
      <c r="M17" s="1">
        <f>IFERROR(IF(L17=0,"",VLOOKUP($D17,PROCESSO!$B:$P,L$8,FALSE)/24)+($A$8/24)+L17,"")</f>
        <v>0.41666666666666663</v>
      </c>
      <c r="N17" s="1">
        <f>IFERROR(IF(M17=0,"",VLOOKUP($D17,PROCESSO!$B:$P,M$8,FALSE)/24)+($A$8/24)+M17,"")</f>
        <v>0.46180555555555552</v>
      </c>
      <c r="O17" s="1">
        <f>IFERROR(IF(N17=0,"",VLOOKUP($D17,PROCESSO!$B:$P,N$8,FALSE)/24)+($A$8/24)+N17,"")</f>
        <v>0.49305555555555552</v>
      </c>
      <c r="P17" s="1">
        <f>IFERROR(IF(O17=0,"",VLOOKUP($D17,PROCESSO!$B:$P,O$8,FALSE)/24)+($A$8/24)+O17,"")</f>
        <v>0.55902777777777779</v>
      </c>
      <c r="Q17" s="1">
        <f>IFERROR(IF(P17=0,"",VLOOKUP($D17,PROCESSO!$B:$P,P$8,FALSE)/24)+($A$8/24)+P17,"")</f>
        <v>0.5625</v>
      </c>
      <c r="R17" s="1">
        <f>IFERROR(IF(Q17=0,"",VLOOKUP($D17,PROCESSO!$B:$P,Q$8,FALSE)/24)+($A$8/24)+Q17,"")</f>
        <v>0.63541666666666663</v>
      </c>
      <c r="S17" s="45">
        <f>IFERROR(IFERROR(VLOOKUP(D17,PROCESSO!B:P,15,FALSE),"")/SUMIFS(C:C,A:A,A17),"")</f>
        <v>1.7078576864535768</v>
      </c>
      <c r="T17" s="45">
        <f t="shared" si="1"/>
        <v>7.1730022831050233</v>
      </c>
      <c r="U17" s="45">
        <f>IFERROR(VLOOKUP(B17,RECEITAS!A:C,3,FALSE),"")</f>
        <v>2.6739550191991226</v>
      </c>
      <c r="V17" s="45">
        <f>IFERROR((U17+S17)*(1-ANALISE!$I$4),"")</f>
        <v>4.381812705652699</v>
      </c>
      <c r="W17" s="45">
        <f t="shared" si="2"/>
        <v>18.403613363741336</v>
      </c>
    </row>
    <row r="18" spans="1:23" x14ac:dyDescent="0.3">
      <c r="A18">
        <f>Crono_Qua!A16</f>
        <v>3</v>
      </c>
      <c r="B18" t="str">
        <f>Crono_Qua!B16</f>
        <v>PH MALTE AROMA CARAMEL CACAU</v>
      </c>
      <c r="C18" s="17">
        <f>Crono_Qua!C16</f>
        <v>14.400000000000002</v>
      </c>
      <c r="D18" t="str">
        <f>IFERROR(VLOOKUP(B18,RECEITAS!A:C,$D$7,FALSE),"")</f>
        <v>DIRETO</v>
      </c>
      <c r="E18" s="1">
        <f>IFERROR(E17+(VLOOKUP($D18,PROCESSO!$B:$P,AP_CRONO_qua!E$8,FALSE)/24),"")</f>
        <v>0.23750000000000007</v>
      </c>
      <c r="F18" s="1">
        <f>Crono_Qua!E16</f>
        <v>0.29166666666666669</v>
      </c>
      <c r="G18" s="1">
        <f>IFERROR(IF(F18=0,"",VLOOKUP($D18,PROCESSO!$B:$P,G$8,FALSE)/24)*IFERROR(IF(#REF!&gt;$B$8,ROUNDUP(#REF!/$B$8,0),1),1)+($A$8/24)+F18,"")</f>
        <v>0.30555555555555558</v>
      </c>
      <c r="H18" s="1">
        <f t="shared" si="0"/>
        <v>0.30555555555555558</v>
      </c>
      <c r="I18" s="1">
        <f>IFERROR(IF(H18=0,"",VLOOKUP($D18,PROCESSO!$B:$P,H$8,FALSE)/24)+($A$8/24)+H18,"")</f>
        <v>0.30902777777777779</v>
      </c>
      <c r="J18" s="1">
        <f>IFERROR(IF(I18=0,"",VLOOKUP($D18,PROCESSO!$B:$P,I$8,FALSE)/24)+($A$8/24)+I18,"")</f>
        <v>0.31736111111111115</v>
      </c>
      <c r="K18" s="1">
        <f>IFERROR(IF(J18=0,"",VLOOKUP($D18,PROCESSO!$B:$P,J$8,FALSE)/24)+($A$8/24)+J18,"")</f>
        <v>0.32569444444444451</v>
      </c>
      <c r="L18" s="1">
        <f>IFERROR(IF(K18=0,"",VLOOKUP($D18,PROCESSO!$B:$P,K$8,FALSE)/24)+($A$8/24)+K18,"")</f>
        <v>0.32916666666666672</v>
      </c>
      <c r="M18" s="1">
        <f>IFERROR(IF(L18=0,"",VLOOKUP($D18,PROCESSO!$B:$P,L$8,FALSE)/24)+($A$8/24)+L18,"")</f>
        <v>0.35694444444444451</v>
      </c>
      <c r="N18" s="1">
        <f>IFERROR(IF(M18=0,"",VLOOKUP($D18,PROCESSO!$B:$P,M$8,FALSE)/24)+($A$8/24)+M18,"")</f>
        <v>0.42291666666666672</v>
      </c>
      <c r="O18" s="1">
        <f>IFERROR(IF(N18=0,"",VLOOKUP($D18,PROCESSO!$B:$P,N$8,FALSE)/24)+($A$8/24)+N18,"")</f>
        <v>0.4472222222222223</v>
      </c>
      <c r="P18" s="1">
        <f>IFERROR(IF(O18=0,"",VLOOKUP($D18,PROCESSO!$B:$P,O$8,FALSE)/24)+($A$8/24)+O18,"")</f>
        <v>0.51319444444444451</v>
      </c>
      <c r="Q18" s="1">
        <f>IFERROR(IF(P18=0,"",VLOOKUP($D18,PROCESSO!$B:$P,P$8,FALSE)/24)+($A$8/24)+P18,"")</f>
        <v>0.54583333333333339</v>
      </c>
      <c r="R18" s="1">
        <f>IFERROR(IF(Q18=0,"",VLOOKUP($D18,PROCESSO!$B:$P,Q$8,FALSE)/24)+($A$8/24)+Q18,"")</f>
        <v>0.61152777777777789</v>
      </c>
      <c r="S18" s="45">
        <f>IFERROR(IFERROR(VLOOKUP(D18,PROCESSO!B:P,15,FALSE),"")/SUMIFS(C:C,A:A,A18),"")</f>
        <v>1.594882800608828</v>
      </c>
      <c r="T18" s="45">
        <f t="shared" si="1"/>
        <v>22.966312328767128</v>
      </c>
      <c r="U18" s="45">
        <f>IFERROR(VLOOKUP(B18,RECEITAS!A:C,3,FALSE),"")</f>
        <v>3.802317938072997</v>
      </c>
      <c r="V18" s="45">
        <f>IFERROR((U18+S18)*(1-ANALISE!$I$4),"")</f>
        <v>5.3972007386818248</v>
      </c>
      <c r="W18" s="45">
        <f t="shared" si="2"/>
        <v>77.719690637018289</v>
      </c>
    </row>
    <row r="19" spans="1:23" x14ac:dyDescent="0.3">
      <c r="A19">
        <f>Crono_Qua!A17</f>
        <v>4</v>
      </c>
      <c r="B19" t="str">
        <f>Crono_Qua!B17</f>
        <v>PH BETERRABA</v>
      </c>
      <c r="C19" s="17">
        <f>Crono_Qua!C17</f>
        <v>0.60000000000000009</v>
      </c>
      <c r="D19" t="str">
        <f>IFERROR(VLOOKUP(B19,RECEITAS!A:C,$D$7,FALSE),"")</f>
        <v>DIRETO</v>
      </c>
      <c r="E19" s="1">
        <f>IFERROR(E18+(VLOOKUP($D19,PROCESSO!$B:$P,AP_CRONO_qua!E$8,FALSE)/24),"")</f>
        <v>0.24305555555555564</v>
      </c>
      <c r="F19" s="1">
        <f>Crono_Qua!E17</f>
        <v>0.30208333333333337</v>
      </c>
      <c r="G19" s="1">
        <f>IFERROR(IF(F19=0,"",VLOOKUP($D19,PROCESSO!$B:$P,G$8,FALSE)/24)*IFERROR(IF(#REF!&gt;$B$8,ROUNDUP(#REF!/$B$8,0),1),1)+($A$8/24)+F19,"")</f>
        <v>0.31597222222222227</v>
      </c>
      <c r="H19" s="1">
        <f t="shared" ref="H19:H26" si="3">G19</f>
        <v>0.31597222222222227</v>
      </c>
      <c r="I19" s="1">
        <f>IFERROR(IF(H19=0,"",VLOOKUP($D19,PROCESSO!$B:$P,H$8,FALSE)/24)+($A$8/24)+H19,"")</f>
        <v>0.31944444444444448</v>
      </c>
      <c r="J19" s="1">
        <f>IFERROR(IF(I19=0,"",VLOOKUP($D19,PROCESSO!$B:$P,I$8,FALSE)/24)+($A$8/24)+I19,"")</f>
        <v>0.32777777777777783</v>
      </c>
      <c r="K19" s="1">
        <f>IFERROR(IF(J19=0,"",VLOOKUP($D19,PROCESSO!$B:$P,J$8,FALSE)/24)+($A$8/24)+J19,"")</f>
        <v>0.33611111111111119</v>
      </c>
      <c r="L19" s="1">
        <f>IFERROR(IF(K19=0,"",VLOOKUP($D19,PROCESSO!$B:$P,K$8,FALSE)/24)+($A$8/24)+K19,"")</f>
        <v>0.3395833333333334</v>
      </c>
      <c r="M19" s="1">
        <f>IFERROR(IF(L19=0,"",VLOOKUP($D19,PROCESSO!$B:$P,L$8,FALSE)/24)+($A$8/24)+L19,"")</f>
        <v>0.36736111111111119</v>
      </c>
      <c r="N19" s="1">
        <f>IFERROR(IF(M19=0,"",VLOOKUP($D19,PROCESSO!$B:$P,M$8,FALSE)/24)+($A$8/24)+M19,"")</f>
        <v>0.4333333333333334</v>
      </c>
      <c r="O19" s="1">
        <f>IFERROR(IF(N19=0,"",VLOOKUP($D19,PROCESSO!$B:$P,N$8,FALSE)/24)+($A$8/24)+N19,"")</f>
        <v>0.45763888888888893</v>
      </c>
      <c r="P19" s="1">
        <f>IFERROR(IF(O19=0,"",VLOOKUP($D19,PROCESSO!$B:$P,O$8,FALSE)/24)+($A$8/24)+O19,"")</f>
        <v>0.52361111111111114</v>
      </c>
      <c r="Q19" s="1">
        <f>IFERROR(IF(P19=0,"",VLOOKUP($D19,PROCESSO!$B:$P,P$8,FALSE)/24)+($A$8/24)+P19,"")</f>
        <v>0.55625000000000002</v>
      </c>
      <c r="R19" s="1">
        <f>IFERROR(IF(Q19=0,"",VLOOKUP($D19,PROCESSO!$B:$P,Q$8,FALSE)/24)+($A$8/24)+Q19,"")</f>
        <v>0.62194444444444441</v>
      </c>
      <c r="S19" s="45">
        <f>IFERROR(IFERROR(VLOOKUP(D19,PROCESSO!B:P,15,FALSE),"")/SUMIFS(C:C,A:A,A19),"")</f>
        <v>19.404407407407405</v>
      </c>
      <c r="T19" s="45">
        <f t="shared" si="1"/>
        <v>11.642644444444445</v>
      </c>
      <c r="U19" s="45">
        <f>IFERROR(VLOOKUP(B19,RECEITAS!A:C,3,FALSE),"")</f>
        <v>2.3235487959442338</v>
      </c>
      <c r="V19" s="45">
        <f>IFERROR((U19+S19)*(1-ANALISE!$I$4),"")</f>
        <v>21.727956203351638</v>
      </c>
      <c r="W19" s="45">
        <f t="shared" si="2"/>
        <v>13.036773722010984</v>
      </c>
    </row>
    <row r="20" spans="1:23" x14ac:dyDescent="0.3">
      <c r="A20">
        <f>Crono_Qua!A18</f>
        <v>4</v>
      </c>
      <c r="B20" t="str">
        <f>Crono_Qua!B18</f>
        <v>PH ESPINAFRE</v>
      </c>
      <c r="C20" s="17">
        <f>Crono_Qua!C18</f>
        <v>0.60000000000000009</v>
      </c>
      <c r="D20" t="str">
        <f>IFERROR(VLOOKUP(B20,RECEITAS!A:C,$D$7,FALSE),"")</f>
        <v>DIRETO</v>
      </c>
      <c r="E20" s="1">
        <f>IFERROR(E19+(VLOOKUP($D20,PROCESSO!$B:$P,AP_CRONO_qua!E$8,FALSE)/24),"")</f>
        <v>0.2486111111111112</v>
      </c>
      <c r="F20" s="1">
        <f>Crono_Qua!E18</f>
        <v>0.31250000000000006</v>
      </c>
      <c r="G20" s="1">
        <f>IFERROR(IF(F20=0,"",VLOOKUP($D20,PROCESSO!$B:$P,G$8,FALSE)/24)*IFERROR(IF(#REF!&gt;$B$8,ROUNDUP(#REF!/$B$8,0),1),1)+($A$8/24)+F20,"")</f>
        <v>0.32638888888888895</v>
      </c>
      <c r="H20" s="1">
        <f t="shared" si="3"/>
        <v>0.32638888888888895</v>
      </c>
      <c r="I20" s="1">
        <f>IFERROR(IF(H20=0,"",VLOOKUP($D20,PROCESSO!$B:$P,H$8,FALSE)/24)+($A$8/24)+H20,"")</f>
        <v>0.32986111111111116</v>
      </c>
      <c r="J20" s="1">
        <f>IFERROR(IF(I20=0,"",VLOOKUP($D20,PROCESSO!$B:$P,I$8,FALSE)/24)+($A$8/24)+I20,"")</f>
        <v>0.33819444444444452</v>
      </c>
      <c r="K20" s="1">
        <f>IFERROR(IF(J20=0,"",VLOOKUP($D20,PROCESSO!$B:$P,J$8,FALSE)/24)+($A$8/24)+J20,"")</f>
        <v>0.34652777777777788</v>
      </c>
      <c r="L20" s="1">
        <f>IFERROR(IF(K20=0,"",VLOOKUP($D20,PROCESSO!$B:$P,K$8,FALSE)/24)+($A$8/24)+K20,"")</f>
        <v>0.35000000000000009</v>
      </c>
      <c r="M20" s="1">
        <f>IFERROR(IF(L20=0,"",VLOOKUP($D20,PROCESSO!$B:$P,L$8,FALSE)/24)+($A$8/24)+L20,"")</f>
        <v>0.37777777777777788</v>
      </c>
      <c r="N20" s="1">
        <f>IFERROR(IF(M20=0,"",VLOOKUP($D20,PROCESSO!$B:$P,M$8,FALSE)/24)+($A$8/24)+M20,"")</f>
        <v>0.44375000000000009</v>
      </c>
      <c r="O20" s="1">
        <f>IFERROR(IF(N20=0,"",VLOOKUP($D20,PROCESSO!$B:$P,N$8,FALSE)/24)+($A$8/24)+N20,"")</f>
        <v>0.46805555555555567</v>
      </c>
      <c r="P20" s="1">
        <f>IFERROR(IF(O20=0,"",VLOOKUP($D20,PROCESSO!$B:$P,O$8,FALSE)/24)+($A$8/24)+O20,"")</f>
        <v>0.53402777777777788</v>
      </c>
      <c r="Q20" s="1">
        <f>IFERROR(IF(P20=0,"",VLOOKUP($D20,PROCESSO!$B:$P,P$8,FALSE)/24)+($A$8/24)+P20,"")</f>
        <v>0.56666666666666676</v>
      </c>
      <c r="R20" s="1">
        <f>IFERROR(IF(Q20=0,"",VLOOKUP($D20,PROCESSO!$B:$P,Q$8,FALSE)/24)+($A$8/24)+Q20,"")</f>
        <v>0.63236111111111115</v>
      </c>
      <c r="S20" s="45">
        <f>IFERROR(IFERROR(VLOOKUP(D20,PROCESSO!B:P,15,FALSE),"")/SUMIFS(C:C,A:A,A20),"")</f>
        <v>19.404407407407405</v>
      </c>
      <c r="T20" s="45">
        <f t="shared" si="1"/>
        <v>11.642644444444445</v>
      </c>
      <c r="U20" s="45">
        <f>IFERROR(VLOOKUP(B20,RECEITAS!A:C,3,FALSE),"")</f>
        <v>2.3235487959442338</v>
      </c>
      <c r="V20" s="45">
        <f>IFERROR((U20+S20)*(1-ANALISE!$I$4),"")</f>
        <v>21.727956203351638</v>
      </c>
      <c r="W20" s="45">
        <f t="shared" si="2"/>
        <v>13.036773722010984</v>
      </c>
    </row>
    <row r="21" spans="1:23" x14ac:dyDescent="0.3">
      <c r="A21">
        <f>Crono_Qua!A19</f>
        <v>4</v>
      </c>
      <c r="B21" t="str">
        <f>Crono_Qua!B19</f>
        <v>PH NEGRO</v>
      </c>
      <c r="C21" s="17">
        <f>Crono_Qua!C19</f>
        <v>0.60000000000000009</v>
      </c>
      <c r="D21" t="str">
        <f>IFERROR(VLOOKUP(B21,RECEITAS!A:C,$D$7,FALSE),"")</f>
        <v>DIRETO</v>
      </c>
      <c r="E21" s="1">
        <f>IFERROR(E20+(VLOOKUP($D21,PROCESSO!$B:$P,AP_CRONO_qua!E$8,FALSE)/24),"")</f>
        <v>0.25416666666666676</v>
      </c>
      <c r="F21" s="1">
        <f>Crono_Qua!E19</f>
        <v>0.32291666666666674</v>
      </c>
      <c r="G21" s="1">
        <f>IFERROR(IF(F21=0,"",VLOOKUP($D21,PROCESSO!$B:$P,G$8,FALSE)/24)*IFERROR(IF(#REF!&gt;$B$8,ROUNDUP(#REF!/$B$8,0),1),1)+($A$8/24)+F21,"")</f>
        <v>0.33680555555555564</v>
      </c>
      <c r="H21" s="1">
        <f t="shared" si="3"/>
        <v>0.33680555555555564</v>
      </c>
      <c r="I21" s="1">
        <f>IFERROR(IF(H21=0,"",VLOOKUP($D21,PROCESSO!$B:$P,H$8,FALSE)/24)+($A$8/24)+H21,"")</f>
        <v>0.34027777777777785</v>
      </c>
      <c r="J21" s="1">
        <f>IFERROR(IF(I21=0,"",VLOOKUP($D21,PROCESSO!$B:$P,I$8,FALSE)/24)+($A$8/24)+I21,"")</f>
        <v>0.3486111111111112</v>
      </c>
      <c r="K21" s="1">
        <f>IFERROR(IF(J21=0,"",VLOOKUP($D21,PROCESSO!$B:$P,J$8,FALSE)/24)+($A$8/24)+J21,"")</f>
        <v>0.35694444444444456</v>
      </c>
      <c r="L21" s="1">
        <f>IFERROR(IF(K21=0,"",VLOOKUP($D21,PROCESSO!$B:$P,K$8,FALSE)/24)+($A$8/24)+K21,"")</f>
        <v>0.36041666666666677</v>
      </c>
      <c r="M21" s="1">
        <f>IFERROR(IF(L21=0,"",VLOOKUP($D21,PROCESSO!$B:$P,L$8,FALSE)/24)+($A$8/24)+L21,"")</f>
        <v>0.38819444444444456</v>
      </c>
      <c r="N21" s="1">
        <f>IFERROR(IF(M21=0,"",VLOOKUP($D21,PROCESSO!$B:$P,M$8,FALSE)/24)+($A$8/24)+M21,"")</f>
        <v>0.45416666666666677</v>
      </c>
      <c r="O21" s="1">
        <f>IFERROR(IF(N21=0,"",VLOOKUP($D21,PROCESSO!$B:$P,N$8,FALSE)/24)+($A$8/24)+N21,"")</f>
        <v>0.4784722222222223</v>
      </c>
      <c r="P21" s="1">
        <f>IFERROR(IF(O21=0,"",VLOOKUP($D21,PROCESSO!$B:$P,O$8,FALSE)/24)+($A$8/24)+O21,"")</f>
        <v>0.54444444444444451</v>
      </c>
      <c r="Q21" s="1">
        <f>IFERROR(IF(P21=0,"",VLOOKUP($D21,PROCESSO!$B:$P,P$8,FALSE)/24)+($A$8/24)+P21,"")</f>
        <v>0.57708333333333339</v>
      </c>
      <c r="R21" s="1">
        <f>IFERROR(IF(Q21=0,"",VLOOKUP($D21,PROCESSO!$B:$P,Q$8,FALSE)/24)+($A$8/24)+Q21,"")</f>
        <v>0.64277777777777789</v>
      </c>
      <c r="S21" s="45">
        <f>IFERROR(IFERROR(VLOOKUP(D21,PROCESSO!B:P,15,FALSE),"")/SUMIFS(C:C,A:A,A21),"")</f>
        <v>19.404407407407405</v>
      </c>
      <c r="T21" s="45">
        <f t="shared" si="1"/>
        <v>11.642644444444445</v>
      </c>
      <c r="U21" s="45">
        <f>IFERROR(VLOOKUP(B21,RECEITAS!A:C,3,FALSE),"")</f>
        <v>2.3235487959442338</v>
      </c>
      <c r="V21" s="45">
        <f>IFERROR((U21+S21)*(1-ANALISE!$I$4),"")</f>
        <v>21.727956203351638</v>
      </c>
      <c r="W21" s="45">
        <f t="shared" si="2"/>
        <v>13.036773722010984</v>
      </c>
    </row>
    <row r="22" spans="1:23" x14ac:dyDescent="0.3">
      <c r="A22">
        <f>Crono_Qua!A20</f>
        <v>5</v>
      </c>
      <c r="B22" t="str">
        <f>Crono_Qua!B20</f>
        <v>BRIOCHE MARGARINA 50% AÇUCAR</v>
      </c>
      <c r="C22" s="17">
        <f>Crono_Qua!C20</f>
        <v>30.000000000000004</v>
      </c>
      <c r="D22" t="str">
        <f>IFERROR(VLOOKUP(B22,RECEITAS!A:C,$D$7,FALSE),"")</f>
        <v>DIRETO</v>
      </c>
      <c r="E22" s="1">
        <f>IFERROR(E21+(VLOOKUP($D22,PROCESSO!$B:$P,AP_CRONO_qua!E$8,FALSE)/24),"")</f>
        <v>0.2597222222222223</v>
      </c>
      <c r="F22" s="1">
        <f>Crono_Qua!E20</f>
        <v>0.33333333333333343</v>
      </c>
      <c r="G22" s="1">
        <f>IFERROR(IF(F22=0,"",VLOOKUP($D22,PROCESSO!$B:$P,G$8,FALSE)/24)*IFERROR(IF(#REF!&gt;$B$8,ROUNDUP(#REF!/$B$8,0),1),1)+($A$8/24)+F22,"")</f>
        <v>0.34722222222222232</v>
      </c>
      <c r="H22" s="1">
        <f t="shared" si="3"/>
        <v>0.34722222222222232</v>
      </c>
      <c r="I22" s="1">
        <f>IFERROR(IF(H22=0,"",VLOOKUP($D22,PROCESSO!$B:$P,H$8,FALSE)/24)+($A$8/24)+H22,"")</f>
        <v>0.35069444444444453</v>
      </c>
      <c r="J22" s="1">
        <f>IFERROR(IF(I22=0,"",VLOOKUP($D22,PROCESSO!$B:$P,I$8,FALSE)/24)+($A$8/24)+I22,"")</f>
        <v>0.35902777777777789</v>
      </c>
      <c r="K22" s="1">
        <f>IFERROR(IF(J22=0,"",VLOOKUP($D22,PROCESSO!$B:$P,J$8,FALSE)/24)+($A$8/24)+J22,"")</f>
        <v>0.36736111111111125</v>
      </c>
      <c r="L22" s="1">
        <f>IFERROR(IF(K22=0,"",VLOOKUP($D22,PROCESSO!$B:$P,K$8,FALSE)/24)+($A$8/24)+K22,"")</f>
        <v>0.37083333333333346</v>
      </c>
      <c r="M22" s="1">
        <f>IFERROR(IF(L22=0,"",VLOOKUP($D22,PROCESSO!$B:$P,L$8,FALSE)/24)+($A$8/24)+L22,"")</f>
        <v>0.39861111111111125</v>
      </c>
      <c r="N22" s="1">
        <f>IFERROR(IF(M22=0,"",VLOOKUP($D22,PROCESSO!$B:$P,M$8,FALSE)/24)+($A$8/24)+M22,"")</f>
        <v>0.46458333333333346</v>
      </c>
      <c r="O22" s="1">
        <f>IFERROR(IF(N22=0,"",VLOOKUP($D22,PROCESSO!$B:$P,N$8,FALSE)/24)+($A$8/24)+N22,"")</f>
        <v>0.48888888888888904</v>
      </c>
      <c r="P22" s="1">
        <f>IFERROR(IF(O22=0,"",VLOOKUP($D22,PROCESSO!$B:$P,O$8,FALSE)/24)+($A$8/24)+O22,"")</f>
        <v>0.55486111111111125</v>
      </c>
      <c r="Q22" s="1">
        <f>IFERROR(IF(P22=0,"",VLOOKUP($D22,PROCESSO!$B:$P,P$8,FALSE)/24)+($A$8/24)+P22,"")</f>
        <v>0.58750000000000013</v>
      </c>
      <c r="R22" s="1">
        <f>IFERROR(IF(Q22=0,"",VLOOKUP($D22,PROCESSO!$B:$P,Q$8,FALSE)/24)+($A$8/24)+Q22,"")</f>
        <v>0.65319444444444463</v>
      </c>
      <c r="S22" s="45">
        <f>IFERROR(IFERROR(VLOOKUP(D22,PROCESSO!B:P,15,FALSE),"")/SUMIFS(C:C,A:A,A22),"")</f>
        <v>0.96619455970493306</v>
      </c>
      <c r="T22" s="45">
        <f t="shared" si="1"/>
        <v>28.985836791147996</v>
      </c>
      <c r="U22" s="45">
        <f>IFERROR(VLOOKUP(B22,RECEITAS!A:C,3,FALSE),"")</f>
        <v>2.8814478282576137</v>
      </c>
      <c r="V22" s="45">
        <f>IFERROR((U22+S22)*(1-ANALISE!$I$4),"")</f>
        <v>3.847642387962547</v>
      </c>
      <c r="W22" s="45">
        <f t="shared" si="2"/>
        <v>115.42927163887643</v>
      </c>
    </row>
    <row r="23" spans="1:23" x14ac:dyDescent="0.3">
      <c r="A23">
        <f>Crono_Qua!A21</f>
        <v>5</v>
      </c>
      <c r="B23" t="str">
        <f>Crono_Qua!B21</f>
        <v>PH INTEGRAL COM ÓLEO</v>
      </c>
      <c r="C23" s="17">
        <f>Crono_Qua!C21</f>
        <v>4.8000000000000007</v>
      </c>
      <c r="D23" t="str">
        <f>IFERROR(VLOOKUP(B23,RECEITAS!A:C,$D$7,FALSE),"")</f>
        <v>DIRETO</v>
      </c>
      <c r="E23" s="1">
        <f>IFERROR(E22+(VLOOKUP($D23,PROCESSO!$B:$P,AP_CRONO_qua!E$8,FALSE)/24),"")</f>
        <v>0.26527777777777783</v>
      </c>
      <c r="F23" s="1">
        <f>Crono_Qua!E21</f>
        <v>0.34375000000000011</v>
      </c>
      <c r="G23" s="1">
        <f>IFERROR(IF(F23=0,"",VLOOKUP($D23,PROCESSO!$B:$P,G$8,FALSE)/24)*IFERROR(IF(#REF!&gt;$B$8,ROUNDUP(#REF!/$B$8,0),1),1)+($A$8/24)+F23,"")</f>
        <v>0.35763888888888901</v>
      </c>
      <c r="H23" s="1">
        <f t="shared" si="3"/>
        <v>0.35763888888888901</v>
      </c>
      <c r="I23" s="1">
        <f>IFERROR(IF(H23=0,"",VLOOKUP($D23,PROCESSO!$B:$P,H$8,FALSE)/24)+($A$8/24)+H23,"")</f>
        <v>0.36111111111111122</v>
      </c>
      <c r="J23" s="1">
        <f>IFERROR(IF(I23=0,"",VLOOKUP($D23,PROCESSO!$B:$P,I$8,FALSE)/24)+($A$8/24)+I23,"")</f>
        <v>0.36944444444444458</v>
      </c>
      <c r="K23" s="1">
        <f>IFERROR(IF(J23=0,"",VLOOKUP($D23,PROCESSO!$B:$P,J$8,FALSE)/24)+($A$8/24)+J23,"")</f>
        <v>0.37777777777777793</v>
      </c>
      <c r="L23" s="1">
        <f>IFERROR(IF(K23=0,"",VLOOKUP($D23,PROCESSO!$B:$P,K$8,FALSE)/24)+($A$8/24)+K23,"")</f>
        <v>0.38125000000000014</v>
      </c>
      <c r="M23" s="1">
        <f>IFERROR(IF(L23=0,"",VLOOKUP($D23,PROCESSO!$B:$P,L$8,FALSE)/24)+($A$8/24)+L23,"")</f>
        <v>0.40902777777777793</v>
      </c>
      <c r="N23" s="1">
        <f>IFERROR(IF(M23=0,"",VLOOKUP($D23,PROCESSO!$B:$P,M$8,FALSE)/24)+($A$8/24)+M23,"")</f>
        <v>0.47500000000000014</v>
      </c>
      <c r="O23" s="1">
        <f>IFERROR(IF(N23=0,"",VLOOKUP($D23,PROCESSO!$B:$P,N$8,FALSE)/24)+($A$8/24)+N23,"")</f>
        <v>0.49930555555555567</v>
      </c>
      <c r="P23" s="1">
        <f>IFERROR(IF(O23=0,"",VLOOKUP($D23,PROCESSO!$B:$P,O$8,FALSE)/24)+($A$8/24)+O23,"")</f>
        <v>0.56527777777777788</v>
      </c>
      <c r="Q23" s="1">
        <f>IFERROR(IF(P23=0,"",VLOOKUP($D23,PROCESSO!$B:$P,P$8,FALSE)/24)+($A$8/24)+P23,"")</f>
        <v>0.59791666666666676</v>
      </c>
      <c r="R23" s="1">
        <f>IFERROR(IF(Q23=0,"",VLOOKUP($D23,PROCESSO!$B:$P,Q$8,FALSE)/24)+($A$8/24)+Q23,"")</f>
        <v>0.66361111111111115</v>
      </c>
      <c r="S23" s="45">
        <f>IFERROR(IFERROR(VLOOKUP(D23,PROCESSO!B:P,15,FALSE),"")/SUMIFS(C:C,A:A,A23),"")</f>
        <v>0.96619455970493306</v>
      </c>
      <c r="T23" s="45">
        <f t="shared" ref="T23:T24" si="4">IFERROR(S23*C23,"")</f>
        <v>4.6377338865836792</v>
      </c>
      <c r="U23" s="45">
        <f>IFERROR(VLOOKUP(B23,RECEITAS!A:C,3,FALSE),"")</f>
        <v>2.4498411145462371</v>
      </c>
      <c r="V23" s="45">
        <f>IFERROR((U23+S23)*(1-ANALISE!$I$4),"")</f>
        <v>3.4160356742511704</v>
      </c>
      <c r="W23" s="45">
        <f t="shared" ref="W23:W24" si="5">IFERROR(V23*C23,"")</f>
        <v>16.396971236405619</v>
      </c>
    </row>
    <row r="24" spans="1:23" x14ac:dyDescent="0.3">
      <c r="A24">
        <f>Crono_Qua!A22</f>
        <v>5</v>
      </c>
      <c r="B24" t="str">
        <f>Crono_Qua!B22</f>
        <v>VEGANO TRAD.</v>
      </c>
      <c r="C24" s="17">
        <f>Crono_Qua!C22</f>
        <v>1.3499999999999999</v>
      </c>
      <c r="D24" t="str">
        <f>IFERROR(VLOOKUP(B24,RECEITAS!A:C,$D$7,FALSE),"")</f>
        <v>DIRETO</v>
      </c>
      <c r="E24" s="1">
        <f>IFERROR(E23+(VLOOKUP($D24,PROCESSO!$B:$P,AP_CRONO_qua!E$8,FALSE)/24),"")</f>
        <v>0.27083333333333337</v>
      </c>
      <c r="F24" s="1">
        <f>Crono_Qua!E22</f>
        <v>0.3541666666666668</v>
      </c>
      <c r="G24" s="1">
        <f>IFERROR(IF(F24=0,"",VLOOKUP($D24,PROCESSO!$B:$P,G$8,FALSE)/24)*IFERROR(IF(#REF!&gt;$B$8,ROUNDUP(#REF!/$B$8,0),1),1)+($A$8/24)+F24,"")</f>
        <v>0.36805555555555569</v>
      </c>
      <c r="H24" s="1">
        <f t="shared" si="3"/>
        <v>0.36805555555555569</v>
      </c>
      <c r="I24" s="1">
        <f>IFERROR(IF(H24=0,"",VLOOKUP($D24,PROCESSO!$B:$P,H$8,FALSE)/24)+($A$8/24)+H24,"")</f>
        <v>0.3715277777777779</v>
      </c>
      <c r="J24" s="1">
        <f>IFERROR(IF(I24=0,"",VLOOKUP($D24,PROCESSO!$B:$P,I$8,FALSE)/24)+($A$8/24)+I24,"")</f>
        <v>0.37986111111111126</v>
      </c>
      <c r="K24" s="1">
        <f>IFERROR(IF(J24=0,"",VLOOKUP($D24,PROCESSO!$B:$P,J$8,FALSE)/24)+($A$8/24)+J24,"")</f>
        <v>0.38819444444444462</v>
      </c>
      <c r="L24" s="1">
        <f>IFERROR(IF(K24=0,"",VLOOKUP($D24,PROCESSO!$B:$P,K$8,FALSE)/24)+($A$8/24)+K24,"")</f>
        <v>0.39166666666666683</v>
      </c>
      <c r="M24" s="1">
        <f>IFERROR(IF(L24=0,"",VLOOKUP($D24,PROCESSO!$B:$P,L$8,FALSE)/24)+($A$8/24)+L24,"")</f>
        <v>0.41944444444444462</v>
      </c>
      <c r="N24" s="1">
        <f>IFERROR(IF(M24=0,"",VLOOKUP($D24,PROCESSO!$B:$P,M$8,FALSE)/24)+($A$8/24)+M24,"")</f>
        <v>0.48541666666666683</v>
      </c>
      <c r="O24" s="1">
        <f>IFERROR(IF(N24=0,"",VLOOKUP($D24,PROCESSO!$B:$P,N$8,FALSE)/24)+($A$8/24)+N24,"")</f>
        <v>0.50972222222222241</v>
      </c>
      <c r="P24" s="1">
        <f>IFERROR(IF(O24=0,"",VLOOKUP($D24,PROCESSO!$B:$P,O$8,FALSE)/24)+($A$8/24)+O24,"")</f>
        <v>0.57569444444444462</v>
      </c>
      <c r="Q24" s="1">
        <f>IFERROR(IF(P24=0,"",VLOOKUP($D24,PROCESSO!$B:$P,P$8,FALSE)/24)+($A$8/24)+P24,"")</f>
        <v>0.6083333333333335</v>
      </c>
      <c r="R24" s="1">
        <f>IFERROR(IF(Q24=0,"",VLOOKUP($D24,PROCESSO!$B:$P,Q$8,FALSE)/24)+($A$8/24)+Q24,"")</f>
        <v>0.67402777777777789</v>
      </c>
      <c r="S24" s="45">
        <f>IFERROR(IFERROR(VLOOKUP(D24,PROCESSO!B:P,15,FALSE),"")/SUMIFS(C:C,A:A,A24),"")</f>
        <v>0.96619455970493306</v>
      </c>
      <c r="T24" s="45">
        <f t="shared" si="4"/>
        <v>1.3043626556016594</v>
      </c>
      <c r="U24" s="45">
        <f>IFERROR(VLOOKUP(B24,RECEITAS!A:C,3,FALSE),"")</f>
        <v>1.4304241248567149</v>
      </c>
      <c r="V24" s="45">
        <f>IFERROR((U24+S24)*(1-ANALISE!$I$4),"")</f>
        <v>2.3966186845616479</v>
      </c>
      <c r="W24" s="45">
        <f t="shared" si="5"/>
        <v>3.2354352241582243</v>
      </c>
    </row>
    <row r="25" spans="1:23" x14ac:dyDescent="0.3"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0"/>
  <sheetViews>
    <sheetView topLeftCell="B1" zoomScaleNormal="100" workbookViewId="0">
      <selection activeCell="S10" sqref="S10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x14ac:dyDescent="0.3">
      <c r="V2" s="1"/>
    </row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0.323275462962963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Crono_Qui!A8</f>
        <v>1</v>
      </c>
      <c r="B10" t="str">
        <f>Crono_Qui!B8</f>
        <v>AUSTRALIANO</v>
      </c>
      <c r="C10" s="17">
        <f>Crono_Qui!C8</f>
        <v>16.120000000000005</v>
      </c>
      <c r="D10" t="str">
        <f>IFERROR(VLOOKUP(B10,RECEITAS!A:C,$D$7,FALSE),"")</f>
        <v>DIRETO</v>
      </c>
      <c r="E10" s="1">
        <f>IFERROR(D8+(VLOOKUP($D10,PROCESSO!$B:$P,AP_CRONO_Qui!E$8,FALSE)/24),"")</f>
        <v>0.19305555555555556</v>
      </c>
      <c r="F10" s="1">
        <f>Crono_Qui!E8</f>
        <v>0.20833333333333334</v>
      </c>
      <c r="G10" s="1">
        <f>IFERROR(IF(F10=0,"",VLOOKUP($D10,PROCESSO!$B:$P,G$8,FALSE)/24)*IFERROR(IF(#REF!&gt;$B$8,ROUNDUP(#REF!/$B$8,0),1),1)+($A$8/24)+F10,"")</f>
        <v>0.22222222222222224</v>
      </c>
      <c r="H10" s="1">
        <f>G10</f>
        <v>0.22222222222222224</v>
      </c>
      <c r="I10" s="1">
        <f>IFERROR(IF(H10=0,"",VLOOKUP($D10,PROCESSO!$B:$P,H$8,FALSE)/24)+($A$8/24)+H10,"")</f>
        <v>0.22569444444444445</v>
      </c>
      <c r="J10" s="1">
        <f>IFERROR(IF(I10=0,"",VLOOKUP($D10,PROCESSO!$B:$P,I$8,FALSE)/24)+($A$8/24)+I10,"")</f>
        <v>0.23402777777777778</v>
      </c>
      <c r="K10" s="1">
        <f>IFERROR(IF(J10=0,"",VLOOKUP($D10,PROCESSO!$B:$P,J$8,FALSE)/24)+($A$8/24)+J10,"")</f>
        <v>0.24236111111111111</v>
      </c>
      <c r="L10" s="1">
        <f>IFERROR(IF(K10=0,"",VLOOKUP($D10,PROCESSO!$B:$P,K$8,FALSE)/24)+($A$8/24)+K10,"")</f>
        <v>0.24583333333333332</v>
      </c>
      <c r="M10" s="1">
        <f>IFERROR(IF(L10=0,"",VLOOKUP($D10,PROCESSO!$B:$P,L$8,FALSE)/24)+($A$8/24)+L10,"")</f>
        <v>0.27361111111111108</v>
      </c>
      <c r="N10" s="1">
        <f>IFERROR(IF(M10=0,"",VLOOKUP($D10,PROCESSO!$B:$P,M$8,FALSE)/24)+($A$8/24)+M10,"")</f>
        <v>0.33958333333333329</v>
      </c>
      <c r="O10" s="1">
        <f>IFERROR(IF(N10=0,"",VLOOKUP($D10,PROCESSO!$B:$P,N$8,FALSE)/24)+($A$8/24)+N10,"")</f>
        <v>0.36388888888888882</v>
      </c>
      <c r="P10" s="1">
        <f>IFERROR(IF(O10=0,"",VLOOKUP($D10,PROCESSO!$B:$P,O$8,FALSE)/24)+($A$8/24)+O10,"")</f>
        <v>0.42986111111111103</v>
      </c>
      <c r="Q10" s="1">
        <f>IFERROR(IF(P10=0,"",VLOOKUP($D10,PROCESSO!$B:$P,P$8,FALSE)/24)+($A$8/24)+P10,"")</f>
        <v>0.46249999999999991</v>
      </c>
      <c r="R10" s="1">
        <f>IFERROR(IF(Q10=0,"",VLOOKUP($D10,PROCESSO!$B:$P,Q$8,FALSE)/24)+($A$8/24)+Q10,"")</f>
        <v>0.52819444444444441</v>
      </c>
      <c r="S10" s="45">
        <f>IFERROR(IFERROR(VLOOKUP(D10,PROCESSO!B:P,15,FALSE),"")/SUMIFS(C:C,A:A,A10),"")</f>
        <v>2.1667452440033079</v>
      </c>
      <c r="T10" s="45">
        <f>IFERROR(S10*C10,"")</f>
        <v>34.927933333333335</v>
      </c>
      <c r="U10" s="45">
        <f>IFERROR(VLOOKUP(B10,RECEITAS!A:C,3,FALSE),"")</f>
        <v>2.3452338811630851</v>
      </c>
      <c r="V10" s="45">
        <f>IFERROR((U10+S10)*(1-ANALISE!$I$4),"")</f>
        <v>4.511979125166393</v>
      </c>
      <c r="W10" s="45">
        <f>IFERROR(V10*C10,"")</f>
        <v>72.733103497682279</v>
      </c>
    </row>
    <row r="11" spans="1:23" x14ac:dyDescent="0.3">
      <c r="A11">
        <f>Crono_Qui!A9</f>
        <v>2</v>
      </c>
      <c r="B11" t="str">
        <f>Crono_Qui!B9</f>
        <v>CASEIRINHO</v>
      </c>
      <c r="C11" s="17">
        <f>Crono_Qui!C9</f>
        <v>45</v>
      </c>
      <c r="D11" t="str">
        <f>IFERROR(VLOOKUP(B11,RECEITAS!A:C,$D$7,FALSE),"")</f>
        <v>DIRETO</v>
      </c>
      <c r="E11" s="1">
        <f>IFERROR(E10+(VLOOKUP($D11,PROCESSO!$B:$P,AP_CRONO_Qui!E$8,FALSE)/24),"")</f>
        <v>0.19861111111111113</v>
      </c>
      <c r="F11" s="1">
        <f>Crono_Qui!E9</f>
        <v>0.21875</v>
      </c>
      <c r="G11" s="1">
        <f>IFERROR(IF(F11=0,"",VLOOKUP($D11,PROCESSO!$B:$P,G$8,FALSE)/24)*IFERROR(IF(#REF!&gt;$B$8,ROUNDUP(#REF!/$B$8,0),1),1)+($A$8/24)+F11,"")</f>
        <v>0.2326388888888889</v>
      </c>
      <c r="H11" s="1">
        <f t="shared" ref="H11:H30" si="0">G11</f>
        <v>0.2326388888888889</v>
      </c>
      <c r="I11" s="1">
        <f>IFERROR(IF(H11=0,"",VLOOKUP($D11,PROCESSO!$B:$P,H$8,FALSE)/24)+($A$8/24)+H11,"")</f>
        <v>0.2361111111111111</v>
      </c>
      <c r="J11" s="1">
        <f>IFERROR(IF(I11=0,"",VLOOKUP($D11,PROCESSO!$B:$P,I$8,FALSE)/24)+($A$8/24)+I11,"")</f>
        <v>0.24444444444444444</v>
      </c>
      <c r="K11" s="1">
        <f>IFERROR(IF(J11=0,"",VLOOKUP($D11,PROCESSO!$B:$P,J$8,FALSE)/24)+($A$8/24)+J11,"")</f>
        <v>0.25277777777777777</v>
      </c>
      <c r="L11" s="1">
        <f>IFERROR(IF(K11=0,"",VLOOKUP($D11,PROCESSO!$B:$P,K$8,FALSE)/24)+($A$8/24)+K11,"")</f>
        <v>0.25624999999999998</v>
      </c>
      <c r="M11" s="1">
        <f>IFERROR(IF(L11=0,"",VLOOKUP($D11,PROCESSO!$B:$P,L$8,FALSE)/24)+($A$8/24)+L11,"")</f>
        <v>0.28402777777777777</v>
      </c>
      <c r="N11" s="1">
        <f>IFERROR(IF(M11=0,"",VLOOKUP($D11,PROCESSO!$B:$P,M$8,FALSE)/24)+($A$8/24)+M11,"")</f>
        <v>0.35</v>
      </c>
      <c r="O11" s="1">
        <f>IFERROR(IF(N11=0,"",VLOOKUP($D11,PROCESSO!$B:$P,N$8,FALSE)/24)+($A$8/24)+N11,"")</f>
        <v>0.37430555555555556</v>
      </c>
      <c r="P11" s="1">
        <f>IFERROR(IF(O11=0,"",VLOOKUP($D11,PROCESSO!$B:$P,O$8,FALSE)/24)+($A$8/24)+O11,"")</f>
        <v>0.44027777777777777</v>
      </c>
      <c r="Q11" s="1">
        <f>IFERROR(IF(P11=0,"",VLOOKUP($D11,PROCESSO!$B:$P,P$8,FALSE)/24)+($A$8/24)+P11,"")</f>
        <v>0.47291666666666665</v>
      </c>
      <c r="R11" s="1">
        <f>IFERROR(IF(Q11=0,"",VLOOKUP($D11,PROCESSO!$B:$P,Q$8,FALSE)/24)+($A$8/24)+Q11,"")</f>
        <v>0.53861111111111115</v>
      </c>
      <c r="S11" s="45">
        <f>IFERROR(IFERROR(VLOOKUP(D11,PROCESSO!B:P,15,FALSE),"")/SUMIFS(C:C,A:A,A11),"")</f>
        <v>0.77617629629629636</v>
      </c>
      <c r="T11" s="45">
        <f t="shared" ref="T11:T22" si="1">IFERROR(S11*C11,"")</f>
        <v>34.927933333333335</v>
      </c>
      <c r="U11" s="45">
        <f>IFERROR(VLOOKUP(B11,RECEITAS!A:C,3,FALSE),"")</f>
        <v>2.3235487959442338</v>
      </c>
      <c r="V11" s="45">
        <f>IFERROR((U11+S11)*(1-ANALISE!$I$4),"")</f>
        <v>3.0997250922405302</v>
      </c>
      <c r="W11" s="45">
        <f t="shared" ref="W11:W22" si="2">IFERROR(V11*C11,"")</f>
        <v>139.48762915082386</v>
      </c>
    </row>
    <row r="12" spans="1:23" x14ac:dyDescent="0.3">
      <c r="A12">
        <f>Crono_Qui!A10</f>
        <v>3</v>
      </c>
      <c r="B12" t="str">
        <f>Crono_Qui!B10</f>
        <v>CASEIRINHO</v>
      </c>
      <c r="C12" s="17">
        <f>Crono_Qui!C10</f>
        <v>45</v>
      </c>
      <c r="D12" t="str">
        <f>IFERROR(VLOOKUP(B12,RECEITAS!A:C,$D$7,FALSE),"")</f>
        <v>DIRETO</v>
      </c>
      <c r="E12" s="1">
        <f>IFERROR(E11+(VLOOKUP($D12,PROCESSO!$B:$P,AP_CRONO_Qui!E$8,FALSE)/24),"")</f>
        <v>0.20416666666666669</v>
      </c>
      <c r="F12" s="1">
        <f>Crono_Qui!E10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0.54902777777777767</v>
      </c>
      <c r="S12" s="45">
        <f>IFERROR(IFERROR(VLOOKUP(D12,PROCESSO!B:P,15,FALSE),"")/SUMIFS(C:C,A:A,A12),"")</f>
        <v>0.77617629629629636</v>
      </c>
      <c r="T12" s="45">
        <f t="shared" si="1"/>
        <v>34.927933333333335</v>
      </c>
      <c r="U12" s="45">
        <f>IFERROR(VLOOKUP(B12,RECEITAS!A:C,3,FALSE),"")</f>
        <v>2.3235487959442338</v>
      </c>
      <c r="V12" s="45">
        <f>IFERROR((U12+S12)*(1-ANALISE!$I$4),"")</f>
        <v>3.0997250922405302</v>
      </c>
      <c r="W12" s="45">
        <f t="shared" si="2"/>
        <v>139.48762915082386</v>
      </c>
    </row>
    <row r="13" spans="1:23" x14ac:dyDescent="0.3">
      <c r="A13">
        <f>Crono_Qui!A11</f>
        <v>4</v>
      </c>
      <c r="B13" t="str">
        <f>Crono_Qui!B11</f>
        <v>PH VINHEDO</v>
      </c>
      <c r="C13" s="17">
        <f>Crono_Qui!C11</f>
        <v>1.2000000000000002</v>
      </c>
      <c r="D13" t="str">
        <f>IFERROR(VLOOKUP(B13,RECEITAS!A:C,$D$7,FALSE),"")</f>
        <v>DIRETO</v>
      </c>
      <c r="E13" s="1">
        <f>IFERROR(E12+(VLOOKUP($D13,PROCESSO!$B:$P,AP_CRONO_Qui!E$8,FALSE)/24),"")</f>
        <v>0.20972222222222225</v>
      </c>
      <c r="F13" s="1">
        <f>Crono_Qui!E11</f>
        <v>0.23958333333333331</v>
      </c>
      <c r="G13" s="1">
        <f>IFERROR(IF(F13=0,"",VLOOKUP($D13,PROCESSO!$B:$P,G$8,FALSE)/24)*IFERROR(IF(#REF!&gt;$B$8,ROUNDUP(#REF!/$B$8,0),1),1)+($A$8/24)+F13,"")</f>
        <v>0.25347222222222221</v>
      </c>
      <c r="H13" s="1">
        <f t="shared" si="0"/>
        <v>0.25347222222222221</v>
      </c>
      <c r="I13" s="1">
        <f>IFERROR(IF(H13=0,"",VLOOKUP($D13,PROCESSO!$B:$P,H$8,FALSE)/24)+($A$8/24)+H13,"")</f>
        <v>0.25694444444444442</v>
      </c>
      <c r="J13" s="1">
        <f>IFERROR(IF(I13=0,"",VLOOKUP($D13,PROCESSO!$B:$P,I$8,FALSE)/24)+($A$8/24)+I13,"")</f>
        <v>0.26527777777777778</v>
      </c>
      <c r="K13" s="1">
        <f>IFERROR(IF(J13=0,"",VLOOKUP($D13,PROCESSO!$B:$P,J$8,FALSE)/24)+($A$8/24)+J13,"")</f>
        <v>0.27361111111111114</v>
      </c>
      <c r="L13" s="1">
        <f>IFERROR(IF(K13=0,"",VLOOKUP($D13,PROCESSO!$B:$P,K$8,FALSE)/24)+($A$8/24)+K13,"")</f>
        <v>0.27708333333333335</v>
      </c>
      <c r="M13" s="1">
        <f>IFERROR(IF(L13=0,"",VLOOKUP($D13,PROCESSO!$B:$P,L$8,FALSE)/24)+($A$8/24)+L13,"")</f>
        <v>0.30486111111111114</v>
      </c>
      <c r="N13" s="1">
        <f>IFERROR(IF(M13=0,"",VLOOKUP($D13,PROCESSO!$B:$P,M$8,FALSE)/24)+($A$8/24)+M13,"")</f>
        <v>0.37083333333333335</v>
      </c>
      <c r="O13" s="1">
        <f>IFERROR(IF(N13=0,"",VLOOKUP($D13,PROCESSO!$B:$P,N$8,FALSE)/24)+($A$8/24)+N13,"")</f>
        <v>0.39513888888888893</v>
      </c>
      <c r="P13" s="1">
        <f>IFERROR(IF(O13=0,"",VLOOKUP($D13,PROCESSO!$B:$P,O$8,FALSE)/24)+($A$8/24)+O13,"")</f>
        <v>0.46111111111111114</v>
      </c>
      <c r="Q13" s="1">
        <f>IFERROR(IF(P13=0,"",VLOOKUP($D13,PROCESSO!$B:$P,P$8,FALSE)/24)+($A$8/24)+P13,"")</f>
        <v>0.49375000000000002</v>
      </c>
      <c r="R13" s="1">
        <f>IFERROR(IF(Q13=0,"",VLOOKUP($D13,PROCESSO!$B:$P,Q$8,FALSE)/24)+($A$8/24)+Q13,"")</f>
        <v>0.55944444444444441</v>
      </c>
      <c r="S13" s="45">
        <f>IFERROR(IFERROR(VLOOKUP(D13,PROCESSO!B:P,15,FALSE),"")/SUMIFS(C:C,A:A,A13),"")</f>
        <v>3.4243071895424837</v>
      </c>
      <c r="T13" s="45">
        <f t="shared" si="1"/>
        <v>4.1091686274509813</v>
      </c>
      <c r="U13" s="45">
        <f>IFERROR(VLOOKUP(B13,RECEITAS!A:C,3,FALSE),"")</f>
        <v>4.2629144274493598</v>
      </c>
      <c r="V13" s="45">
        <f>IFERROR((U13+S13)*(1-ANALISE!$I$4),"")</f>
        <v>7.6872216169918435</v>
      </c>
      <c r="W13" s="45">
        <f t="shared" si="2"/>
        <v>9.2246659403902136</v>
      </c>
    </row>
    <row r="14" spans="1:23" x14ac:dyDescent="0.3">
      <c r="A14">
        <f>Crono_Qui!A12</f>
        <v>4</v>
      </c>
      <c r="B14" t="str">
        <f>Crono_Qui!B12</f>
        <v>DONUTS</v>
      </c>
      <c r="C14" s="17">
        <f>Crono_Qui!C12</f>
        <v>1.3499999999999999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0.24999999999999997</v>
      </c>
      <c r="G14" s="1">
        <f>IFERROR(IF(F14=0,"",VLOOKUP($D14,PROCESSO!$B:$P,G$8,FALSE)/24)*IFERROR(IF(#REF!&gt;$B$8,ROUNDUP(#REF!/$B$8,0),1),1)+($A$8/24)+F14,"")</f>
        <v>0.26388888888888884</v>
      </c>
      <c r="H14" s="1">
        <f t="shared" si="0"/>
        <v>0.26388888888888884</v>
      </c>
      <c r="I14" s="1">
        <f>IFERROR(IF(H14=0,"",VLOOKUP($D14,PROCESSO!$B:$P,H$8,FALSE)/24)+($A$8/24)+H14,"")</f>
        <v>0.26736111111111105</v>
      </c>
      <c r="J14" s="1">
        <f>IFERROR(IF(I14=0,"",VLOOKUP($D14,PROCESSO!$B:$P,I$8,FALSE)/24)+($A$8/24)+I14,"")</f>
        <v>0.27569444444444441</v>
      </c>
      <c r="K14" s="1">
        <f>IFERROR(IF(J14=0,"",VLOOKUP($D14,PROCESSO!$B:$P,J$8,FALSE)/24)+($A$8/24)+J14,"")</f>
        <v>0.28402777777777777</v>
      </c>
      <c r="L14" s="1">
        <f>IFERROR(IF(K14=0,"",VLOOKUP($D14,PROCESSO!$B:$P,K$8,FALSE)/24)+($A$8/24)+K14,"")</f>
        <v>0.28749999999999998</v>
      </c>
      <c r="M14" s="1">
        <f>IFERROR(IF(L14=0,"",VLOOKUP($D14,PROCESSO!$B:$P,L$8,FALSE)/24)+($A$8/24)+L14,"")</f>
        <v>0.31527777777777777</v>
      </c>
      <c r="N14" s="1">
        <f>IFERROR(IF(M14=0,"",VLOOKUP($D14,PROCESSO!$B:$P,M$8,FALSE)/24)+($A$8/24)+M14,"")</f>
        <v>0.38124999999999998</v>
      </c>
      <c r="O14" s="1">
        <f>IFERROR(IF(N14=0,"",VLOOKUP($D14,PROCESSO!$B:$P,N$8,FALSE)/24)+($A$8/24)+N14,"")</f>
        <v>0.40555555555555556</v>
      </c>
      <c r="P14" s="1">
        <f>IFERROR(IF(O14=0,"",VLOOKUP($D14,PROCESSO!$B:$P,O$8,FALSE)/24)+($A$8/24)+O14,"")</f>
        <v>0.47152777777777777</v>
      </c>
      <c r="Q14" s="1">
        <f>IFERROR(IF(P14=0,"",VLOOKUP($D14,PROCESSO!$B:$P,P$8,FALSE)/24)+($A$8/24)+P14,"")</f>
        <v>0.50416666666666665</v>
      </c>
      <c r="R14" s="1">
        <f>IFERROR(IF(Q14=0,"",VLOOKUP($D14,PROCESSO!$B:$P,Q$8,FALSE)/24)+($A$8/24)+Q14,"")</f>
        <v>0.56986111111111115</v>
      </c>
      <c r="S14" s="45">
        <f>IFERROR(IFERROR(VLOOKUP(D14,PROCESSO!B:P,15,FALSE),"")/SUMIFS(C:C,A:A,A14),"")</f>
        <v>3.4243071895424837</v>
      </c>
      <c r="T14" s="45">
        <f t="shared" si="1"/>
        <v>4.6228147058823525</v>
      </c>
      <c r="U14" s="45">
        <f>IFERROR(VLOOKUP(B14,RECEITAS!A:C,3,FALSE),"")</f>
        <v>2.3235487959442338</v>
      </c>
      <c r="V14" s="45">
        <f>IFERROR((U14+S14)*(1-ANALISE!$I$4),"")</f>
        <v>5.7478559854867175</v>
      </c>
      <c r="W14" s="45">
        <f t="shared" si="2"/>
        <v>7.7596055804070678</v>
      </c>
    </row>
    <row r="15" spans="1:23" x14ac:dyDescent="0.3">
      <c r="A15">
        <f>Crono_Qui!A13</f>
        <v>4</v>
      </c>
      <c r="B15" t="str">
        <f>Crono_Qui!B13</f>
        <v>PF INTEGRAL</v>
      </c>
      <c r="C15" s="17">
        <f>Crono_Qui!C13</f>
        <v>7.6500000000000012</v>
      </c>
      <c r="D15" t="str">
        <f>IFERROR(VLOOKUP(B15,RECEITAS!A:C,$D$7,FALSE),"")</f>
        <v>DIRETO</v>
      </c>
      <c r="E15" s="1">
        <f>IFERROR(E14+(VLOOKUP($D15,PROCESSO!$B:$P,AP_CRONO_Qui!E$8,FALSE)/24),"")</f>
        <v>0.22083333333333338</v>
      </c>
      <c r="F15" s="1">
        <f>Crono_Qui!E13</f>
        <v>0.26041666666666663</v>
      </c>
      <c r="G15" s="1">
        <f>IFERROR(IF(F15=0,"",VLOOKUP($D15,PROCESSO!$B:$P,G$8,FALSE)/24)*IFERROR(IF(#REF!&gt;$B$8,ROUNDUP(#REF!/$B$8,0),1),1)+($A$8/24)+F15,"")</f>
        <v>0.27430555555555552</v>
      </c>
      <c r="H15" s="1">
        <f t="shared" si="0"/>
        <v>0.27430555555555552</v>
      </c>
      <c r="I15" s="1">
        <f>IFERROR(IF(H15=0,"",VLOOKUP($D15,PROCESSO!$B:$P,H$8,FALSE)/24)+($A$8/24)+H15,"")</f>
        <v>0.27777777777777773</v>
      </c>
      <c r="J15" s="1">
        <f>IFERROR(IF(I15=0,"",VLOOKUP($D15,PROCESSO!$B:$P,I$8,FALSE)/24)+($A$8/24)+I15,"")</f>
        <v>0.28611111111111109</v>
      </c>
      <c r="K15" s="1">
        <f>IFERROR(IF(J15=0,"",VLOOKUP($D15,PROCESSO!$B:$P,J$8,FALSE)/24)+($A$8/24)+J15,"")</f>
        <v>0.29444444444444445</v>
      </c>
      <c r="L15" s="1">
        <f>IFERROR(IF(K15=0,"",VLOOKUP($D15,PROCESSO!$B:$P,K$8,FALSE)/24)+($A$8/24)+K15,"")</f>
        <v>0.29791666666666666</v>
      </c>
      <c r="M15" s="1">
        <f>IFERROR(IF(L15=0,"",VLOOKUP($D15,PROCESSO!$B:$P,L$8,FALSE)/24)+($A$8/24)+L15,"")</f>
        <v>0.32569444444444445</v>
      </c>
      <c r="N15" s="1">
        <f>IFERROR(IF(M15=0,"",VLOOKUP($D15,PROCESSO!$B:$P,M$8,FALSE)/24)+($A$8/24)+M15,"")</f>
        <v>0.39166666666666666</v>
      </c>
      <c r="O15" s="1">
        <f>IFERROR(IF(N15=0,"",VLOOKUP($D15,PROCESSO!$B:$P,N$8,FALSE)/24)+($A$8/24)+N15,"")</f>
        <v>0.41597222222222219</v>
      </c>
      <c r="P15" s="1">
        <f>IFERROR(IF(O15=0,"",VLOOKUP($D15,PROCESSO!$B:$P,O$8,FALSE)/24)+($A$8/24)+O15,"")</f>
        <v>0.4819444444444444</v>
      </c>
      <c r="Q15" s="1">
        <f>IFERROR(IF(P15=0,"",VLOOKUP($D15,PROCESSO!$B:$P,P$8,FALSE)/24)+($A$8/24)+P15,"")</f>
        <v>0.51458333333333328</v>
      </c>
      <c r="R15" s="1">
        <f>IFERROR(IF(Q15=0,"",VLOOKUP($D15,PROCESSO!$B:$P,Q$8,FALSE)/24)+($A$8/24)+Q15,"")</f>
        <v>0.58027777777777767</v>
      </c>
      <c r="S15" s="45">
        <f>IFERROR(IFERROR(VLOOKUP(D15,PROCESSO!B:P,15,FALSE),"")/SUMIFS(C:C,A:A,A15),"")</f>
        <v>3.4243071895424837</v>
      </c>
      <c r="T15" s="45">
        <f t="shared" si="1"/>
        <v>26.195950000000003</v>
      </c>
      <c r="U15" s="45">
        <f>IFERROR(VLOOKUP(B15,RECEITAS!A:C,3,FALSE),"")</f>
        <v>2.6739550191991226</v>
      </c>
      <c r="V15" s="45">
        <f>IFERROR((U15+S15)*(1-ANALISE!$I$4),"")</f>
        <v>6.0982622087416063</v>
      </c>
      <c r="W15" s="45">
        <f t="shared" si="2"/>
        <v>46.651705896873295</v>
      </c>
    </row>
    <row r="16" spans="1:23" x14ac:dyDescent="0.3">
      <c r="A16">
        <f>Crono_Qui!A14</f>
        <v>5</v>
      </c>
      <c r="B16" t="str">
        <f>Crono_Qui!B14</f>
        <v>BRIOCHE MARGARINA</v>
      </c>
      <c r="C16" s="17">
        <f>Crono_Qui!C14</f>
        <v>12.240000000000002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0.27083333333333331</v>
      </c>
      <c r="G16" s="1">
        <f>IFERROR(IF(F16=0,"",VLOOKUP($D16,PROCESSO!$B:$P,G$8,FALSE)/24)*IFERROR(IF(#REF!&gt;$B$8,ROUNDUP(#REF!/$B$8,0),1),1)+($A$8/24)+F16,"")</f>
        <v>0.28472222222222221</v>
      </c>
      <c r="H16" s="1">
        <f t="shared" si="0"/>
        <v>0.28472222222222221</v>
      </c>
      <c r="I16" s="1">
        <f>IFERROR(IF(H16=0,"",VLOOKUP($D16,PROCESSO!$B:$P,H$8,FALSE)/24)+($A$8/24)+H16,"")</f>
        <v>0.28819444444444442</v>
      </c>
      <c r="J16" s="1">
        <f>IFERROR(IF(I16=0,"",VLOOKUP($D16,PROCESSO!$B:$P,I$8,FALSE)/24)+($A$8/24)+I16,"")</f>
        <v>0.29652777777777778</v>
      </c>
      <c r="K16" s="1">
        <f>IFERROR(IF(J16=0,"",VLOOKUP($D16,PROCESSO!$B:$P,J$8,FALSE)/24)+($A$8/24)+J16,"")</f>
        <v>0.30486111111111114</v>
      </c>
      <c r="L16" s="1">
        <f>IFERROR(IF(K16=0,"",VLOOKUP($D16,PROCESSO!$B:$P,K$8,FALSE)/24)+($A$8/24)+K16,"")</f>
        <v>0.30833333333333335</v>
      </c>
      <c r="M16" s="1">
        <f>IFERROR(IF(L16=0,"",VLOOKUP($D16,PROCESSO!$B:$P,L$8,FALSE)/24)+($A$8/24)+L16,"")</f>
        <v>0.33611111111111114</v>
      </c>
      <c r="N16" s="1">
        <f>IFERROR(IF(M16=0,"",VLOOKUP($D16,PROCESSO!$B:$P,M$8,FALSE)/24)+($A$8/24)+M16,"")</f>
        <v>0.40208333333333335</v>
      </c>
      <c r="O16" s="1">
        <f>IFERROR(IF(N16=0,"",VLOOKUP($D16,PROCESSO!$B:$P,N$8,FALSE)/24)+($A$8/24)+N16,"")</f>
        <v>0.42638888888888893</v>
      </c>
      <c r="P16" s="1">
        <f>IFERROR(IF(O16=0,"",VLOOKUP($D16,PROCESSO!$B:$P,O$8,FALSE)/24)+($A$8/24)+O16,"")</f>
        <v>0.49236111111111114</v>
      </c>
      <c r="Q16" s="1">
        <f>IFERROR(IF(P16=0,"",VLOOKUP($D16,PROCESSO!$B:$P,P$8,FALSE)/24)+($A$8/24)+P16,"")</f>
        <v>0.52500000000000002</v>
      </c>
      <c r="R16" s="1">
        <f>IFERROR(IF(Q16=0,"",VLOOKUP($D16,PROCESSO!$B:$P,Q$8,FALSE)/24)+($A$8/24)+Q16,"")</f>
        <v>0.59069444444444441</v>
      </c>
      <c r="S16" s="45">
        <f>IFERROR(IFERROR(VLOOKUP(D16,PROCESSO!B:P,15,FALSE),"")/SUMIFS(C:C,A:A,A16),"")</f>
        <v>2.0497613458528949</v>
      </c>
      <c r="T16" s="45">
        <f t="shared" si="1"/>
        <v>25.089078873239437</v>
      </c>
      <c r="U16" s="45">
        <f>IFERROR(VLOOKUP(B16,RECEITAS!A:C,3,FALSE),"")</f>
        <v>2.8395295247239574</v>
      </c>
      <c r="V16" s="45">
        <f>IFERROR((U16+S16)*(1-ANALISE!$I$4),"")</f>
        <v>4.8892908705768523</v>
      </c>
      <c r="W16" s="45">
        <f t="shared" si="2"/>
        <v>59.844920255860679</v>
      </c>
    </row>
    <row r="17" spans="1:23" x14ac:dyDescent="0.3">
      <c r="A17">
        <f>Crono_Qui!A15</f>
        <v>5</v>
      </c>
      <c r="B17" t="str">
        <f>Crono_Qui!B15</f>
        <v>BROWN</v>
      </c>
      <c r="C17" s="17">
        <f>Crono_Qui!C15</f>
        <v>2.4</v>
      </c>
      <c r="D17" t="str">
        <f>IFERROR(VLOOKUP(B17,RECEITAS!A:C,$D$7,FALSE),"")</f>
        <v>DIRETO</v>
      </c>
      <c r="E17" s="1">
        <f>IFERROR(E16+(VLOOKUP($D17,PROCESSO!$B:$P,AP_CRONO_Qui!E$8,FALSE)/24),"")</f>
        <v>0.23194444444444451</v>
      </c>
      <c r="F17" s="1">
        <f>Crono_Qui!E15</f>
        <v>0.28125</v>
      </c>
      <c r="G17" s="1">
        <f>IFERROR(IF(F17=0,"",VLOOKUP($D17,PROCESSO!$B:$P,G$8,FALSE)/24)*IFERROR(IF(#REF!&gt;$B$8,ROUNDUP(#REF!/$B$8,0),1),1)+($A$8/24)+F17,"")</f>
        <v>0.2951388888888889</v>
      </c>
      <c r="H17" s="1">
        <f t="shared" si="0"/>
        <v>0.2951388888888889</v>
      </c>
      <c r="I17" s="1">
        <f>IFERROR(IF(H17=0,"",VLOOKUP($D17,PROCESSO!$B:$P,H$8,FALSE)/24)+($A$8/24)+H17,"")</f>
        <v>0.2986111111111111</v>
      </c>
      <c r="J17" s="1">
        <f>IFERROR(IF(I17=0,"",VLOOKUP($D17,PROCESSO!$B:$P,I$8,FALSE)/24)+($A$8/24)+I17,"")</f>
        <v>0.30694444444444446</v>
      </c>
      <c r="K17" s="1">
        <f>IFERROR(IF(J17=0,"",VLOOKUP($D17,PROCESSO!$B:$P,J$8,FALSE)/24)+($A$8/24)+J17,"")</f>
        <v>0.31527777777777782</v>
      </c>
      <c r="L17" s="1">
        <f>IFERROR(IF(K17=0,"",VLOOKUP($D17,PROCESSO!$B:$P,K$8,FALSE)/24)+($A$8/24)+K17,"")</f>
        <v>0.31875000000000003</v>
      </c>
      <c r="M17" s="1">
        <f>IFERROR(IF(L17=0,"",VLOOKUP($D17,PROCESSO!$B:$P,L$8,FALSE)/24)+($A$8/24)+L17,"")</f>
        <v>0.34652777777777782</v>
      </c>
      <c r="N17" s="1">
        <f>IFERROR(IF(M17=0,"",VLOOKUP($D17,PROCESSO!$B:$P,M$8,FALSE)/24)+($A$8/24)+M17,"")</f>
        <v>0.41250000000000003</v>
      </c>
      <c r="O17" s="1">
        <f>IFERROR(IF(N17=0,"",VLOOKUP($D17,PROCESSO!$B:$P,N$8,FALSE)/24)+($A$8/24)+N17,"")</f>
        <v>0.43680555555555556</v>
      </c>
      <c r="P17" s="1">
        <f>IFERROR(IF(O17=0,"",VLOOKUP($D17,PROCESSO!$B:$P,O$8,FALSE)/24)+($A$8/24)+O17,"")</f>
        <v>0.50277777777777777</v>
      </c>
      <c r="Q17" s="1">
        <f>IFERROR(IF(P17=0,"",VLOOKUP($D17,PROCESSO!$B:$P,P$8,FALSE)/24)+($A$8/24)+P17,"")</f>
        <v>0.53541666666666665</v>
      </c>
      <c r="R17" s="1">
        <f>IFERROR(IF(Q17=0,"",VLOOKUP($D17,PROCESSO!$B:$P,Q$8,FALSE)/24)+($A$8/24)+Q17,"")</f>
        <v>0.60111111111111115</v>
      </c>
      <c r="S17" s="45">
        <f>IFERROR(IFERROR(VLOOKUP(D17,PROCESSO!B:P,15,FALSE),"")/SUMIFS(C:C,A:A,A17),"")</f>
        <v>2.0497613458528949</v>
      </c>
      <c r="T17" s="45">
        <f t="shared" si="1"/>
        <v>4.9194272300469475</v>
      </c>
      <c r="U17" s="45">
        <f>IFERROR(VLOOKUP(B17,RECEITAS!A:C,3,FALSE),"")</f>
        <v>2.3452338811630851</v>
      </c>
      <c r="V17" s="45">
        <f>IFERROR((U17+S17)*(1-ANALISE!$I$4),"")</f>
        <v>4.39499522701598</v>
      </c>
      <c r="W17" s="45">
        <f t="shared" si="2"/>
        <v>10.547988544838352</v>
      </c>
    </row>
    <row r="18" spans="1:23" x14ac:dyDescent="0.3">
      <c r="A18">
        <f>Crono_Qui!A16</f>
        <v>5</v>
      </c>
      <c r="B18" t="str">
        <f>Crono_Qui!B16</f>
        <v>BAG. FRANCESA</v>
      </c>
      <c r="C18" s="17">
        <f>Crono_Qui!C16</f>
        <v>2.4000000000000004</v>
      </c>
      <c r="D18" t="str">
        <f>IFERROR(VLOOKUP(B18,RECEITAS!A:C,$D$7,FALSE),"")</f>
        <v>RÚSTICO</v>
      </c>
      <c r="E18" s="1">
        <f>IFERROR(E17+(VLOOKUP($D18,PROCESSO!$B:$P,AP_CRONO_Qui!E$8,FALSE)/24),"")</f>
        <v>0.23750000000000007</v>
      </c>
      <c r="F18" s="1">
        <f>Crono_Qui!E16</f>
        <v>0.29166666666666669</v>
      </c>
      <c r="G18" s="1">
        <f>IFERROR(IF(F18=0,"",VLOOKUP($D18,PROCESSO!$B:$P,G$8,FALSE)/24)*IFERROR(IF(#REF!&gt;$B$8,ROUNDUP(#REF!/$B$8,0),1),1)+($A$8/24)+F18,"")</f>
        <v>0.30555555555555558</v>
      </c>
      <c r="H18" s="1">
        <f t="shared" si="0"/>
        <v>0.30555555555555558</v>
      </c>
      <c r="I18" s="1">
        <f>IFERROR(IF(H18=0,"",VLOOKUP($D18,PROCESSO!$B:$P,H$8,FALSE)/24)+($A$8/24)+H18,"")</f>
        <v>0.30902777777777779</v>
      </c>
      <c r="J18" s="1">
        <f>IFERROR(IF(I18=0,"",VLOOKUP($D18,PROCESSO!$B:$P,I$8,FALSE)/24)+($A$8/24)+I18,"")</f>
        <v>0.35416666666666669</v>
      </c>
      <c r="K18" s="1">
        <f>IFERROR(IF(J18=0,"",VLOOKUP($D18,PROCESSO!$B:$P,J$8,FALSE)/24)+($A$8/24)+J18,"")</f>
        <v>0.375</v>
      </c>
      <c r="L18" s="1">
        <f>IFERROR(IF(K18=0,"",VLOOKUP($D18,PROCESSO!$B:$P,K$8,FALSE)/24)+($A$8/24)+K18,"")</f>
        <v>0.40625</v>
      </c>
      <c r="M18" s="1">
        <f>IFERROR(IF(L18=0,"",VLOOKUP($D18,PROCESSO!$B:$P,L$8,FALSE)/24)+($A$8/24)+L18,"")</f>
        <v>0.42708333333333331</v>
      </c>
      <c r="N18" s="1">
        <f>IFERROR(IF(M18=0,"",VLOOKUP($D18,PROCESSO!$B:$P,M$8,FALSE)/24)+($A$8/24)+M18,"")</f>
        <v>0.47222222222222221</v>
      </c>
      <c r="O18" s="1">
        <f>IFERROR(IF(N18=0,"",VLOOKUP($D18,PROCESSO!$B:$P,N$8,FALSE)/24)+($A$8/24)+N18,"")</f>
        <v>0.50347222222222221</v>
      </c>
      <c r="P18" s="1">
        <f>IFERROR(IF(O18=0,"",VLOOKUP($D18,PROCESSO!$B:$P,O$8,FALSE)/24)+($A$8/24)+O18,"")</f>
        <v>0.56944444444444442</v>
      </c>
      <c r="Q18" s="1">
        <f>IFERROR(IF(P18=0,"",VLOOKUP($D18,PROCESSO!$B:$P,P$8,FALSE)/24)+($A$8/24)+P18,"")</f>
        <v>0.57291666666666663</v>
      </c>
      <c r="R18" s="1">
        <f>IFERROR(IF(Q18=0,"",VLOOKUP($D18,PROCESSO!$B:$P,Q$8,FALSE)/24)+($A$8/24)+Q18,"")</f>
        <v>0.64583333333333326</v>
      </c>
      <c r="S18" s="45">
        <f>IFERROR(IFERROR(VLOOKUP(D18,PROCESSO!B:P,15,FALSE),"")/SUMIFS(C:C,A:A,A18),"")</f>
        <v>2.1949579420970267</v>
      </c>
      <c r="T18" s="45">
        <f t="shared" si="1"/>
        <v>5.2678990610328649</v>
      </c>
      <c r="U18" s="45">
        <f>IFERROR(VLOOKUP(B18,RECEITAS!A:C,3,FALSE),"")</f>
        <v>2.206347678369196</v>
      </c>
      <c r="V18" s="45">
        <f>IFERROR((U18+S18)*(1-ANALISE!$I$4),"")</f>
        <v>4.4013056204662231</v>
      </c>
      <c r="W18" s="45">
        <f t="shared" si="2"/>
        <v>10.563133489118936</v>
      </c>
    </row>
    <row r="19" spans="1:23" x14ac:dyDescent="0.3">
      <c r="A19">
        <f>Crono_Qui!A17</f>
        <v>6</v>
      </c>
      <c r="B19" t="str">
        <f>Crono_Qui!B17</f>
        <v>P. AO LEVAIN</v>
      </c>
      <c r="C19" s="17">
        <f>Crono_Qui!C17</f>
        <v>10.5</v>
      </c>
      <c r="D19" t="str">
        <f>IFERROR(VLOOKUP(B19,RECEITAS!A:C,$D$7,FALSE),"")</f>
        <v>RÚSTICO</v>
      </c>
      <c r="E19" s="1">
        <f>IFERROR(E18+(VLOOKUP($D19,PROCESSO!$B:$P,AP_CRONO_Qui!E$8,FALSE)/24),"")</f>
        <v>0.24305555555555564</v>
      </c>
      <c r="F19" s="1">
        <f>Crono_Qui!E17</f>
        <v>0.30208333333333337</v>
      </c>
      <c r="G19" s="1">
        <f>IFERROR(IF(F19=0,"",VLOOKUP($D19,PROCESSO!$B:$P,G$8,FALSE)/24)*IFERROR(IF(#REF!&gt;$B$8,ROUNDUP(#REF!/$B$8,0),1),1)+($A$8/24)+F19,"")</f>
        <v>0.31597222222222227</v>
      </c>
      <c r="H19" s="1">
        <f t="shared" si="0"/>
        <v>0.31597222222222227</v>
      </c>
      <c r="I19" s="1">
        <f>IFERROR(IF(H19=0,"",VLOOKUP($D19,PROCESSO!$B:$P,H$8,FALSE)/24)+($A$8/24)+H19,"")</f>
        <v>0.31944444444444448</v>
      </c>
      <c r="J19" s="1">
        <f>IFERROR(IF(I19=0,"",VLOOKUP($D19,PROCESSO!$B:$P,I$8,FALSE)/24)+($A$8/24)+I19,"")</f>
        <v>0.36458333333333337</v>
      </c>
      <c r="K19" s="1">
        <f>IFERROR(IF(J19=0,"",VLOOKUP($D19,PROCESSO!$B:$P,J$8,FALSE)/24)+($A$8/24)+J19,"")</f>
        <v>0.38541666666666669</v>
      </c>
      <c r="L19" s="1">
        <f>IFERROR(IF(K19=0,"",VLOOKUP($D19,PROCESSO!$B:$P,K$8,FALSE)/24)+($A$8/24)+K19,"")</f>
        <v>0.41666666666666669</v>
      </c>
      <c r="M19" s="1">
        <f>IFERROR(IF(L19=0,"",VLOOKUP($D19,PROCESSO!$B:$P,L$8,FALSE)/24)+($A$8/24)+L19,"")</f>
        <v>0.4375</v>
      </c>
      <c r="N19" s="1">
        <f>IFERROR(IF(M19=0,"",VLOOKUP($D19,PROCESSO!$B:$P,M$8,FALSE)/24)+($A$8/24)+M19,"")</f>
        <v>0.4826388888888889</v>
      </c>
      <c r="O19" s="1">
        <f>IFERROR(IF(N19=0,"",VLOOKUP($D19,PROCESSO!$B:$P,N$8,FALSE)/24)+($A$8/24)+N19,"")</f>
        <v>0.51388888888888884</v>
      </c>
      <c r="P19" s="1">
        <f>IFERROR(IF(O19=0,"",VLOOKUP($D19,PROCESSO!$B:$P,O$8,FALSE)/24)+($A$8/24)+O19,"")</f>
        <v>0.57986111111111105</v>
      </c>
      <c r="Q19" s="1">
        <f>IFERROR(IF(P19=0,"",VLOOKUP($D19,PROCESSO!$B:$P,P$8,FALSE)/24)+($A$8/24)+P19,"")</f>
        <v>0.58333333333333326</v>
      </c>
      <c r="R19" s="1">
        <f>IFERROR(IF(Q19=0,"",VLOOKUP($D19,PROCESSO!$B:$P,Q$8,FALSE)/24)+($A$8/24)+Q19,"")</f>
        <v>0.65624999999999989</v>
      </c>
      <c r="S19" s="45">
        <f>IFERROR(IFERROR(VLOOKUP(D19,PROCESSO!B:P,15,FALSE),"")/SUMIFS(C:C,A:A,A19),"")</f>
        <v>1.1282679738562094</v>
      </c>
      <c r="T19" s="45">
        <f t="shared" si="1"/>
        <v>11.846813725490199</v>
      </c>
      <c r="U19" s="45">
        <f>IFERROR(VLOOKUP(B19,RECEITAS!A:C,3,FALSE),"")</f>
        <v>2.3235487959442338</v>
      </c>
      <c r="V19" s="45">
        <f>IFERROR((U19+S19)*(1-ANALISE!$I$4),"")</f>
        <v>3.4518167698004429</v>
      </c>
      <c r="W19" s="45">
        <f t="shared" si="2"/>
        <v>36.244076082904648</v>
      </c>
    </row>
    <row r="20" spans="1:23" x14ac:dyDescent="0.3">
      <c r="A20">
        <f>Crono_Qui!A18</f>
        <v>6</v>
      </c>
      <c r="B20" t="str">
        <f>Crono_Qui!B18</f>
        <v>P. AZEITE RUST.</v>
      </c>
      <c r="C20" s="17">
        <f>Crono_Qui!C18</f>
        <v>18.75</v>
      </c>
      <c r="D20" t="str">
        <f>IFERROR(VLOOKUP(B20,RECEITAS!A:C,$D$7,FALSE),"")</f>
        <v>RÚSTICO</v>
      </c>
      <c r="E20" s="1">
        <f>IFERROR(E19+(VLOOKUP($D20,PROCESSO!$B:$P,AP_CRONO_Qui!E$8,FALSE)/24),"")</f>
        <v>0.2486111111111112</v>
      </c>
      <c r="F20" s="1">
        <f>Crono_Qui!E18</f>
        <v>0.31250000000000006</v>
      </c>
      <c r="G20" s="1">
        <f>IFERROR(IF(F20=0,"",VLOOKUP($D20,PROCESSO!$B:$P,G$8,FALSE)/24)*IFERROR(IF(#REF!&gt;$B$8,ROUNDUP(#REF!/$B$8,0),1),1)+($A$8/24)+F20,"")</f>
        <v>0.32638888888888895</v>
      </c>
      <c r="H20" s="1">
        <f t="shared" si="0"/>
        <v>0.32638888888888895</v>
      </c>
      <c r="I20" s="1">
        <f>IFERROR(IF(H20=0,"",VLOOKUP($D20,PROCESSO!$B:$P,H$8,FALSE)/24)+($A$8/24)+H20,"")</f>
        <v>0.32986111111111116</v>
      </c>
      <c r="J20" s="1">
        <f>IFERROR(IF(I20=0,"",VLOOKUP($D20,PROCESSO!$B:$P,I$8,FALSE)/24)+($A$8/24)+I20,"")</f>
        <v>0.37500000000000006</v>
      </c>
      <c r="K20" s="1">
        <f>IFERROR(IF(J20=0,"",VLOOKUP($D20,PROCESSO!$B:$P,J$8,FALSE)/24)+($A$8/24)+J20,"")</f>
        <v>0.39583333333333337</v>
      </c>
      <c r="L20" s="1">
        <f>IFERROR(IF(K20=0,"",VLOOKUP($D20,PROCESSO!$B:$P,K$8,FALSE)/24)+($A$8/24)+K20,"")</f>
        <v>0.42708333333333337</v>
      </c>
      <c r="M20" s="1">
        <f>IFERROR(IF(L20=0,"",VLOOKUP($D20,PROCESSO!$B:$P,L$8,FALSE)/24)+($A$8/24)+L20,"")</f>
        <v>0.44791666666666669</v>
      </c>
      <c r="N20" s="1">
        <f>IFERROR(IF(M20=0,"",VLOOKUP($D20,PROCESSO!$B:$P,M$8,FALSE)/24)+($A$8/24)+M20,"")</f>
        <v>0.49305555555555558</v>
      </c>
      <c r="O20" s="1">
        <f>IFERROR(IF(N20=0,"",VLOOKUP($D20,PROCESSO!$B:$P,N$8,FALSE)/24)+($A$8/24)+N20,"")</f>
        <v>0.52430555555555558</v>
      </c>
      <c r="P20" s="1">
        <f>IFERROR(IF(O20=0,"",VLOOKUP($D20,PROCESSO!$B:$P,O$8,FALSE)/24)+($A$8/24)+O20,"")</f>
        <v>0.59027777777777779</v>
      </c>
      <c r="Q20" s="1">
        <f>IFERROR(IF(P20=0,"",VLOOKUP($D20,PROCESSO!$B:$P,P$8,FALSE)/24)+($A$8/24)+P20,"")</f>
        <v>0.59375</v>
      </c>
      <c r="R20" s="1">
        <f>IFERROR(IF(Q20=0,"",VLOOKUP($D20,PROCESSO!$B:$P,Q$8,FALSE)/24)+($A$8/24)+Q20,"")</f>
        <v>0.66666666666666663</v>
      </c>
      <c r="S20" s="45">
        <f>IFERROR(IFERROR(VLOOKUP(D20,PROCESSO!B:P,15,FALSE),"")/SUMIFS(C:C,A:A,A20),"")</f>
        <v>1.1282679738562094</v>
      </c>
      <c r="T20" s="45">
        <f t="shared" si="1"/>
        <v>21.155024509803926</v>
      </c>
      <c r="U20" s="45">
        <f>IFERROR(VLOOKUP(B20,RECEITAS!A:C,3,FALSE),"")</f>
        <v>2.046595017783527</v>
      </c>
      <c r="V20" s="45">
        <f>IFERROR((U20+S20)*(1-ANALISE!$I$4),"")</f>
        <v>3.1748629916397366</v>
      </c>
      <c r="W20" s="45">
        <f t="shared" si="2"/>
        <v>59.528681093245062</v>
      </c>
    </row>
    <row r="21" spans="1:23" x14ac:dyDescent="0.3">
      <c r="A21">
        <f>Crono_Qui!A19</f>
        <v>6</v>
      </c>
      <c r="B21" t="str">
        <f>Crono_Qui!B19</f>
        <v>VINHEDO RUST.</v>
      </c>
      <c r="C21" s="17">
        <f>Crono_Qui!C19</f>
        <v>3.9000000000000004</v>
      </c>
      <c r="D21" t="str">
        <f>IFERROR(VLOOKUP(B21,RECEITAS!A:C,$D$7,FALSE),"")</f>
        <v>RÚSTICO</v>
      </c>
      <c r="E21" s="1">
        <f>IFERROR(E20+(VLOOKUP($D21,PROCESSO!$B:$P,AP_CRONO_Qui!E$8,FALSE)/24),"")</f>
        <v>0.25416666666666676</v>
      </c>
      <c r="F21" s="1">
        <f>Crono_Qui!E19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0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>
        <f>IFERROR(IFERROR(VLOOKUP(D21,PROCESSO!B:P,15,FALSE),"")/SUMIFS(C:C,A:A,A21),"")</f>
        <v>1.1282679738562094</v>
      </c>
      <c r="T21" s="45">
        <f t="shared" si="1"/>
        <v>4.4002450980392167</v>
      </c>
      <c r="U21" s="45">
        <f>IFERROR(VLOOKUP(B21,RECEITAS!A:C,3,FALSE),"")</f>
        <v>4.2629144274493598</v>
      </c>
      <c r="V21" s="45">
        <f>IFERROR((U21+S21)*(1-ANALISE!$I$4),"")</f>
        <v>5.3911824013055689</v>
      </c>
      <c r="W21" s="45">
        <f t="shared" si="2"/>
        <v>21.02561136509172</v>
      </c>
    </row>
    <row r="22" spans="1:23" x14ac:dyDescent="0.3">
      <c r="A22">
        <f>Crono_Qui!A20</f>
        <v>0</v>
      </c>
      <c r="B22">
        <f>Crono_Qui!B20</f>
        <v>0</v>
      </c>
      <c r="C22" s="17">
        <f>Crono_Qui!C20</f>
        <v>0</v>
      </c>
      <c r="D22" t="str">
        <f>IFERROR(VLOOKUP(B22,RECEITAS!A:C,$D$7,FALSE),"")</f>
        <v/>
      </c>
      <c r="E22" s="1" t="str">
        <f>IFERROR(E21+(VLOOKUP($D22,PROCESSO!$B:$P,AP_CRONO_Qui!E$8,FALSE)/24),"")</f>
        <v/>
      </c>
      <c r="F22" s="1"/>
      <c r="G22" s="1" t="str">
        <f>IFERROR(IF(F22=0,"",VLOOKUP($D22,PROCESSO!$B:$P,G$8,FALSE)/24)*IFERROR(IF(#REF!&gt;$B$8,ROUNDUP(#REF!/$B$8,0),1),1)+($A$8/24)+F22,"")</f>
        <v/>
      </c>
      <c r="H22" s="1" t="str">
        <f t="shared" si="0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3">
      <c r="A23">
        <f>Crono_Qui!A21</f>
        <v>0</v>
      </c>
      <c r="B23">
        <f>Crono_Qui!B21</f>
        <v>0</v>
      </c>
      <c r="C23" s="17">
        <f>Crono_Qui!C21</f>
        <v>0</v>
      </c>
      <c r="D23" t="str">
        <f>IFERROR(VLOOKUP(B23,RECEITAS!A:C,$D$7,FALSE),"")</f>
        <v/>
      </c>
      <c r="E23" s="1" t="str">
        <f>IFERROR(E22+(VLOOKUP($D23,PROCESSO!$B:$P,AP_CRONO_Qui!E$8,FALSE)/24),"")</f>
        <v/>
      </c>
      <c r="F23" s="1"/>
      <c r="G23" s="1" t="str">
        <f>IFERROR(IF(F23=0,"",VLOOKUP($D23,PROCESSO!$B:$P,G$8,FALSE)/24)*IFERROR(IF(#REF!&gt;$B$8,ROUNDUP(#REF!/$B$8,0),1),1)+($A$8/24)+F23,"")</f>
        <v/>
      </c>
      <c r="H23" s="1" t="str">
        <f t="shared" si="0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IFERROR(IFERROR(VLOOKUP(E23,PROCESSO!C:Q,15,FALSE),"")/SUMIFS(D:D,B:B,B23),"")</f>
        <v/>
      </c>
      <c r="T23" s="45" t="str">
        <f t="shared" ref="T23:T30" si="3">IFERROR(S23*D23,"")</f>
        <v/>
      </c>
      <c r="U23" s="45" t="str">
        <f>IFERROR(VLOOKUP(C23,RECEITAS!B:D,3,FALSE),"")</f>
        <v/>
      </c>
      <c r="V23" s="45" t="str">
        <f>IFERROR((U23+S23)*(1-ANALISE!$I$4),"")</f>
        <v/>
      </c>
      <c r="W23" s="45" t="str">
        <f t="shared" ref="W23:W30" si="4">IFERROR(V23*D23,"")</f>
        <v/>
      </c>
    </row>
    <row r="24" spans="1:23" x14ac:dyDescent="0.3">
      <c r="A24">
        <f>Crono_Qui!A22</f>
        <v>0</v>
      </c>
      <c r="B24">
        <f>Crono_Qui!B22</f>
        <v>0</v>
      </c>
      <c r="C24" s="17">
        <f>Crono_Qui!C22</f>
        <v>0</v>
      </c>
      <c r="D24" t="str">
        <f>IFERROR(VLOOKUP(B24,RECEITAS!A:C,$D$7,FALSE),"")</f>
        <v/>
      </c>
      <c r="E24" s="1" t="str">
        <f>IFERROR(E23+(VLOOKUP($D24,PROCESSO!$B:$P,AP_CRONO_Qui!E$8,FALSE)/24),"")</f>
        <v/>
      </c>
      <c r="F24" s="1"/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IFERROR(IFERROR(VLOOKUP(E24,PROCESSO!C:Q,15,FALSE),"")/SUMIFS(D:D,B:B,B24),"")</f>
        <v/>
      </c>
      <c r="T24" s="45" t="str">
        <f t="shared" si="3"/>
        <v/>
      </c>
      <c r="U24" s="45" t="str">
        <f>IFERROR(VLOOKUP(C24,RECEITAS!B:D,3,FALSE),"")</f>
        <v/>
      </c>
      <c r="V24" s="45" t="str">
        <f>IFERROR((U24+S24)*(1-ANALISE!$I$4),"")</f>
        <v/>
      </c>
      <c r="W24" s="45" t="str">
        <f t="shared" si="4"/>
        <v/>
      </c>
    </row>
    <row r="25" spans="1:23" x14ac:dyDescent="0.3">
      <c r="B25">
        <f>Crono_Qui!B23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/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IFERROR(IFERROR(VLOOKUP(E25,PROCESSO!C:Q,15,FALSE),"")/SUMIFS(D:D,B:B,B25),"")</f>
        <v/>
      </c>
      <c r="T25" s="45" t="str">
        <f t="shared" si="3"/>
        <v/>
      </c>
      <c r="U25" s="45" t="str">
        <f>IFERROR(VLOOKUP(C25,RECEITAS!B:D,3,FALSE),"")</f>
        <v/>
      </c>
      <c r="V25" s="45" t="str">
        <f>IFERROR((U25+S25)*(1-ANALISE!$I$4),"")</f>
        <v/>
      </c>
      <c r="W25" s="45" t="str">
        <f t="shared" si="4"/>
        <v/>
      </c>
    </row>
    <row r="26" spans="1:23" x14ac:dyDescent="0.3">
      <c r="B26">
        <f>Crono_Qui!B24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IFERROR(IFERROR(VLOOKUP(E26,PROCESSO!C:Q,15,FALSE),"")/SUMIFS(D:D,B:B,B26),"")</f>
        <v/>
      </c>
      <c r="T26" s="45" t="str">
        <f t="shared" si="3"/>
        <v/>
      </c>
      <c r="U26" s="45" t="str">
        <f>IFERROR(VLOOKUP(C26,RECEITAS!B:D,3,FALSE),"")</f>
        <v/>
      </c>
      <c r="V26" s="45" t="str">
        <f>IFERROR((U26+S26)*(1-ANALISE!$I$4),"")</f>
        <v/>
      </c>
      <c r="W26" s="45" t="str">
        <f t="shared" si="4"/>
        <v/>
      </c>
    </row>
    <row r="27" spans="1:23" x14ac:dyDescent="0.3">
      <c r="B27">
        <f>Crono_Qui!B25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IFERROR(IFERROR(VLOOKUP(E27,PROCESSO!C:Q,15,FALSE),"")/SUMIFS(D:D,B:B,B27),"")</f>
        <v/>
      </c>
      <c r="T27" s="45" t="str">
        <f t="shared" si="3"/>
        <v/>
      </c>
      <c r="U27" s="45" t="str">
        <f>IFERROR(VLOOKUP(C27,RECEITAS!B:D,3,FALSE),"")</f>
        <v/>
      </c>
      <c r="V27" s="45" t="str">
        <f>IFERROR((U27+S27)*(1-ANALISE!$I$4),"")</f>
        <v/>
      </c>
      <c r="W27" s="45" t="str">
        <f t="shared" si="4"/>
        <v/>
      </c>
    </row>
    <row r="28" spans="1:23" x14ac:dyDescent="0.3"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IFERROR(IFERROR(VLOOKUP(E28,PROCESSO!C:Q,15,FALSE),"")/SUMIFS(D:D,B:B,B28),"")</f>
        <v/>
      </c>
      <c r="T28" s="45" t="str">
        <f t="shared" si="3"/>
        <v/>
      </c>
      <c r="U28" s="45" t="str">
        <f>IFERROR(VLOOKUP(C28,RECEITAS!B:D,3,FALSE),"")</f>
        <v/>
      </c>
      <c r="V28" s="45" t="str">
        <f>IFERROR((U28+S28)*(1-ANALISE!$I$4),"")</f>
        <v/>
      </c>
      <c r="W28" s="45" t="str">
        <f t="shared" si="4"/>
        <v/>
      </c>
    </row>
    <row r="29" spans="1:23" x14ac:dyDescent="0.3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IFERROR(IFERROR(VLOOKUP(E29,PROCESSO!C:Q,15,FALSE),"")/SUMIFS(D:D,B:B,B29),"")</f>
        <v/>
      </c>
      <c r="T29" s="45" t="str">
        <f t="shared" si="3"/>
        <v/>
      </c>
      <c r="U29" s="45" t="str">
        <f>IFERROR(VLOOKUP(C29,RECEITAS!B:D,3,FALSE),"")</f>
        <v/>
      </c>
      <c r="V29" s="45" t="str">
        <f>IFERROR((U29+S29)*(1-ANALISE!$I$4),"")</f>
        <v/>
      </c>
      <c r="W29" s="45" t="str">
        <f t="shared" si="4"/>
        <v/>
      </c>
    </row>
    <row r="30" spans="1:23" x14ac:dyDescent="0.3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IFERROR(IFERROR(VLOOKUP(E30,PROCESSO!C:Q,15,FALSE),"")/SUMIFS(D:D,B:B,B30),"")</f>
        <v/>
      </c>
      <c r="T30" s="45" t="str">
        <f t="shared" si="3"/>
        <v/>
      </c>
      <c r="U30" s="45" t="str">
        <f>IFERROR(VLOOKUP(C30,RECEITAS!B:D,3,FALSE),"")</f>
        <v/>
      </c>
      <c r="V30" s="45" t="str">
        <f>IFERROR((U30+S30)*(1-ANALISE!$I$4),"")</f>
        <v/>
      </c>
      <c r="W30" s="45" t="str">
        <f t="shared" si="4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30"/>
  <sheetViews>
    <sheetView topLeftCell="C4" zoomScaleNormal="100" workbookViewId="0">
      <selection activeCell="S9" sqref="S9:W22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5" max="16" width="7.6640625" customWidth="1"/>
    <col min="17" max="17" width="15.88671875" bestFit="1" customWidth="1"/>
    <col min="18" max="18" width="7.6640625" customWidth="1"/>
    <col min="19" max="19" width="15.6640625" bestFit="1" customWidth="1"/>
    <col min="20" max="20" width="9.44140625" bestFit="1" customWidth="1"/>
    <col min="21" max="21" width="9" bestFit="1" customWidth="1"/>
    <col min="22" max="22" width="9.5546875" bestFit="1" customWidth="1"/>
    <col min="23" max="23" width="10.44140625" bestFit="1" customWidth="1"/>
  </cols>
  <sheetData>
    <row r="2" spans="1:23" ht="23.4" x14ac:dyDescent="0.45">
      <c r="Q2" s="49">
        <v>0.35085648148148146</v>
      </c>
      <c r="V2" s="1"/>
    </row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Crono_Sex!A8</f>
        <v>1</v>
      </c>
      <c r="B10" t="str">
        <f>Crono_Sex!B8</f>
        <v>AMANTEIGADO</v>
      </c>
      <c r="C10" s="17">
        <f>Crono_Sex!C8</f>
        <v>28.680000000000003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0.19791666666666666</v>
      </c>
      <c r="G10" s="1">
        <f>IFERROR(IF(F10=0,"",VLOOKUP($D10,PROCESSO!$B:$P,G$8,FALSE)/24)*IFERROR(IF(#REF!&gt;$B$8,ROUNDUP(#REF!/$B$8,0),1),1)+($A$8/24)+F10,"")</f>
        <v>0.21180555555555555</v>
      </c>
      <c r="H10" s="1">
        <f>G10</f>
        <v>0.21180555555555555</v>
      </c>
      <c r="I10" s="1">
        <f>IFERROR(IF(H10=0,"",VLOOKUP($D10,PROCESSO!$B:$P,H$8,FALSE)/24)+($A$8/24)+H10,"")</f>
        <v>0.21527777777777776</v>
      </c>
      <c r="J10" s="1">
        <f>IFERROR(IF(I10=0,"",VLOOKUP($D10,PROCESSO!$B:$P,I$8,FALSE)/24)+($A$8/24)+I10,"")</f>
        <v>0.22361111111111109</v>
      </c>
      <c r="K10" s="1">
        <f>IFERROR(IF(J10=0,"",VLOOKUP($D10,PROCESSO!$B:$P,J$8,FALSE)/24)+($A$8/24)+J10,"")</f>
        <v>0.23194444444444443</v>
      </c>
      <c r="L10" s="1">
        <f>IFERROR(IF(K10=0,"",VLOOKUP($D10,PROCESSO!$B:$P,K$8,FALSE)/24)+($A$8/24)+K10,"")</f>
        <v>0.23541666666666664</v>
      </c>
      <c r="M10" s="1">
        <f>IFERROR(IF(L10=0,"",VLOOKUP($D10,PROCESSO!$B:$P,L$8,FALSE)/24)+($A$8/24)+L10,"")</f>
        <v>0.2631944444444444</v>
      </c>
      <c r="N10" s="1">
        <f>IFERROR(IF(M10=0,"",VLOOKUP($D10,PROCESSO!$B:$P,M$8,FALSE)/24)+($A$8/24)+M10,"")</f>
        <v>0.32916666666666661</v>
      </c>
      <c r="O10" s="1">
        <f>IFERROR(IF(N10=0,"",VLOOKUP($D10,PROCESSO!$B:$P,N$8,FALSE)/24)+($A$8/24)+N10,"")</f>
        <v>0.35347222222222219</v>
      </c>
      <c r="P10" s="1">
        <f>IFERROR(IF(O10=0,"",VLOOKUP($D10,PROCESSO!$B:$P,O$8,FALSE)/24)+($A$8/24)+O10,"")</f>
        <v>0.4194444444444444</v>
      </c>
      <c r="Q10" s="1">
        <f>IFERROR(IF(P10=0,"",VLOOKUP($D10,PROCESSO!$B:$P,P$8,FALSE)/24)+($A$8/24)+P10,"")</f>
        <v>0.45208333333333328</v>
      </c>
      <c r="R10" s="1">
        <f>IFERROR(IF(Q10=0,"",VLOOKUP($D10,PROCESSO!$B:$P,Q$8,FALSE)/24)+($A$8/24)+Q10,"")</f>
        <v>0.51777777777777767</v>
      </c>
      <c r="S10" s="45">
        <f>IFERROR(IFERROR(VLOOKUP(D10,PROCESSO!B:P,15,FALSE),"")/SUMIFS(C:C,A:A,A10),"")</f>
        <v>1.2178498372849837</v>
      </c>
      <c r="T10" s="45">
        <f>IFERROR(S10*C10,"")</f>
        <v>34.927933333333335</v>
      </c>
      <c r="U10" s="45">
        <f>IFERROR(VLOOKUP(B10,RECEITAS!A:C,3,FALSE),"")</f>
        <v>1.8031880400301454</v>
      </c>
      <c r="V10" s="45">
        <f>IFERROR((U10+S10)*(1-ANALISE!$I$4),"")</f>
        <v>3.0210378773151292</v>
      </c>
      <c r="W10" s="45">
        <f>IFERROR(V10*C10,"")</f>
        <v>86.64336632139792</v>
      </c>
    </row>
    <row r="11" spans="1:23" x14ac:dyDescent="0.3">
      <c r="A11">
        <f>Crono_Sex!A9</f>
        <v>2</v>
      </c>
      <c r="B11" t="str">
        <f>Crono_Sex!B9</f>
        <v>BAG. FRANCESA</v>
      </c>
      <c r="C11" s="17">
        <f>Crono_Sex!C9</f>
        <v>20.399999999999999</v>
      </c>
      <c r="D11" t="str">
        <f>IFERROR(VLOOKUP(B11,RECEITAS!A:C,$D$7,FALSE),"")</f>
        <v>RÚSTICO</v>
      </c>
      <c r="E11" s="1">
        <f>IFERROR(E10+(VLOOKUP($D11,PROCESSO!$B:$P,AP_CRONO_Sex!E$8,FALSE)/24),"")</f>
        <v>0.19861111111111113</v>
      </c>
      <c r="F11" s="1">
        <f>Crono_Sex!E9</f>
        <v>0.20486111111111113</v>
      </c>
      <c r="G11" s="1">
        <f>IFERROR(IF(F11=0,"",VLOOKUP($D11,PROCESSO!$B:$P,G$8,FALSE)/24)*IFERROR(IF(#REF!&gt;$B$8,ROUNDUP(#REF!/$B$8,0),1),1)+($A$8/24)+F11,"")</f>
        <v>0.21875000000000003</v>
      </c>
      <c r="H11" s="1">
        <f t="shared" ref="H11:H30" si="0">G11</f>
        <v>0.21875000000000003</v>
      </c>
      <c r="I11" s="1">
        <f>IFERROR(IF(H11=0,"",VLOOKUP($D11,PROCESSO!$B:$P,H$8,FALSE)/24)+($A$8/24)+H11,"")</f>
        <v>0.22222222222222224</v>
      </c>
      <c r="J11" s="1">
        <f>IFERROR(IF(I11=0,"",VLOOKUP($D11,PROCESSO!$B:$P,I$8,FALSE)/24)+($A$8/24)+I11,"")</f>
        <v>0.2673611111111111</v>
      </c>
      <c r="K11" s="1">
        <f>IFERROR(IF(J11=0,"",VLOOKUP($D11,PROCESSO!$B:$P,J$8,FALSE)/24)+($A$8/24)+J11,"")</f>
        <v>0.28819444444444442</v>
      </c>
      <c r="L11" s="1">
        <f>IFERROR(IF(K11=0,"",VLOOKUP($D11,PROCESSO!$B:$P,K$8,FALSE)/24)+($A$8/24)+K11,"")</f>
        <v>0.31944444444444442</v>
      </c>
      <c r="M11" s="1">
        <f>IFERROR(IF(L11=0,"",VLOOKUP($D11,PROCESSO!$B:$P,L$8,FALSE)/24)+($A$8/24)+L11,"")</f>
        <v>0.34027777777777773</v>
      </c>
      <c r="N11" s="1">
        <f>IFERROR(IF(M11=0,"",VLOOKUP($D11,PROCESSO!$B:$P,M$8,FALSE)/24)+($A$8/24)+M11,"")</f>
        <v>0.38541666666666663</v>
      </c>
      <c r="O11" s="1">
        <f>IFERROR(IF(N11=0,"",VLOOKUP($D11,PROCESSO!$B:$P,N$8,FALSE)/24)+($A$8/24)+N11,"")</f>
        <v>0.41666666666666663</v>
      </c>
      <c r="P11" s="1">
        <f>IFERROR(IF(O11=0,"",VLOOKUP($D11,PROCESSO!$B:$P,O$8,FALSE)/24)+($A$8/24)+O11,"")</f>
        <v>0.48263888888888884</v>
      </c>
      <c r="Q11" s="1">
        <f>IFERROR(IF(P11=0,"",VLOOKUP($D11,PROCESSO!$B:$P,P$8,FALSE)/24)+($A$8/24)+P11,"")</f>
        <v>0.48611111111111105</v>
      </c>
      <c r="R11" s="1">
        <f>IFERROR(IF(Q11=0,"",VLOOKUP($D11,PROCESSO!$B:$P,Q$8,FALSE)/24)+($A$8/24)+Q11,"")</f>
        <v>0.55902777777777768</v>
      </c>
      <c r="S11" s="45">
        <f>IFERROR(IFERROR(VLOOKUP(D11,PROCESSO!B:P,15,FALSE),"")/SUMIFS(C:C,A:A,A11),"")</f>
        <v>0.8986564952747077</v>
      </c>
      <c r="T11" s="45">
        <f t="shared" ref="T11:T30" si="1">IFERROR(S11*C11,"")</f>
        <v>18.332592503604037</v>
      </c>
      <c r="U11" s="45">
        <f>IFERROR(VLOOKUP(B11,RECEITAS!A:C,3,FALSE),"")</f>
        <v>2.206347678369196</v>
      </c>
      <c r="V11" s="45">
        <f>IFERROR((U11+S11)*(1-ANALISE!$I$4),"")</f>
        <v>3.1050041736439038</v>
      </c>
      <c r="W11" s="45">
        <f t="shared" ref="W11:W30" si="2">IFERROR(V11*C11,"")</f>
        <v>63.342085142335634</v>
      </c>
    </row>
    <row r="12" spans="1:23" x14ac:dyDescent="0.3">
      <c r="A12">
        <f>Crono_Sex!A10</f>
        <v>2</v>
      </c>
      <c r="B12" t="str">
        <f>Crono_Sex!B10</f>
        <v>P. AZEITE RUST.</v>
      </c>
      <c r="C12" s="17">
        <f>Crono_Sex!C10</f>
        <v>21.220000000000002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0.20486111111111113</v>
      </c>
      <c r="G12" s="1">
        <f>IFERROR(IF(F12=0,"",VLOOKUP($D12,PROCESSO!$B:$P,G$8,FALSE)/24)*IFERROR(IF(#REF!&gt;$B$8,ROUNDUP(#REF!/$B$8,0),1),1)+($A$8/24)+F12,"")</f>
        <v>0.21875000000000003</v>
      </c>
      <c r="H12" s="1">
        <f t="shared" si="0"/>
        <v>0.21875000000000003</v>
      </c>
      <c r="I12" s="1">
        <f>IFERROR(IF(H12=0,"",VLOOKUP($D12,PROCESSO!$B:$P,H$8,FALSE)/24)+($A$8/24)+H12,"")</f>
        <v>0.22222222222222224</v>
      </c>
      <c r="J12" s="1">
        <f>IFERROR(IF(I12=0,"",VLOOKUP($D12,PROCESSO!$B:$P,I$8,FALSE)/24)+($A$8/24)+I12,"")</f>
        <v>0.2673611111111111</v>
      </c>
      <c r="K12" s="1">
        <f>IFERROR(IF(J12=0,"",VLOOKUP($D12,PROCESSO!$B:$P,J$8,FALSE)/24)+($A$8/24)+J12,"")</f>
        <v>0.28819444444444442</v>
      </c>
      <c r="L12" s="1">
        <f>IFERROR(IF(K12=0,"",VLOOKUP($D12,PROCESSO!$B:$P,K$8,FALSE)/24)+($A$8/24)+K12,"")</f>
        <v>0.31944444444444442</v>
      </c>
      <c r="M12" s="1">
        <f>IFERROR(IF(L12=0,"",VLOOKUP($D12,PROCESSO!$B:$P,L$8,FALSE)/24)+($A$8/24)+L12,"")</f>
        <v>0.34027777777777773</v>
      </c>
      <c r="N12" s="1">
        <f>IFERROR(IF(M12=0,"",VLOOKUP($D12,PROCESSO!$B:$P,M$8,FALSE)/24)+($A$8/24)+M12,"")</f>
        <v>0.38541666666666663</v>
      </c>
      <c r="O12" s="1">
        <f>IFERROR(IF(N12=0,"",VLOOKUP($D12,PROCESSO!$B:$P,N$8,FALSE)/24)+($A$8/24)+N12,"")</f>
        <v>0.41666666666666663</v>
      </c>
      <c r="P12" s="1">
        <f>IFERROR(IF(O12=0,"",VLOOKUP($D12,PROCESSO!$B:$P,O$8,FALSE)/24)+($A$8/24)+O12,"")</f>
        <v>0.48263888888888884</v>
      </c>
      <c r="Q12" s="1">
        <f>IFERROR(IF(P12=0,"",VLOOKUP($D12,PROCESSO!$B:$P,P$8,FALSE)/24)+($A$8/24)+P12,"")</f>
        <v>0.48611111111111105</v>
      </c>
      <c r="R12" s="1">
        <f>IFERROR(IF(Q12=0,"",VLOOKUP($D12,PROCESSO!$B:$P,Q$8,FALSE)/24)+($A$8/24)+Q12,"")</f>
        <v>0.55902777777777768</v>
      </c>
      <c r="S12" s="45">
        <f>IFERROR(IFERROR(VLOOKUP(D12,PROCESSO!B:P,15,FALSE),"")/SUMIFS(C:C,A:A,A12),"")</f>
        <v>0.8986564952747077</v>
      </c>
      <c r="T12" s="45">
        <f t="shared" si="1"/>
        <v>19.0694908297293</v>
      </c>
      <c r="U12" s="45">
        <f>IFERROR(VLOOKUP(B12,RECEITAS!A:C,3,FALSE),"")</f>
        <v>2.046595017783527</v>
      </c>
      <c r="V12" s="45">
        <f>IFERROR((U12+S12)*(1-ANALISE!$I$4),"")</f>
        <v>2.9452515130582348</v>
      </c>
      <c r="W12" s="45">
        <f t="shared" si="2"/>
        <v>62.498237107095754</v>
      </c>
    </row>
    <row r="13" spans="1:23" x14ac:dyDescent="0.3">
      <c r="A13">
        <f>Crono_Sex!A11</f>
        <v>3</v>
      </c>
      <c r="B13" t="str">
        <f>Crono_Sex!B11</f>
        <v>AUSTRALIANO</v>
      </c>
      <c r="C13" s="17">
        <f>Crono_Sex!C11</f>
        <v>31.800000000000004</v>
      </c>
      <c r="D13" t="str">
        <f>IFERROR(VLOOKUP(B13,RECEITAS!A:C,$D$7,FALSE),"")</f>
        <v>DIRETO</v>
      </c>
      <c r="E13" s="1">
        <f>IFERROR(E12+(VLOOKUP($D13,PROCESSO!$B:$P,AP_CRONO_Sex!E$8,FALSE)/24),"")</f>
        <v>0.20972222222222225</v>
      </c>
      <c r="F13" s="1">
        <f>Crono_Sex!E11</f>
        <v>0.22569444444444445</v>
      </c>
      <c r="G13" s="1">
        <f>IFERROR(IF(F13=0,"",VLOOKUP($D13,PROCESSO!$B:$P,G$8,FALSE)/24)*IFERROR(IF(#REF!&gt;$B$8,ROUNDUP(#REF!/$B$8,0),1),1)+($A$8/24)+F13,"")</f>
        <v>0.23958333333333334</v>
      </c>
      <c r="H13" s="1">
        <f t="shared" si="0"/>
        <v>0.23958333333333334</v>
      </c>
      <c r="I13" s="1">
        <f>IFERROR(IF(H13=0,"",VLOOKUP($D13,PROCESSO!$B:$P,H$8,FALSE)/24)+($A$8/24)+H13,"")</f>
        <v>0.24305555555555555</v>
      </c>
      <c r="J13" s="1">
        <f>IFERROR(IF(I13=0,"",VLOOKUP($D13,PROCESSO!$B:$P,I$8,FALSE)/24)+($A$8/24)+I13,"")</f>
        <v>0.25138888888888888</v>
      </c>
      <c r="K13" s="1">
        <f>IFERROR(IF(J13=0,"",VLOOKUP($D13,PROCESSO!$B:$P,J$8,FALSE)/24)+($A$8/24)+J13,"")</f>
        <v>0.25972222222222224</v>
      </c>
      <c r="L13" s="1">
        <f>IFERROR(IF(K13=0,"",VLOOKUP($D13,PROCESSO!$B:$P,K$8,FALSE)/24)+($A$8/24)+K13,"")</f>
        <v>0.26319444444444445</v>
      </c>
      <c r="M13" s="1">
        <f>IFERROR(IF(L13=0,"",VLOOKUP($D13,PROCESSO!$B:$P,L$8,FALSE)/24)+($A$8/24)+L13,"")</f>
        <v>0.29097222222222224</v>
      </c>
      <c r="N13" s="1">
        <f>IFERROR(IF(M13=0,"",VLOOKUP($D13,PROCESSO!$B:$P,M$8,FALSE)/24)+($A$8/24)+M13,"")</f>
        <v>0.35694444444444445</v>
      </c>
      <c r="O13" s="1">
        <f>IFERROR(IF(N13=0,"",VLOOKUP($D13,PROCESSO!$B:$P,N$8,FALSE)/24)+($A$8/24)+N13,"")</f>
        <v>0.38124999999999998</v>
      </c>
      <c r="P13" s="1">
        <f>IFERROR(IF(O13=0,"",VLOOKUP($D13,PROCESSO!$B:$P,O$8,FALSE)/24)+($A$8/24)+O13,"")</f>
        <v>0.44722222222222219</v>
      </c>
      <c r="Q13" s="1">
        <f>IFERROR(IF(P13=0,"",VLOOKUP($D13,PROCESSO!$B:$P,P$8,FALSE)/24)+($A$8/24)+P13,"")</f>
        <v>0.47986111111111107</v>
      </c>
      <c r="R13" s="1">
        <f>IFERROR(IF(Q13=0,"",VLOOKUP($D13,PROCESSO!$B:$P,Q$8,FALSE)/24)+($A$8/24)+Q13,"")</f>
        <v>0.54555555555555557</v>
      </c>
      <c r="S13" s="45">
        <f>IFERROR(IFERROR(VLOOKUP(D13,PROCESSO!B:P,15,FALSE),"")/SUMIFS(C:C,A:A,A13),"")</f>
        <v>1.098362683438155</v>
      </c>
      <c r="T13" s="45">
        <f t="shared" si="1"/>
        <v>34.927933333333335</v>
      </c>
      <c r="U13" s="45">
        <f>IFERROR(VLOOKUP(B13,RECEITAS!A:C,3,FALSE),"")</f>
        <v>2.3452338811630851</v>
      </c>
      <c r="V13" s="45">
        <f>IFERROR((U13+S13)*(1-ANALISE!$I$4),"")</f>
        <v>3.4435965646012399</v>
      </c>
      <c r="W13" s="45">
        <f t="shared" si="2"/>
        <v>109.50637075431945</v>
      </c>
    </row>
    <row r="14" spans="1:23" x14ac:dyDescent="0.3">
      <c r="A14">
        <f>Crono_Sex!A12</f>
        <v>4</v>
      </c>
      <c r="B14" t="str">
        <f>Crono_Sex!B12</f>
        <v>PH MALTE AROMA CARAMEL CACAU</v>
      </c>
      <c r="C14" s="17">
        <f>Crono_Sex!C12</f>
        <v>7.8000000000000007</v>
      </c>
      <c r="D14" t="str">
        <f>IFERROR(VLOOKUP(B14,RECEITAS!A:C,$D$7,FALSE),"")</f>
        <v>DIRETO</v>
      </c>
      <c r="E14" s="1">
        <f>IFERROR(E13+(VLOOKUP($D14,PROCESSO!$B:$P,AP_CRONO_Sex!E$8,FALSE)/24),"")</f>
        <v>0.21527777777777782</v>
      </c>
      <c r="F14" s="1">
        <f>Crono_Sex!E12</f>
        <v>0.23472222222222219</v>
      </c>
      <c r="G14" s="1">
        <f>IFERROR(IF(F14=0,"",VLOOKUP($D14,PROCESSO!$B:$P,G$8,FALSE)/24)*IFERROR(IF(#REF!&gt;$B$8,ROUNDUP(#REF!/$B$8,0),1),1)+($A$8/24)+F14,"")</f>
        <v>0.24861111111111109</v>
      </c>
      <c r="H14" s="1">
        <f t="shared" si="0"/>
        <v>0.24861111111111109</v>
      </c>
      <c r="I14" s="1">
        <f>IFERROR(IF(H14=0,"",VLOOKUP($D14,PROCESSO!$B:$P,H$8,FALSE)/24)+($A$8/24)+H14,"")</f>
        <v>0.25208333333333333</v>
      </c>
      <c r="J14" s="1">
        <f>IFERROR(IF(I14=0,"",VLOOKUP($D14,PROCESSO!$B:$P,I$8,FALSE)/24)+($A$8/24)+I14,"")</f>
        <v>0.26041666666666669</v>
      </c>
      <c r="K14" s="1">
        <f>IFERROR(IF(J14=0,"",VLOOKUP($D14,PROCESSO!$B:$P,J$8,FALSE)/24)+($A$8/24)+J14,"")</f>
        <v>0.26875000000000004</v>
      </c>
      <c r="L14" s="1">
        <f>IFERROR(IF(K14=0,"",VLOOKUP($D14,PROCESSO!$B:$P,K$8,FALSE)/24)+($A$8/24)+K14,"")</f>
        <v>0.27222222222222225</v>
      </c>
      <c r="M14" s="1">
        <f>IFERROR(IF(L14=0,"",VLOOKUP($D14,PROCESSO!$B:$P,L$8,FALSE)/24)+($A$8/24)+L14,"")</f>
        <v>0.30000000000000004</v>
      </c>
      <c r="N14" s="1">
        <f>IFERROR(IF(M14=0,"",VLOOKUP($D14,PROCESSO!$B:$P,M$8,FALSE)/24)+($A$8/24)+M14,"")</f>
        <v>0.36597222222222225</v>
      </c>
      <c r="O14" s="1">
        <f>IFERROR(IF(N14=0,"",VLOOKUP($D14,PROCESSO!$B:$P,N$8,FALSE)/24)+($A$8/24)+N14,"")</f>
        <v>0.39027777777777783</v>
      </c>
      <c r="P14" s="1">
        <f>IFERROR(IF(O14=0,"",VLOOKUP($D14,PROCESSO!$B:$P,O$8,FALSE)/24)+($A$8/24)+O14,"")</f>
        <v>0.45625000000000004</v>
      </c>
      <c r="Q14" s="1">
        <f>IFERROR(IF(P14=0,"",VLOOKUP($D14,PROCESSO!$B:$P,P$8,FALSE)/24)+($A$8/24)+P14,"")</f>
        <v>0.48888888888888893</v>
      </c>
      <c r="R14" s="1">
        <f>IFERROR(IF(Q14=0,"",VLOOKUP($D14,PROCESSO!$B:$P,Q$8,FALSE)/24)+($A$8/24)+Q14,"")</f>
        <v>0.55458333333333343</v>
      </c>
      <c r="S14" s="45">
        <f>IFERROR(IFERROR(VLOOKUP(D14,PROCESSO!B:P,15,FALSE),"")/SUMIFS(C:C,A:A,A14),"")</f>
        <v>4.4779401709401707</v>
      </c>
      <c r="T14" s="45">
        <f t="shared" si="1"/>
        <v>34.927933333333335</v>
      </c>
      <c r="U14" s="45">
        <f>IFERROR(VLOOKUP(B14,RECEITAS!A:C,3,FALSE),"")</f>
        <v>3.802317938072997</v>
      </c>
      <c r="V14" s="45">
        <f>IFERROR((U14+S14)*(1-ANALISE!$I$4),"")</f>
        <v>8.2802581090131682</v>
      </c>
      <c r="W14" s="45">
        <f t="shared" si="2"/>
        <v>64.586013250302713</v>
      </c>
    </row>
    <row r="15" spans="1:23" x14ac:dyDescent="0.3">
      <c r="A15">
        <f>Crono_Sex!A13</f>
        <v>5</v>
      </c>
      <c r="B15" t="str">
        <f>Crono_Sex!B13</f>
        <v>BRIOCHE MARGARINA 50% AÇUCAR</v>
      </c>
      <c r="C15" s="17">
        <f>Crono_Sex!C13</f>
        <v>16.800000000000004</v>
      </c>
      <c r="D15" t="str">
        <f>IFERROR(VLOOKUP(B15,RECEITAS!A:C,$D$7,FALSE),"")</f>
        <v>DIRETO</v>
      </c>
      <c r="E15" s="1">
        <f>IFERROR(E14+(VLOOKUP($D15,PROCESSO!$B:$P,AP_CRONO_Sex!E$8,FALSE)/24),"")</f>
        <v>0.22083333333333338</v>
      </c>
      <c r="F15" s="1">
        <f>Crono_Sex!E13</f>
        <v>0.24861111111111112</v>
      </c>
      <c r="G15" s="1">
        <f>IFERROR(IF(F15=0,"",VLOOKUP($D15,PROCESSO!$B:$P,G$8,FALSE)/24)*IFERROR(IF(#REF!&gt;$B$8,ROUNDUP(#REF!/$B$8,0),1),1)+($A$8/24)+F15,"")</f>
        <v>0.26250000000000001</v>
      </c>
      <c r="H15" s="1">
        <f t="shared" si="0"/>
        <v>0.26250000000000001</v>
      </c>
      <c r="I15" s="1">
        <f>IFERROR(IF(H15=0,"",VLOOKUP($D15,PROCESSO!$B:$P,H$8,FALSE)/24)+($A$8/24)+H15,"")</f>
        <v>0.26597222222222222</v>
      </c>
      <c r="J15" s="1">
        <f>IFERROR(IF(I15=0,"",VLOOKUP($D15,PROCESSO!$B:$P,I$8,FALSE)/24)+($A$8/24)+I15,"")</f>
        <v>0.27430555555555558</v>
      </c>
      <c r="K15" s="1">
        <f>IFERROR(IF(J15=0,"",VLOOKUP($D15,PROCESSO!$B:$P,J$8,FALSE)/24)+($A$8/24)+J15,"")</f>
        <v>0.28263888888888894</v>
      </c>
      <c r="L15" s="1">
        <f>IFERROR(IF(K15=0,"",VLOOKUP($D15,PROCESSO!$B:$P,K$8,FALSE)/24)+($A$8/24)+K15,"")</f>
        <v>0.28611111111111115</v>
      </c>
      <c r="M15" s="1">
        <f>IFERROR(IF(L15=0,"",VLOOKUP($D15,PROCESSO!$B:$P,L$8,FALSE)/24)+($A$8/24)+L15,"")</f>
        <v>0.31388888888888894</v>
      </c>
      <c r="N15" s="1">
        <f>IFERROR(IF(M15=0,"",VLOOKUP($D15,PROCESSO!$B:$P,M$8,FALSE)/24)+($A$8/24)+M15,"")</f>
        <v>0.37986111111111115</v>
      </c>
      <c r="O15" s="1">
        <f>IFERROR(IF(N15=0,"",VLOOKUP($D15,PROCESSO!$B:$P,N$8,FALSE)/24)+($A$8/24)+N15,"")</f>
        <v>0.40416666666666667</v>
      </c>
      <c r="P15" s="1">
        <f>IFERROR(IF(O15=0,"",VLOOKUP($D15,PROCESSO!$B:$P,O$8,FALSE)/24)+($A$8/24)+O15,"")</f>
        <v>0.47013888888888888</v>
      </c>
      <c r="Q15" s="1">
        <f>IFERROR(IF(P15=0,"",VLOOKUP($D15,PROCESSO!$B:$P,P$8,FALSE)/24)+($A$8/24)+P15,"")</f>
        <v>0.50277777777777777</v>
      </c>
      <c r="R15" s="1">
        <f>IFERROR(IF(Q15=0,"",VLOOKUP($D15,PROCESSO!$B:$P,Q$8,FALSE)/24)+($A$8/24)+Q15,"")</f>
        <v>0.56847222222222227</v>
      </c>
      <c r="S15" s="45">
        <f>IFERROR(IFERROR(VLOOKUP(D15,PROCESSO!B:P,15,FALSE),"")/SUMIFS(C:C,A:A,A15),"")</f>
        <v>0.99651735615786963</v>
      </c>
      <c r="T15" s="45">
        <f t="shared" si="1"/>
        <v>16.741491583452213</v>
      </c>
      <c r="U15" s="45">
        <f>IFERROR(VLOOKUP(B15,RECEITAS!A:C,3,FALSE),"")</f>
        <v>2.8814478282576137</v>
      </c>
      <c r="V15" s="45">
        <f>IFERROR((U15+S15)*(1-ANALISE!$I$4),"")</f>
        <v>3.8779651844154834</v>
      </c>
      <c r="W15" s="45">
        <f t="shared" si="2"/>
        <v>65.149815098180142</v>
      </c>
    </row>
    <row r="16" spans="1:23" x14ac:dyDescent="0.3">
      <c r="A16">
        <f>Crono_Sex!A14</f>
        <v>5</v>
      </c>
      <c r="B16" t="str">
        <f>Crono_Sex!B14</f>
        <v>PIZZA PAN</v>
      </c>
      <c r="C16" s="17">
        <f>Crono_Sex!C14</f>
        <v>0</v>
      </c>
      <c r="D16" t="str">
        <f>IFERROR(VLOOKUP(B16,RECEITAS!A:C,$D$7,FALSE),"")</f>
        <v>RÚSTICO</v>
      </c>
      <c r="E16" s="1">
        <f>IFERROR(E15+(VLOOKUP($D16,PROCESSO!$B:$P,AP_CRONO_Sex!E$8,FALSE)/24),"")</f>
        <v>0.22638888888888895</v>
      </c>
      <c r="F16" s="1">
        <f>Crono_Sex!E14</f>
        <v>0.24861111111111101</v>
      </c>
      <c r="G16" s="1">
        <f>IFERROR(IF(F16=0,"",VLOOKUP($D16,PROCESSO!$B:$P,G$8,FALSE)/24)*IFERROR(IF(#REF!&gt;$B$8,ROUNDUP(#REF!/$B$8,0),1),1)+($A$8/24)+F16,"")</f>
        <v>0.2624999999999999</v>
      </c>
      <c r="H16" s="1">
        <f t="shared" si="0"/>
        <v>0.2624999999999999</v>
      </c>
      <c r="I16" s="1">
        <f>IFERROR(IF(H16=0,"",VLOOKUP($D16,PROCESSO!$B:$P,H$8,FALSE)/24)+($A$8/24)+H16,"")</f>
        <v>0.26597222222222211</v>
      </c>
      <c r="J16" s="1">
        <f>IFERROR(IF(I16=0,"",VLOOKUP($D16,PROCESSO!$B:$P,I$8,FALSE)/24)+($A$8/24)+I16,"")</f>
        <v>0.31111111111111101</v>
      </c>
      <c r="K16" s="1">
        <f>IFERROR(IF(J16=0,"",VLOOKUP($D16,PROCESSO!$B:$P,J$8,FALSE)/24)+($A$8/24)+J16,"")</f>
        <v>0.33194444444444432</v>
      </c>
      <c r="L16" s="1">
        <f>IFERROR(IF(K16=0,"",VLOOKUP($D16,PROCESSO!$B:$P,K$8,FALSE)/24)+($A$8/24)+K16,"")</f>
        <v>0.36319444444444432</v>
      </c>
      <c r="M16" s="1">
        <f>IFERROR(IF(L16=0,"",VLOOKUP($D16,PROCESSO!$B:$P,L$8,FALSE)/24)+($A$8/24)+L16,"")</f>
        <v>0.38402777777777763</v>
      </c>
      <c r="N16" s="1">
        <f>IFERROR(IF(M16=0,"",VLOOKUP($D16,PROCESSO!$B:$P,M$8,FALSE)/24)+($A$8/24)+M16,"")</f>
        <v>0.42916666666666653</v>
      </c>
      <c r="O16" s="1">
        <f>IFERROR(IF(N16=0,"",VLOOKUP($D16,PROCESSO!$B:$P,N$8,FALSE)/24)+($A$8/24)+N16,"")</f>
        <v>0.46041666666666653</v>
      </c>
      <c r="P16" s="1">
        <f>IFERROR(IF(O16=0,"",VLOOKUP($D16,PROCESSO!$B:$P,O$8,FALSE)/24)+($A$8/24)+O16,"")</f>
        <v>0.5263888888888888</v>
      </c>
      <c r="Q16" s="1">
        <f>IFERROR(IF(P16=0,"",VLOOKUP($D16,PROCESSO!$B:$P,P$8,FALSE)/24)+($A$8/24)+P16,"")</f>
        <v>0.52986111111111101</v>
      </c>
      <c r="R16" s="1">
        <f>IFERROR(IF(Q16=0,"",VLOOKUP($D16,PROCESSO!$B:$P,Q$8,FALSE)/24)+($A$8/24)+Q16,"")</f>
        <v>0.60277777777777763</v>
      </c>
      <c r="S16" s="45">
        <f>IFERROR(IFERROR(VLOOKUP(D16,PROCESSO!B:P,15,FALSE),"")/SUMIFS(C:C,A:A,A16),"")</f>
        <v>1.0671065145030909</v>
      </c>
      <c r="T16" s="45">
        <f t="shared" si="1"/>
        <v>0</v>
      </c>
      <c r="U16" s="45">
        <f>IFERROR(VLOOKUP(B16,RECEITAS!A:C,3,FALSE),"")</f>
        <v>2.4490459229898076</v>
      </c>
      <c r="V16" s="45">
        <f>IFERROR((U16+S16)*(1-ANALISE!$I$4),"")</f>
        <v>3.5161524374928987</v>
      </c>
      <c r="W16" s="45">
        <f t="shared" si="2"/>
        <v>0</v>
      </c>
    </row>
    <row r="17" spans="1:23" x14ac:dyDescent="0.3">
      <c r="A17">
        <f>Crono_Sex!A15</f>
        <v>5</v>
      </c>
      <c r="B17" t="str">
        <f>Crono_Sex!B15</f>
        <v>FOCACCIA</v>
      </c>
      <c r="C17" s="17">
        <f>Crono_Sex!C15</f>
        <v>18.25</v>
      </c>
      <c r="D17" t="str">
        <f>IFERROR(VLOOKUP(B17,RECEITAS!A:C,$D$7,FALSE),"")</f>
        <v>RÚSTICO</v>
      </c>
      <c r="E17" s="1">
        <f>IFERROR(E16+(VLOOKUP($D17,PROCESSO!$B:$P,AP_CRONO_Sex!E$8,FALSE)/24),"")</f>
        <v>0.23194444444444451</v>
      </c>
      <c r="F17" s="1">
        <f>Crono_Sex!E15</f>
        <v>0.24861111111111101</v>
      </c>
      <c r="G17" s="1">
        <f>IFERROR(IF(F17=0,"",VLOOKUP($D17,PROCESSO!$B:$P,G$8,FALSE)/24)*IFERROR(IF(#REF!&gt;$B$8,ROUNDUP(#REF!/$B$8,0),1),1)+($A$8/24)+F17,"")</f>
        <v>0.2624999999999999</v>
      </c>
      <c r="H17" s="1">
        <f t="shared" si="0"/>
        <v>0.2624999999999999</v>
      </c>
      <c r="I17" s="1">
        <f>IFERROR(IF(H17=0,"",VLOOKUP($D17,PROCESSO!$B:$P,H$8,FALSE)/24)+($A$8/24)+H17,"")</f>
        <v>0.26597222222222211</v>
      </c>
      <c r="J17" s="1">
        <f>IFERROR(IF(I17=0,"",VLOOKUP($D17,PROCESSO!$B:$P,I$8,FALSE)/24)+($A$8/24)+I17,"")</f>
        <v>0.31111111111111101</v>
      </c>
      <c r="K17" s="1">
        <f>IFERROR(IF(J17=0,"",VLOOKUP($D17,PROCESSO!$B:$P,J$8,FALSE)/24)+($A$8/24)+J17,"")</f>
        <v>0.33194444444444432</v>
      </c>
      <c r="L17" s="1">
        <f>IFERROR(IF(K17=0,"",VLOOKUP($D17,PROCESSO!$B:$P,K$8,FALSE)/24)+($A$8/24)+K17,"")</f>
        <v>0.36319444444444432</v>
      </c>
      <c r="M17" s="1">
        <f>IFERROR(IF(L17=0,"",VLOOKUP($D17,PROCESSO!$B:$P,L$8,FALSE)/24)+($A$8/24)+L17,"")</f>
        <v>0.38402777777777763</v>
      </c>
      <c r="N17" s="1">
        <f>IFERROR(IF(M17=0,"",VLOOKUP($D17,PROCESSO!$B:$P,M$8,FALSE)/24)+($A$8/24)+M17,"")</f>
        <v>0.42916666666666653</v>
      </c>
      <c r="O17" s="1">
        <f>IFERROR(IF(N17=0,"",VLOOKUP($D17,PROCESSO!$B:$P,N$8,FALSE)/24)+($A$8/24)+N17,"")</f>
        <v>0.46041666666666653</v>
      </c>
      <c r="P17" s="1">
        <f>IFERROR(IF(O17=0,"",VLOOKUP($D17,PROCESSO!$B:$P,O$8,FALSE)/24)+($A$8/24)+O17,"")</f>
        <v>0.5263888888888888</v>
      </c>
      <c r="Q17" s="1">
        <f>IFERROR(IF(P17=0,"",VLOOKUP($D17,PROCESSO!$B:$P,P$8,FALSE)/24)+($A$8/24)+P17,"")</f>
        <v>0.52986111111111101</v>
      </c>
      <c r="R17" s="1">
        <f>IFERROR(IF(Q17=0,"",VLOOKUP($D17,PROCESSO!$B:$P,Q$8,FALSE)/24)+($A$8/24)+Q17,"")</f>
        <v>0.60277777777777763</v>
      </c>
      <c r="S17" s="45">
        <f>IFERROR(IFERROR(VLOOKUP(D17,PROCESSO!B:P,15,FALSE),"")/SUMIFS(C:C,A:A,A17),"")</f>
        <v>1.0671065145030909</v>
      </c>
      <c r="T17" s="45">
        <f t="shared" si="1"/>
        <v>19.474693889681408</v>
      </c>
      <c r="U17" s="45">
        <f>IFERROR(VLOOKUP(B17,RECEITAS!A:C,3,FALSE),"")</f>
        <v>2.046595017783527</v>
      </c>
      <c r="V17" s="45">
        <f>IFERROR((U17+S17)*(1-ANALISE!$I$4),"")</f>
        <v>3.1137015322866182</v>
      </c>
      <c r="W17" s="45">
        <f t="shared" si="2"/>
        <v>56.825052964230778</v>
      </c>
    </row>
    <row r="18" spans="1:23" x14ac:dyDescent="0.3">
      <c r="A18">
        <f>Crono_Sex!A16</f>
        <v>6</v>
      </c>
      <c r="B18" t="str">
        <f>Crono_Sex!B16</f>
        <v>PH VINHEDO</v>
      </c>
      <c r="C18" s="17">
        <f>Crono_Sex!C16</f>
        <v>4.8000000000000007</v>
      </c>
      <c r="D18" t="str">
        <f>IFERROR(VLOOKUP(B18,RECEITAS!A:C,$D$7,FALSE),"")</f>
        <v>DIRETO</v>
      </c>
      <c r="E18" s="1">
        <f>IFERROR(E17+(VLOOKUP($D18,PROCESSO!$B:$P,AP_CRONO_Sex!E$8,FALSE)/24),"")</f>
        <v>0.23750000000000007</v>
      </c>
      <c r="F18" s="1">
        <f>Crono_Sex!E16</f>
        <v>0.25694444444444448</v>
      </c>
      <c r="G18" s="1">
        <f>IFERROR(IF(F18=0,"",VLOOKUP($D18,PROCESSO!$B:$P,G$8,FALSE)/24)*IFERROR(IF(#REF!&gt;$B$8,ROUNDUP(#REF!/$B$8,0),1),1)+($A$8/24)+F18,"")</f>
        <v>0.27083333333333337</v>
      </c>
      <c r="H18" s="1">
        <f t="shared" si="0"/>
        <v>0.27083333333333337</v>
      </c>
      <c r="I18" s="1">
        <f>IFERROR(IF(H18=0,"",VLOOKUP($D18,PROCESSO!$B:$P,H$8,FALSE)/24)+($A$8/24)+H18,"")</f>
        <v>0.27430555555555558</v>
      </c>
      <c r="J18" s="1">
        <f>IFERROR(IF(I18=0,"",VLOOKUP($D18,PROCESSO!$B:$P,I$8,FALSE)/24)+($A$8/24)+I18,"")</f>
        <v>0.28263888888888894</v>
      </c>
      <c r="K18" s="1">
        <f>IFERROR(IF(J18=0,"",VLOOKUP($D18,PROCESSO!$B:$P,J$8,FALSE)/24)+($A$8/24)+J18,"")</f>
        <v>0.2909722222222223</v>
      </c>
      <c r="L18" s="1">
        <f>IFERROR(IF(K18=0,"",VLOOKUP($D18,PROCESSO!$B:$P,K$8,FALSE)/24)+($A$8/24)+K18,"")</f>
        <v>0.29444444444444451</v>
      </c>
      <c r="M18" s="1">
        <f>IFERROR(IF(L18=0,"",VLOOKUP($D18,PROCESSO!$B:$P,L$8,FALSE)/24)+($A$8/24)+L18,"")</f>
        <v>0.3222222222222223</v>
      </c>
      <c r="N18" s="1">
        <f>IFERROR(IF(M18=0,"",VLOOKUP($D18,PROCESSO!$B:$P,M$8,FALSE)/24)+($A$8/24)+M18,"")</f>
        <v>0.38819444444444451</v>
      </c>
      <c r="O18" s="1">
        <f>IFERROR(IF(N18=0,"",VLOOKUP($D18,PROCESSO!$B:$P,N$8,FALSE)/24)+($A$8/24)+N18,"")</f>
        <v>0.41250000000000009</v>
      </c>
      <c r="P18" s="1">
        <f>IFERROR(IF(O18=0,"",VLOOKUP($D18,PROCESSO!$B:$P,O$8,FALSE)/24)+($A$8/24)+O18,"")</f>
        <v>0.4784722222222223</v>
      </c>
      <c r="Q18" s="1">
        <f>IFERROR(IF(P18=0,"",VLOOKUP($D18,PROCESSO!$B:$P,P$8,FALSE)/24)+($A$8/24)+P18,"")</f>
        <v>0.51111111111111118</v>
      </c>
      <c r="R18" s="1">
        <f>IFERROR(IF(Q18=0,"",VLOOKUP($D18,PROCESSO!$B:$P,Q$8,FALSE)/24)+($A$8/24)+Q18,"")</f>
        <v>0.57680555555555557</v>
      </c>
      <c r="S18" s="45">
        <f>IFERROR(IFERROR(VLOOKUP(D18,PROCESSO!B:P,15,FALSE),"")/SUMIFS(C:C,A:A,A18),"")</f>
        <v>7.2766527777777767</v>
      </c>
      <c r="T18" s="45">
        <f t="shared" si="1"/>
        <v>34.927933333333335</v>
      </c>
      <c r="U18" s="45">
        <f>IFERROR(VLOOKUP(B18,RECEITAS!A:C,3,FALSE),"")</f>
        <v>4.2629144274493598</v>
      </c>
      <c r="V18" s="45">
        <f>IFERROR((U18+S18)*(1-ANALISE!$I$4),"")</f>
        <v>11.539567205227137</v>
      </c>
      <c r="W18" s="45">
        <f t="shared" si="2"/>
        <v>55.389922585090261</v>
      </c>
    </row>
    <row r="19" spans="1:23" x14ac:dyDescent="0.3">
      <c r="A19" t="s">
        <v>52</v>
      </c>
      <c r="B19" t="s">
        <v>52</v>
      </c>
      <c r="C19" s="17">
        <f>Crono_Sex!C17</f>
        <v>1.8000000000000003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0.25694444444444448</v>
      </c>
      <c r="G19" s="1">
        <f>IFERROR(IF(F19=0,"",VLOOKUP($D19,PROCESSO!$B:$P,G$8,FALSE)/24)*IFERROR(IF(#REF!&gt;$B$8,ROUNDUP(#REF!/$B$8,0),1),1)+($A$8/24)+F19,"")</f>
        <v>0.27083333333333337</v>
      </c>
      <c r="H19" s="1">
        <f t="shared" si="0"/>
        <v>0.27083333333333337</v>
      </c>
      <c r="I19" s="1">
        <f>IFERROR(IF(H19=0,"",VLOOKUP($D19,PROCESSO!$B:$P,H$8,FALSE)/24)+($A$8/24)+H19,"")</f>
        <v>0.27430555555555558</v>
      </c>
      <c r="J19" s="1">
        <f>IFERROR(IF(I19=0,"",VLOOKUP($D19,PROCESSO!$B:$P,I$8,FALSE)/24)+($A$8/24)+I19,"")</f>
        <v>0.28263888888888894</v>
      </c>
      <c r="K19" s="1">
        <f>IFERROR(IF(J19=0,"",VLOOKUP($D19,PROCESSO!$B:$P,J$8,FALSE)/24)+($A$8/24)+J19,"")</f>
        <v>0.2909722222222223</v>
      </c>
      <c r="L19" s="1">
        <f>IFERROR(IF(K19=0,"",VLOOKUP($D19,PROCESSO!$B:$P,K$8,FALSE)/24)+($A$8/24)+K19,"")</f>
        <v>0.29444444444444451</v>
      </c>
      <c r="M19" s="1">
        <f>IFERROR(IF(L19=0,"",VLOOKUP($D19,PROCESSO!$B:$P,L$8,FALSE)/24)+($A$8/24)+L19,"")</f>
        <v>0.3222222222222223</v>
      </c>
      <c r="N19" s="1">
        <f>IFERROR(IF(M19=0,"",VLOOKUP($D19,PROCESSO!$B:$P,M$8,FALSE)/24)+($A$8/24)+M19,"")</f>
        <v>0.38819444444444451</v>
      </c>
      <c r="O19" s="1">
        <f>IFERROR(IF(N19=0,"",VLOOKUP($D19,PROCESSO!$B:$P,N$8,FALSE)/24)+($A$8/24)+N19,"")</f>
        <v>0.41250000000000009</v>
      </c>
      <c r="P19" s="1">
        <f>IFERROR(IF(O19=0,"",VLOOKUP($D19,PROCESSO!$B:$P,O$8,FALSE)/24)+($A$8/24)+O19,"")</f>
        <v>0.4784722222222223</v>
      </c>
      <c r="Q19" s="1">
        <f>IFERROR(IF(P19=0,"",VLOOKUP($D19,PROCESSO!$B:$P,P$8,FALSE)/24)+($A$8/24)+P19,"")</f>
        <v>0.51111111111111118</v>
      </c>
      <c r="R19" s="1">
        <f>IFERROR(IF(Q19=0,"",VLOOKUP($D19,PROCESSO!$B:$P,Q$8,FALSE)/24)+($A$8/24)+Q19,"")</f>
        <v>0.57680555555555557</v>
      </c>
      <c r="S19" s="45">
        <f>IFERROR(IFERROR(VLOOKUP(D19,PROCESSO!B:P,15,FALSE),"")/SUMIFS(C:C,A:A,A19),"")</f>
        <v>19.404407407407405</v>
      </c>
      <c r="T19" s="45">
        <f t="shared" si="1"/>
        <v>34.927933333333335</v>
      </c>
      <c r="U19" s="45">
        <f>IFERROR(VLOOKUP(B19,RECEITAS!A:C,3,FALSE),"")</f>
        <v>2.4498411145462371</v>
      </c>
      <c r="V19" s="45">
        <f>IFERROR((U19+S19)*(1-ANALISE!$I$4),"")</f>
        <v>21.854248521953643</v>
      </c>
      <c r="W19" s="45">
        <f t="shared" si="2"/>
        <v>39.337647339516565</v>
      </c>
    </row>
    <row r="20" spans="1:23" x14ac:dyDescent="0.3">
      <c r="A20">
        <f>Crono_Sex!A18</f>
        <v>7</v>
      </c>
      <c r="B20" t="str">
        <f>Crono_Sex!B18</f>
        <v>CASEIRINHO</v>
      </c>
      <c r="C20" s="17">
        <f>Crono_Sex!C18</f>
        <v>45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0.28611111111111115</v>
      </c>
      <c r="G20" s="1">
        <f>IFERROR(IF(F20=0,"",VLOOKUP($D20,PROCESSO!$B:$P,G$8,FALSE)/24)*IFERROR(IF(#REF!&gt;$B$8,ROUNDUP(#REF!/$B$8,0),1),1)+($A$8/24)+F20,"")</f>
        <v>0.30000000000000004</v>
      </c>
      <c r="H20" s="1">
        <f t="shared" si="0"/>
        <v>0.30000000000000004</v>
      </c>
      <c r="I20" s="1">
        <f>IFERROR(IF(H20=0,"",VLOOKUP($D20,PROCESSO!$B:$P,H$8,FALSE)/24)+($A$8/24)+H20,"")</f>
        <v>0.30347222222222225</v>
      </c>
      <c r="J20" s="1">
        <f>IFERROR(IF(I20=0,"",VLOOKUP($D20,PROCESSO!$B:$P,I$8,FALSE)/24)+($A$8/24)+I20,"")</f>
        <v>0.31180555555555561</v>
      </c>
      <c r="K20" s="1">
        <f>IFERROR(IF(J20=0,"",VLOOKUP($D20,PROCESSO!$B:$P,J$8,FALSE)/24)+($A$8/24)+J20,"")</f>
        <v>0.32013888888888897</v>
      </c>
      <c r="L20" s="1">
        <f>IFERROR(IF(K20=0,"",VLOOKUP($D20,PROCESSO!$B:$P,K$8,FALSE)/24)+($A$8/24)+K20,"")</f>
        <v>0.32361111111111118</v>
      </c>
      <c r="M20" s="1">
        <f>IFERROR(IF(L20=0,"",VLOOKUP($D20,PROCESSO!$B:$P,L$8,FALSE)/24)+($A$8/24)+L20,"")</f>
        <v>0.35138888888888897</v>
      </c>
      <c r="N20" s="1">
        <f>IFERROR(IF(M20=0,"",VLOOKUP($D20,PROCESSO!$B:$P,M$8,FALSE)/24)+($A$8/24)+M20,"")</f>
        <v>0.41736111111111118</v>
      </c>
      <c r="O20" s="1">
        <f>IFERROR(IF(N20=0,"",VLOOKUP($D20,PROCESSO!$B:$P,N$8,FALSE)/24)+($A$8/24)+N20,"")</f>
        <v>0.44166666666666676</v>
      </c>
      <c r="P20" s="1">
        <f>IFERROR(IF(O20=0,"",VLOOKUP($D20,PROCESSO!$B:$P,O$8,FALSE)/24)+($A$8/24)+O20,"")</f>
        <v>0.50763888888888897</v>
      </c>
      <c r="Q20" s="1">
        <f>IFERROR(IF(P20=0,"",VLOOKUP($D20,PROCESSO!$B:$P,P$8,FALSE)/24)+($A$8/24)+P20,"")</f>
        <v>0.54027777777777786</v>
      </c>
      <c r="R20" s="1">
        <f>IFERROR(IF(Q20=0,"",VLOOKUP($D20,PROCESSO!$B:$P,Q$8,FALSE)/24)+($A$8/24)+Q20,"")</f>
        <v>0.60597222222222236</v>
      </c>
      <c r="S20" s="45">
        <f>IFERROR(IFERROR(VLOOKUP(D20,PROCESSO!B:P,15,FALSE),"")/SUMIFS(C:C,A:A,A20),"")</f>
        <v>0.77617629629629636</v>
      </c>
      <c r="T20" s="45">
        <f t="shared" si="1"/>
        <v>34.927933333333335</v>
      </c>
      <c r="U20" s="45">
        <f>IFERROR(VLOOKUP(B20,RECEITAS!A:C,3,FALSE),"")</f>
        <v>2.3235487959442338</v>
      </c>
      <c r="V20" s="45">
        <f>IFERROR((U20+S20)*(1-ANALISE!$I$4),"")</f>
        <v>3.0997250922405302</v>
      </c>
      <c r="W20" s="45">
        <f t="shared" si="2"/>
        <v>139.48762915082386</v>
      </c>
    </row>
    <row r="21" spans="1:23" x14ac:dyDescent="0.3">
      <c r="A21">
        <f>Crono_Sex!A19</f>
        <v>8</v>
      </c>
      <c r="B21" t="str">
        <f>Crono_Sex!B19</f>
        <v>CASEIRINHO</v>
      </c>
      <c r="C21" s="17">
        <f>Crono_Sex!C19</f>
        <v>45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0.31597222222222221</v>
      </c>
      <c r="G21" s="1">
        <f>IFERROR(IF(F21=0,"",VLOOKUP($D21,PROCESSO!$B:$P,G$8,FALSE)/24)*IFERROR(IF(#REF!&gt;$B$8,ROUNDUP(#REF!/$B$8,0),1),1)+($A$8/24)+F21,"")</f>
        <v>0.3298611111111111</v>
      </c>
      <c r="H21" s="1">
        <f t="shared" si="0"/>
        <v>0.3298611111111111</v>
      </c>
      <c r="I21" s="1">
        <f>IFERROR(IF(H21=0,"",VLOOKUP($D21,PROCESSO!$B:$P,H$8,FALSE)/24)+($A$8/24)+H21,"")</f>
        <v>0.33333333333333331</v>
      </c>
      <c r="J21" s="1">
        <f>IFERROR(IF(I21=0,"",VLOOKUP($D21,PROCESSO!$B:$P,I$8,FALSE)/24)+($A$8/24)+I21,"")</f>
        <v>0.34166666666666667</v>
      </c>
      <c r="K21" s="1">
        <f>IFERROR(IF(J21=0,"",VLOOKUP($D21,PROCESSO!$B:$P,J$8,FALSE)/24)+($A$8/24)+J21,"")</f>
        <v>0.35000000000000003</v>
      </c>
      <c r="L21" s="1">
        <f>IFERROR(IF(K21=0,"",VLOOKUP($D21,PROCESSO!$B:$P,K$8,FALSE)/24)+($A$8/24)+K21,"")</f>
        <v>0.35347222222222224</v>
      </c>
      <c r="M21" s="1">
        <f>IFERROR(IF(L21=0,"",VLOOKUP($D21,PROCESSO!$B:$P,L$8,FALSE)/24)+($A$8/24)+L21,"")</f>
        <v>0.38125000000000003</v>
      </c>
      <c r="N21" s="1">
        <f>IFERROR(IF(M21=0,"",VLOOKUP($D21,PROCESSO!$B:$P,M$8,FALSE)/24)+($A$8/24)+M21,"")</f>
        <v>0.44722222222222224</v>
      </c>
      <c r="O21" s="1">
        <f>IFERROR(IF(N21=0,"",VLOOKUP($D21,PROCESSO!$B:$P,N$8,FALSE)/24)+($A$8/24)+N21,"")</f>
        <v>0.47152777777777777</v>
      </c>
      <c r="P21" s="1">
        <f>IFERROR(IF(O21=0,"",VLOOKUP($D21,PROCESSO!$B:$P,O$8,FALSE)/24)+($A$8/24)+O21,"")</f>
        <v>0.53749999999999998</v>
      </c>
      <c r="Q21" s="1">
        <f>IFERROR(IF(P21=0,"",VLOOKUP($D21,PROCESSO!$B:$P,P$8,FALSE)/24)+($A$8/24)+P21,"")</f>
        <v>0.57013888888888886</v>
      </c>
      <c r="R21" s="1">
        <f>IFERROR(IF(Q21=0,"",VLOOKUP($D21,PROCESSO!$B:$P,Q$8,FALSE)/24)+($A$8/24)+Q21,"")</f>
        <v>0.63583333333333325</v>
      </c>
      <c r="S21" s="45">
        <f>IFERROR(IFERROR(VLOOKUP(D21,PROCESSO!B:P,15,FALSE),"")/SUMIFS(C:C,A:A,A21),"")</f>
        <v>0.7463233618233619</v>
      </c>
      <c r="T21" s="45">
        <f t="shared" si="1"/>
        <v>33.584551282051287</v>
      </c>
      <c r="U21" s="45">
        <f>IFERROR(VLOOKUP(B21,RECEITAS!A:C,3,FALSE),"")</f>
        <v>2.3235487959442338</v>
      </c>
      <c r="V21" s="45">
        <f>IFERROR((U21+S21)*(1-ANALISE!$I$4),"")</f>
        <v>3.0698721577675956</v>
      </c>
      <c r="W21" s="45">
        <f t="shared" si="2"/>
        <v>138.14424709954181</v>
      </c>
    </row>
    <row r="22" spans="1:23" x14ac:dyDescent="0.3">
      <c r="A22">
        <f>Crono_Sex!A20</f>
        <v>8</v>
      </c>
      <c r="B22" t="str">
        <f>Crono_Sex!B20</f>
        <v>PH BETERRABA</v>
      </c>
      <c r="C22" s="17">
        <f>Crono_Sex!C20</f>
        <v>1.8000000000000003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0.35763888888888901</v>
      </c>
      <c r="G22" s="1">
        <f>IFERROR(IF(F22=0,"",VLOOKUP($D22,PROCESSO!$B:$P,G$8,FALSE)/24)*IFERROR(IF(#REF!&gt;$B$8,ROUNDUP(#REF!/$B$8,0),1),1)+($A$8/24)+F22,"")</f>
        <v>0.3715277777777779</v>
      </c>
      <c r="H22" s="1">
        <f t="shared" si="0"/>
        <v>0.3715277777777779</v>
      </c>
      <c r="I22" s="1">
        <f>IFERROR(IF(H22=0,"",VLOOKUP($D22,PROCESSO!$B:$P,H$8,FALSE)/24)+($A$8/24)+H22,"")</f>
        <v>0.37500000000000011</v>
      </c>
      <c r="J22" s="1">
        <f>IFERROR(IF(I22=0,"",VLOOKUP($D22,PROCESSO!$B:$P,I$8,FALSE)/24)+($A$8/24)+I22,"")</f>
        <v>0.38333333333333347</v>
      </c>
      <c r="K22" s="1">
        <f>IFERROR(IF(J22=0,"",VLOOKUP($D22,PROCESSO!$B:$P,J$8,FALSE)/24)+($A$8/24)+J22,"")</f>
        <v>0.39166666666666683</v>
      </c>
      <c r="L22" s="1">
        <f>IFERROR(IF(K22=0,"",VLOOKUP($D22,PROCESSO!$B:$P,K$8,FALSE)/24)+($A$8/24)+K22,"")</f>
        <v>0.39513888888888904</v>
      </c>
      <c r="M22" s="1">
        <f>IFERROR(IF(L22=0,"",VLOOKUP($D22,PROCESSO!$B:$P,L$8,FALSE)/24)+($A$8/24)+L22,"")</f>
        <v>0.42291666666666683</v>
      </c>
      <c r="N22" s="1">
        <f>IFERROR(IF(M22=0,"",VLOOKUP($D22,PROCESSO!$B:$P,M$8,FALSE)/24)+($A$8/24)+M22,"")</f>
        <v>0.48888888888888904</v>
      </c>
      <c r="O22" s="1">
        <f>IFERROR(IF(N22=0,"",VLOOKUP($D22,PROCESSO!$B:$P,N$8,FALSE)/24)+($A$8/24)+N22,"")</f>
        <v>0.51319444444444462</v>
      </c>
      <c r="P22" s="1">
        <f>IFERROR(IF(O22=0,"",VLOOKUP($D22,PROCESSO!$B:$P,O$8,FALSE)/24)+($A$8/24)+O22,"")</f>
        <v>0.57916666666666683</v>
      </c>
      <c r="Q22" s="1">
        <f>IFERROR(IF(P22=0,"",VLOOKUP($D22,PROCESSO!$B:$P,P$8,FALSE)/24)+($A$8/24)+P22,"")</f>
        <v>0.61180555555555571</v>
      </c>
      <c r="R22" s="1">
        <f>IFERROR(IF(Q22=0,"",VLOOKUP($D22,PROCESSO!$B:$P,Q$8,FALSE)/24)+($A$8/24)+Q22,"")</f>
        <v>0.67750000000000021</v>
      </c>
      <c r="S22" s="45">
        <f>IFERROR(IFERROR(VLOOKUP(D22,PROCESSO!B:P,15,FALSE),"")/SUMIFS(C:C,A:A,A22),"")</f>
        <v>0.7463233618233619</v>
      </c>
      <c r="T22" s="45">
        <f t="shared" si="1"/>
        <v>1.3433820512820516</v>
      </c>
      <c r="U22" s="45">
        <f>IFERROR(VLOOKUP(B22,RECEITAS!A:C,3,FALSE),"")</f>
        <v>2.3235487959442338</v>
      </c>
      <c r="V22" s="45">
        <f>IFERROR((U22+S22)*(1-ANALISE!$I$4),"")</f>
        <v>3.0698721577675956</v>
      </c>
      <c r="W22" s="45">
        <f t="shared" si="2"/>
        <v>5.5257698839816731</v>
      </c>
    </row>
    <row r="23" spans="1:23" x14ac:dyDescent="0.3">
      <c r="A23">
        <f>Crono_Sex!A21</f>
        <v>0</v>
      </c>
      <c r="B23">
        <f>Crono_Sex!B21</f>
        <v>0</v>
      </c>
      <c r="C23" s="17">
        <f>Crono_Sex!C21</f>
        <v>0</v>
      </c>
      <c r="D23" t="str">
        <f>IFERROR(VLOOKUP(B23,RECEITAS!A:C,$D$7,FALSE),"")</f>
        <v/>
      </c>
      <c r="E23" s="1" t="str">
        <f>IFERROR(E22+(VLOOKUP($D23,PROCESSO!$B:$P,AP_CRONO_Sex!E$8,FALSE)/24),"")</f>
        <v/>
      </c>
      <c r="F23" s="1">
        <f>Crono_Sex!E21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0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1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2"/>
        <v/>
      </c>
    </row>
    <row r="24" spans="1:23" x14ac:dyDescent="0.3">
      <c r="A24">
        <f>Crono_Sex!A22</f>
        <v>0</v>
      </c>
      <c r="B24">
        <f>Crono_Sex!B22</f>
        <v>0</v>
      </c>
      <c r="C24" s="17">
        <f>Crono_Sex!C22</f>
        <v>0</v>
      </c>
      <c r="D24" t="str">
        <f>IFERROR(VLOOKUP(B24,RECEITAS!A:C,$D$7,FALSE),"")</f>
        <v/>
      </c>
      <c r="E24" s="1" t="str">
        <f>IFERROR(E23+(VLOOKUP($D24,PROCESSO!$B:$P,AP_CRONO_Sex!E$8,FALSE)/24),"")</f>
        <v/>
      </c>
      <c r="F24" s="1">
        <f>Crono_Sex!E22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1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2"/>
        <v/>
      </c>
    </row>
    <row r="25" spans="1:23" x14ac:dyDescent="0.3">
      <c r="A25">
        <f>Crono_Sex!A23</f>
        <v>0</v>
      </c>
      <c r="B25">
        <f>Crono_Sex!B23</f>
        <v>0</v>
      </c>
      <c r="C25" s="17">
        <f>Crono_Sex!C23</f>
        <v>0</v>
      </c>
      <c r="D25" t="str">
        <f>IFERROR(VLOOKUP(B25,RECEITAS!A:C,$D$7,FALSE),"")</f>
        <v/>
      </c>
      <c r="E25" s="1" t="str">
        <f>IFERROR(E24+(VLOOKUP($D25,PROCESSO!$B:$P,AP_CRONO_Sex!E$8,FALSE)/24),"")</f>
        <v/>
      </c>
      <c r="F25" s="1">
        <f>Crono_Sex!E23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1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2"/>
        <v/>
      </c>
    </row>
    <row r="26" spans="1:23" x14ac:dyDescent="0.3">
      <c r="A26">
        <f>Crono_Sex!A24</f>
        <v>0</v>
      </c>
      <c r="B26">
        <f>Crono_Sex!B24</f>
        <v>0</v>
      </c>
      <c r="C26" s="17">
        <f>Crono_Sex!C24</f>
        <v>0</v>
      </c>
      <c r="D26" t="str">
        <f>IFERROR(VLOOKUP(B26,RECEITAS!A:C,$D$7,FALSE),"")</f>
        <v/>
      </c>
      <c r="E26" s="1" t="str">
        <f>IFERROR(E25+(VLOOKUP($D26,PROCESSO!$B:$P,AP_CRONO_Sex!E$8,FALSE)/24),"")</f>
        <v/>
      </c>
      <c r="F26" s="1">
        <f>Crono_Sex!E24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1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2"/>
        <v/>
      </c>
    </row>
    <row r="27" spans="1:23" x14ac:dyDescent="0.3">
      <c r="A27">
        <f>Crono_Sex!A25</f>
        <v>0</v>
      </c>
      <c r="B27">
        <f>Crono_Sex!B25</f>
        <v>0</v>
      </c>
      <c r="C27" s="17">
        <f>Crono_Sex!C25</f>
        <v>0</v>
      </c>
      <c r="D27" t="str">
        <f>IFERROR(VLOOKUP(B27,RECEITAS!A:C,$D$7,FALSE),"")</f>
        <v/>
      </c>
      <c r="E27" s="1" t="str">
        <f>IFERROR(E26+(VLOOKUP($D27,PROCESSO!$B:$P,AP_CRONO_Sex!E$8,FALSE)/24),"")</f>
        <v/>
      </c>
      <c r="F27" s="1">
        <f>Crono_Sex!E25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1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2"/>
        <v/>
      </c>
    </row>
    <row r="28" spans="1:23" x14ac:dyDescent="0.3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1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2"/>
        <v/>
      </c>
    </row>
    <row r="29" spans="1:23" x14ac:dyDescent="0.3"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1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2"/>
        <v/>
      </c>
    </row>
    <row r="30" spans="1:23" x14ac:dyDescent="0.3"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1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2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0"/>
  <sheetViews>
    <sheetView zoomScaleNormal="100" workbookViewId="0">
      <selection activeCell="B23" sqref="B23"/>
    </sheetView>
  </sheetViews>
  <sheetFormatPr defaultRowHeight="14.4" x14ac:dyDescent="0.3"/>
  <cols>
    <col min="1" max="1" width="17" bestFit="1" customWidth="1"/>
    <col min="2" max="2" width="31.33203125" bestFit="1" customWidth="1"/>
    <col min="3" max="3" width="9.21875" customWidth="1"/>
    <col min="4" max="4" width="10.33203125" bestFit="1" customWidth="1"/>
    <col min="8" max="8" width="10.33203125" customWidth="1"/>
    <col min="9" max="9" width="7.77734375" bestFit="1" customWidth="1"/>
    <col min="11" max="11" width="9.6640625" customWidth="1"/>
    <col min="15" max="15" width="14.109375" bestFit="1" customWidth="1"/>
    <col min="19" max="19" width="10.6640625" bestFit="1" customWidth="1"/>
    <col min="20" max="20" width="15.6640625" bestFit="1" customWidth="1"/>
  </cols>
  <sheetData>
    <row r="7" spans="1:23" x14ac:dyDescent="0.3">
      <c r="A7" t="s">
        <v>86</v>
      </c>
      <c r="D7">
        <v>2</v>
      </c>
    </row>
    <row r="8" spans="1:23" x14ac:dyDescent="0.3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2" customHeight="1" x14ac:dyDescent="0.3">
      <c r="A9" s="22" t="s">
        <v>85</v>
      </c>
      <c r="B9" s="22" t="s">
        <v>19</v>
      </c>
      <c r="E9" s="23" t="s">
        <v>1</v>
      </c>
      <c r="F9" s="34" t="s">
        <v>124</v>
      </c>
      <c r="G9" s="34" t="s">
        <v>125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126</v>
      </c>
      <c r="R9" s="23" t="s">
        <v>127</v>
      </c>
      <c r="S9" s="22" t="s">
        <v>174</v>
      </c>
      <c r="T9" s="22" t="s">
        <v>175</v>
      </c>
      <c r="U9" s="22" t="s">
        <v>176</v>
      </c>
      <c r="V9" s="22" t="s">
        <v>177</v>
      </c>
      <c r="W9" s="22" t="s">
        <v>178</v>
      </c>
    </row>
    <row r="10" spans="1:23" x14ac:dyDescent="0.3">
      <c r="A10">
        <f>Crono_Sab!A8</f>
        <v>1</v>
      </c>
      <c r="B10" t="str">
        <f>Crono_Sab!B8</f>
        <v>P. AO LEVAIN</v>
      </c>
      <c r="C10" s="17">
        <f>Crono_Sab!C8</f>
        <v>10.5</v>
      </c>
      <c r="D10" t="str">
        <f>IFERROR(VLOOKUP(B10,RECEITAS!A:C,$D$7,FALSE),"")</f>
        <v>RÚSTICO</v>
      </c>
      <c r="E10" s="1">
        <f>IFERROR(D8+(VLOOKUP($D10,PROCESSO!$B:$P,AP_CRONO_Sab!E$8,FALSE)/24),"")</f>
        <v>0.19305555555555556</v>
      </c>
      <c r="F10" s="1">
        <f>Crono_Sab!E8</f>
        <v>0.19444444444444445</v>
      </c>
      <c r="G10" s="1">
        <f>IFERROR(IF(F10=0,"",VLOOKUP($D10,PROCESSO!$B:$P,G$8,FALSE)/24)*IFERROR(IF(#REF!&gt;$B$8,ROUNDUP(#REF!/$B$8,0),1),1)+($A$8/24)+F10,"")</f>
        <v>0.20833333333333334</v>
      </c>
      <c r="H10" s="1">
        <f>G10</f>
        <v>0.20833333333333334</v>
      </c>
      <c r="I10" s="1">
        <f>IFERROR(IF(H10=0,"",VLOOKUP($D10,PROCESSO!$B:$P,H$8,FALSE)/24)+($A$8/24)+H10,"")</f>
        <v>0.21180555555555555</v>
      </c>
      <c r="J10" s="1">
        <f>IFERROR(IF(I10=0,"",VLOOKUP($D10,PROCESSO!$B:$P,I$8,FALSE)/24)+($A$8/24)+I10,"")</f>
        <v>0.25694444444444442</v>
      </c>
      <c r="K10" s="1">
        <f>IFERROR(IF(J10=0,"",VLOOKUP($D10,PROCESSO!$B:$P,J$8,FALSE)/24)+($A$8/24)+J10,"")</f>
        <v>0.27777777777777773</v>
      </c>
      <c r="L10" s="1">
        <f>IFERROR(IF(K10=0,"",VLOOKUP($D10,PROCESSO!$B:$P,K$8,FALSE)/24)+($A$8/24)+K10,"")</f>
        <v>0.30902777777777773</v>
      </c>
      <c r="M10" s="1">
        <f>IFERROR(IF(L10=0,"",VLOOKUP($D10,PROCESSO!$B:$P,L$8,FALSE)/24)+($A$8/24)+L10,"")</f>
        <v>0.32986111111111105</v>
      </c>
      <c r="N10" s="1">
        <f>IFERROR(IF(M10=0,"",VLOOKUP($D10,PROCESSO!$B:$P,M$8,FALSE)/24)+($A$8/24)+M10,"")</f>
        <v>0.37499999999999994</v>
      </c>
      <c r="O10" s="1">
        <f>IFERROR(IF(N10=0,"",VLOOKUP($D10,PROCESSO!$B:$P,N$8,FALSE)/24)+($A$8/24)+N10,"")</f>
        <v>0.40624999999999994</v>
      </c>
      <c r="P10" s="1">
        <f>IFERROR(IF(O10=0,"",VLOOKUP($D10,PROCESSO!$B:$P,O$8,FALSE)/24)+($A$8/24)+O10,"")</f>
        <v>0.47222222222222215</v>
      </c>
      <c r="Q10" s="1">
        <f>IFERROR(IF(P10=0,"",VLOOKUP($D10,PROCESSO!$B:$P,P$8,FALSE)/24)+($A$8/24)+P10,"")</f>
        <v>0.47569444444444436</v>
      </c>
      <c r="R10" s="1">
        <f>IFERROR(IF(Q10=0,"",VLOOKUP($D10,PROCESSO!$B:$P,Q$8,FALSE)/24)+($A$8/24)+Q10,"")</f>
        <v>0.54861111111111105</v>
      </c>
      <c r="S10" s="45">
        <f>IFERROR(IFERROR(VLOOKUP(D10,PROCESSO!B:P,15,FALSE),"")/SUMIFS(C:C,A:A,A10),"")</f>
        <v>3.562103174603175</v>
      </c>
      <c r="T10" s="45">
        <f>IFERROR(S10*C10,"")</f>
        <v>37.402083333333337</v>
      </c>
      <c r="U10" s="45">
        <f>IFERROR(VLOOKUP(B10,RECEITAS!A:C,3,FALSE),"")</f>
        <v>2.3235487959442338</v>
      </c>
      <c r="V10" s="45">
        <f>IFERROR((U10+S10)*(1-ANALISE!$I$4),"")</f>
        <v>5.8856519705474089</v>
      </c>
      <c r="W10" s="45">
        <f>IFERROR(V10*C10,"")</f>
        <v>61.799345690747792</v>
      </c>
    </row>
    <row r="11" spans="1:23" x14ac:dyDescent="0.3">
      <c r="A11">
        <f>Crono_Sab!A9</f>
        <v>2</v>
      </c>
      <c r="B11" t="str">
        <f>Crono_Sab!B9</f>
        <v>BROWN</v>
      </c>
      <c r="C11" s="17">
        <f>Crono_Sab!C9</f>
        <v>1.44</v>
      </c>
      <c r="D11" t="str">
        <f>IFERROR(VLOOKUP(B11,RECEITAS!A:C,$D$7,FALSE),"")</f>
        <v>DIRETO</v>
      </c>
      <c r="E11" s="1">
        <f>IFERROR(E10+(VLOOKUP($D11,PROCESSO!$B:$P,AP_CRONO_Sab!E$8,FALSE)/24),"")</f>
        <v>0.19861111111111113</v>
      </c>
      <c r="F11" s="1">
        <f>Crono_Sab!E9</f>
        <v>0.20833333333333334</v>
      </c>
      <c r="G11" s="1">
        <f>IFERROR(IF(F11=0,"",VLOOKUP($D11,PROCESSO!$B:$P,G$8,FALSE)/24)*IFERROR(IF(#REF!&gt;$B$8,ROUNDUP(#REF!/$B$8,0),1),1)+($A$8/24)+F11,"")</f>
        <v>0.22222222222222224</v>
      </c>
      <c r="H11" s="1">
        <f t="shared" ref="H11:H30" si="0">G11</f>
        <v>0.22222222222222224</v>
      </c>
      <c r="I11" s="1">
        <f>IFERROR(IF(H11=0,"",VLOOKUP($D11,PROCESSO!$B:$P,H$8,FALSE)/24)+($A$8/24)+H11,"")</f>
        <v>0.22569444444444445</v>
      </c>
      <c r="J11" s="1">
        <f>IFERROR(IF(I11=0,"",VLOOKUP($D11,PROCESSO!$B:$P,I$8,FALSE)/24)+($A$8/24)+I11,"")</f>
        <v>0.23402777777777778</v>
      </c>
      <c r="K11" s="1">
        <f>IFERROR(IF(J11=0,"",VLOOKUP($D11,PROCESSO!$B:$P,J$8,FALSE)/24)+($A$8/24)+J11,"")</f>
        <v>0.24236111111111111</v>
      </c>
      <c r="L11" s="1">
        <f>IFERROR(IF(K11=0,"",VLOOKUP($D11,PROCESSO!$B:$P,K$8,FALSE)/24)+($A$8/24)+K11,"")</f>
        <v>0.24583333333333332</v>
      </c>
      <c r="M11" s="1">
        <f>IFERROR(IF(L11=0,"",VLOOKUP($D11,PROCESSO!$B:$P,L$8,FALSE)/24)+($A$8/24)+L11,"")</f>
        <v>0.27361111111111108</v>
      </c>
      <c r="N11" s="1">
        <f>IFERROR(IF(M11=0,"",VLOOKUP($D11,PROCESSO!$B:$P,M$8,FALSE)/24)+($A$8/24)+M11,"")</f>
        <v>0.33958333333333329</v>
      </c>
      <c r="O11" s="1">
        <f>IFERROR(IF(N11=0,"",VLOOKUP($D11,PROCESSO!$B:$P,N$8,FALSE)/24)+($A$8/24)+N11,"")</f>
        <v>0.36388888888888882</v>
      </c>
      <c r="P11" s="1">
        <f>IFERROR(IF(O11=0,"",VLOOKUP($D11,PROCESSO!$B:$P,O$8,FALSE)/24)+($A$8/24)+O11,"")</f>
        <v>0.42986111111111103</v>
      </c>
      <c r="Q11" s="1">
        <f>IFERROR(IF(P11=0,"",VLOOKUP($D11,PROCESSO!$B:$P,P$8,FALSE)/24)+($A$8/24)+P11,"")</f>
        <v>0.46249999999999991</v>
      </c>
      <c r="R11" s="1">
        <f>IFERROR(IF(Q11=0,"",VLOOKUP($D11,PROCESSO!$B:$P,Q$8,FALSE)/24)+($A$8/24)+Q11,"")</f>
        <v>0.52819444444444441</v>
      </c>
      <c r="S11" s="45">
        <f>IFERROR(IFERROR(VLOOKUP(D11,PROCESSO!B:P,15,FALSE),"")/SUMIFS(C:C,A:A,A11),"")</f>
        <v>24.255509259259263</v>
      </c>
      <c r="T11" s="45">
        <f t="shared" ref="T11:T22" si="1">IFERROR(S11*C11,"")</f>
        <v>34.927933333333335</v>
      </c>
      <c r="U11" s="45">
        <f>IFERROR(VLOOKUP(B11,RECEITAS!A:C,3,FALSE),"")</f>
        <v>2.3452338811630851</v>
      </c>
      <c r="V11" s="45">
        <f>IFERROR((U11+S11)*(1-ANALISE!$I$4),"")</f>
        <v>26.600743140422349</v>
      </c>
      <c r="W11" s="45">
        <f t="shared" ref="W11:W22" si="2">IFERROR(V11*C11,"")</f>
        <v>38.305070122208178</v>
      </c>
    </row>
    <row r="12" spans="1:23" x14ac:dyDescent="0.3">
      <c r="A12">
        <f>Crono_Sab!A10</f>
        <v>3</v>
      </c>
      <c r="B12" t="str">
        <f>Crono_Sab!B10</f>
        <v>PIZZA PAN</v>
      </c>
      <c r="C12" s="17">
        <f>Crono_Sab!C10</f>
        <v>0.60000000000000009</v>
      </c>
      <c r="D12" t="str">
        <f>IFERROR(VLOOKUP(B12,RECEITAS!A:C,$D$7,FALSE),"")</f>
        <v>RÚSTICO</v>
      </c>
      <c r="E12" s="1">
        <f>IFERROR(E11+(VLOOKUP($D12,PROCESSO!$B:$P,AP_CRONO_Sab!E$8,FALSE)/24),"")</f>
        <v>0.20416666666666669</v>
      </c>
      <c r="F12" s="1">
        <f>Crono_Sab!E10</f>
        <v>0.21875</v>
      </c>
      <c r="G12" s="1">
        <f>IFERROR(IF(F12=0,"",VLOOKUP($D12,PROCESSO!$B:$P,G$8,FALSE)/24)*IFERROR(IF(#REF!&gt;$B$8,ROUNDUP(#REF!/$B$8,0),1),1)+($A$8/24)+F12,"")</f>
        <v>0.2326388888888889</v>
      </c>
      <c r="H12" s="1">
        <f t="shared" si="0"/>
        <v>0.2326388888888889</v>
      </c>
      <c r="I12" s="1">
        <f>IFERROR(IF(H12=0,"",VLOOKUP($D12,PROCESSO!$B:$P,H$8,FALSE)/24)+($A$8/24)+H12,"")</f>
        <v>0.2361111111111111</v>
      </c>
      <c r="J12" s="1">
        <f>IFERROR(IF(I12=0,"",VLOOKUP($D12,PROCESSO!$B:$P,I$8,FALSE)/24)+($A$8/24)+I12,"")</f>
        <v>0.28125</v>
      </c>
      <c r="K12" s="1">
        <f>IFERROR(IF(J12=0,"",VLOOKUP($D12,PROCESSO!$B:$P,J$8,FALSE)/24)+($A$8/24)+J12,"")</f>
        <v>0.30208333333333331</v>
      </c>
      <c r="L12" s="1">
        <f>IFERROR(IF(K12=0,"",VLOOKUP($D12,PROCESSO!$B:$P,K$8,FALSE)/24)+($A$8/24)+K12,"")</f>
        <v>0.33333333333333331</v>
      </c>
      <c r="M12" s="1">
        <f>IFERROR(IF(L12=0,"",VLOOKUP($D12,PROCESSO!$B:$P,L$8,FALSE)/24)+($A$8/24)+L12,"")</f>
        <v>0.35416666666666663</v>
      </c>
      <c r="N12" s="1">
        <f>IFERROR(IF(M12=0,"",VLOOKUP($D12,PROCESSO!$B:$P,M$8,FALSE)/24)+($A$8/24)+M12,"")</f>
        <v>0.39930555555555552</v>
      </c>
      <c r="O12" s="1">
        <f>IFERROR(IF(N12=0,"",VLOOKUP($D12,PROCESSO!$B:$P,N$8,FALSE)/24)+($A$8/24)+N12,"")</f>
        <v>0.43055555555555552</v>
      </c>
      <c r="P12" s="1">
        <f>IFERROR(IF(O12=0,"",VLOOKUP($D12,PROCESSO!$B:$P,O$8,FALSE)/24)+($A$8/24)+O12,"")</f>
        <v>0.49652777777777773</v>
      </c>
      <c r="Q12" s="1">
        <f>IFERROR(IF(P12=0,"",VLOOKUP($D12,PROCESSO!$B:$P,P$8,FALSE)/24)+($A$8/24)+P12,"")</f>
        <v>0.49999999999999994</v>
      </c>
      <c r="R12" s="1">
        <f>IFERROR(IF(Q12=0,"",VLOOKUP($D12,PROCESSO!$B:$P,Q$8,FALSE)/24)+($A$8/24)+Q12,"")</f>
        <v>0.57291666666666663</v>
      </c>
      <c r="S12" s="45">
        <f>IFERROR(IFERROR(VLOOKUP(D12,PROCESSO!B:P,15,FALSE),"")/SUMIFS(C:C,A:A,A12),"")</f>
        <v>62.33680555555555</v>
      </c>
      <c r="T12" s="45">
        <f t="shared" si="1"/>
        <v>37.402083333333337</v>
      </c>
      <c r="U12" s="45">
        <f>IFERROR(VLOOKUP(B12,RECEITAS!A:C,3,FALSE),"")</f>
        <v>2.4490459229898076</v>
      </c>
      <c r="V12" s="45">
        <f>IFERROR((U12+S12)*(1-ANALISE!$I$4),"")</f>
        <v>64.785851478545354</v>
      </c>
      <c r="W12" s="45">
        <f t="shared" si="2"/>
        <v>38.871510887127215</v>
      </c>
    </row>
    <row r="13" spans="1:23" x14ac:dyDescent="0.3">
      <c r="A13">
        <f>Crono_Sab!A11</f>
        <v>4</v>
      </c>
      <c r="B13" t="str">
        <f>Crono_Sab!B11</f>
        <v>BRIOCHE MARGARINA</v>
      </c>
      <c r="C13" s="17">
        <f>Crono_Sab!C11</f>
        <v>21.6</v>
      </c>
      <c r="D13" t="str">
        <f>IFERROR(VLOOKUP(B13,RECEITAS!A:C,$D$7,FALSE),"")</f>
        <v>DIRETO</v>
      </c>
      <c r="E13" s="1">
        <f>IFERROR(E12+(VLOOKUP($D13,PROCESSO!$B:$P,AP_CRONO_Sab!E$8,FALSE)/24),"")</f>
        <v>0.20972222222222225</v>
      </c>
      <c r="F13" s="1">
        <f>Crono_Sab!E11</f>
        <v>0.22708333333333333</v>
      </c>
      <c r="G13" s="1">
        <f>IFERROR(IF(F13=0,"",VLOOKUP($D13,PROCESSO!$B:$P,G$8,FALSE)/24)*IFERROR(IF(#REF!&gt;$B$8,ROUNDUP(#REF!/$B$8,0),1),1)+($A$8/24)+F13,"")</f>
        <v>0.24097222222222223</v>
      </c>
      <c r="H13" s="1">
        <f t="shared" si="0"/>
        <v>0.24097222222222223</v>
      </c>
      <c r="I13" s="1">
        <f>IFERROR(IF(H13=0,"",VLOOKUP($D13,PROCESSO!$B:$P,H$8,FALSE)/24)+($A$8/24)+H13,"")</f>
        <v>0.24444444444444444</v>
      </c>
      <c r="J13" s="1">
        <f>IFERROR(IF(I13=0,"",VLOOKUP($D13,PROCESSO!$B:$P,I$8,FALSE)/24)+($A$8/24)+I13,"")</f>
        <v>0.25277777777777777</v>
      </c>
      <c r="K13" s="1">
        <f>IFERROR(IF(J13=0,"",VLOOKUP($D13,PROCESSO!$B:$P,J$8,FALSE)/24)+($A$8/24)+J13,"")</f>
        <v>0.26111111111111113</v>
      </c>
      <c r="L13" s="1">
        <f>IFERROR(IF(K13=0,"",VLOOKUP($D13,PROCESSO!$B:$P,K$8,FALSE)/24)+($A$8/24)+K13,"")</f>
        <v>0.26458333333333334</v>
      </c>
      <c r="M13" s="1">
        <f>IFERROR(IF(L13=0,"",VLOOKUP($D13,PROCESSO!$B:$P,L$8,FALSE)/24)+($A$8/24)+L13,"")</f>
        <v>0.29236111111111113</v>
      </c>
      <c r="N13" s="1">
        <f>IFERROR(IF(M13=0,"",VLOOKUP($D13,PROCESSO!$B:$P,M$8,FALSE)/24)+($A$8/24)+M13,"")</f>
        <v>0.35833333333333334</v>
      </c>
      <c r="O13" s="1">
        <f>IFERROR(IF(N13=0,"",VLOOKUP($D13,PROCESSO!$B:$P,N$8,FALSE)/24)+($A$8/24)+N13,"")</f>
        <v>0.38263888888888886</v>
      </c>
      <c r="P13" s="1">
        <f>IFERROR(IF(O13=0,"",VLOOKUP($D13,PROCESSO!$B:$P,O$8,FALSE)/24)+($A$8/24)+O13,"")</f>
        <v>0.44861111111111107</v>
      </c>
      <c r="Q13" s="1">
        <f>IFERROR(IF(P13=0,"",VLOOKUP($D13,PROCESSO!$B:$P,P$8,FALSE)/24)+($A$8/24)+P13,"")</f>
        <v>0.48124999999999996</v>
      </c>
      <c r="R13" s="1">
        <f>IFERROR(IF(Q13=0,"",VLOOKUP($D13,PROCESSO!$B:$P,Q$8,FALSE)/24)+($A$8/24)+Q13,"")</f>
        <v>0.54694444444444446</v>
      </c>
      <c r="S13" s="45">
        <f>IFERROR(IFERROR(VLOOKUP(D13,PROCESSO!B:P,15,FALSE),"")/SUMIFS(C:C,A:A,A13),"")</f>
        <v>1.6170339506172839</v>
      </c>
      <c r="T13" s="45">
        <f t="shared" si="1"/>
        <v>34.927933333333335</v>
      </c>
      <c r="U13" s="45">
        <f>IFERROR(VLOOKUP(B13,RECEITAS!A:C,3,FALSE),"")</f>
        <v>2.8395295247239574</v>
      </c>
      <c r="V13" s="45">
        <f>IFERROR((U13+S13)*(1-ANALISE!$I$4),"")</f>
        <v>4.4565634753412411</v>
      </c>
      <c r="W13" s="45">
        <f t="shared" si="2"/>
        <v>96.261771067370816</v>
      </c>
    </row>
    <row r="14" spans="1:23" x14ac:dyDescent="0.3">
      <c r="A14">
        <f>Crono_Sab!A12</f>
        <v>5</v>
      </c>
      <c r="B14" t="str">
        <f>Crono_Sab!B12</f>
        <v>AMANTEIGADO</v>
      </c>
      <c r="C14" s="17">
        <f>Crono_Sab!C12</f>
        <v>9.6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0.26041666666666669</v>
      </c>
      <c r="G14" s="1">
        <f>IFERROR(IF(F14=0,"",VLOOKUP($D14,PROCESSO!$B:$P,G$8,FALSE)/24)*IFERROR(IF(#REF!&gt;$B$8,ROUNDUP(#REF!/$B$8,0),1),1)+($A$8/24)+F14,"")</f>
        <v>0.27430555555555558</v>
      </c>
      <c r="H14" s="1">
        <f t="shared" si="0"/>
        <v>0.27430555555555558</v>
      </c>
      <c r="I14" s="1">
        <f>IFERROR(IF(H14=0,"",VLOOKUP($D14,PROCESSO!$B:$P,H$8,FALSE)/24)+($A$8/24)+H14,"")</f>
        <v>0.27777777777777779</v>
      </c>
      <c r="J14" s="1">
        <f>IFERROR(IF(I14=0,"",VLOOKUP($D14,PROCESSO!$B:$P,I$8,FALSE)/24)+($A$8/24)+I14,"")</f>
        <v>0.28611111111111115</v>
      </c>
      <c r="K14" s="1">
        <f>IFERROR(IF(J14=0,"",VLOOKUP($D14,PROCESSO!$B:$P,J$8,FALSE)/24)+($A$8/24)+J14,"")</f>
        <v>0.29444444444444451</v>
      </c>
      <c r="L14" s="1">
        <f>IFERROR(IF(K14=0,"",VLOOKUP($D14,PROCESSO!$B:$P,K$8,FALSE)/24)+($A$8/24)+K14,"")</f>
        <v>0.29791666666666672</v>
      </c>
      <c r="M14" s="1">
        <f>IFERROR(IF(L14=0,"",VLOOKUP($D14,PROCESSO!$B:$P,L$8,FALSE)/24)+($A$8/24)+L14,"")</f>
        <v>0.32569444444444451</v>
      </c>
      <c r="N14" s="1">
        <f>IFERROR(IF(M14=0,"",VLOOKUP($D14,PROCESSO!$B:$P,M$8,FALSE)/24)+($A$8/24)+M14,"")</f>
        <v>0.39166666666666672</v>
      </c>
      <c r="O14" s="1">
        <f>IFERROR(IF(N14=0,"",VLOOKUP($D14,PROCESSO!$B:$P,N$8,FALSE)/24)+($A$8/24)+N14,"")</f>
        <v>0.4159722222222223</v>
      </c>
      <c r="P14" s="1">
        <f>IFERROR(IF(O14=0,"",VLOOKUP($D14,PROCESSO!$B:$P,O$8,FALSE)/24)+($A$8/24)+O14,"")</f>
        <v>0.48194444444444451</v>
      </c>
      <c r="Q14" s="1">
        <f>IFERROR(IF(P14=0,"",VLOOKUP($D14,PROCESSO!$B:$P,P$8,FALSE)/24)+($A$8/24)+P14,"")</f>
        <v>0.51458333333333339</v>
      </c>
      <c r="R14" s="1">
        <f>IFERROR(IF(Q14=0,"",VLOOKUP($D14,PROCESSO!$B:$P,Q$8,FALSE)/24)+($A$8/24)+Q14,"")</f>
        <v>0.58027777777777789</v>
      </c>
      <c r="S14" s="45">
        <f>IFERROR(IFERROR(VLOOKUP(D14,PROCESSO!B:P,15,FALSE),"")/SUMIFS(C:C,A:A,A14),"")</f>
        <v>3.6383263888888893</v>
      </c>
      <c r="T14" s="45">
        <f t="shared" si="1"/>
        <v>34.927933333333335</v>
      </c>
      <c r="U14" s="45">
        <f>IFERROR(VLOOKUP(B14,RECEITAS!A:C,3,FALSE),"")</f>
        <v>1.8031880400301454</v>
      </c>
      <c r="V14" s="45">
        <f>IFERROR((U14+S14)*(1-ANALISE!$I$4),"")</f>
        <v>5.4415144289190351</v>
      </c>
      <c r="W14" s="45">
        <f t="shared" si="2"/>
        <v>52.238538517622736</v>
      </c>
    </row>
    <row r="15" spans="1:23" x14ac:dyDescent="0.3">
      <c r="A15">
        <f>Crono_Sab!A13</f>
        <v>6</v>
      </c>
      <c r="B15" t="str">
        <f>Crono_Sab!B13</f>
        <v>AUSTRALIANO</v>
      </c>
      <c r="C15" s="17">
        <f>Crono_Sab!C13</f>
        <v>34.200000000000003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0.28125</v>
      </c>
      <c r="G15" s="1">
        <f>IFERROR(IF(F15=0,"",VLOOKUP($D15,PROCESSO!$B:$P,G$8,FALSE)/24)*IFERROR(IF(#REF!&gt;$B$8,ROUNDUP(#REF!/$B$8,0),1),1)+($A$8/24)+F15,"")</f>
        <v>0.2951388888888889</v>
      </c>
      <c r="H15" s="1">
        <f t="shared" si="0"/>
        <v>0.2951388888888889</v>
      </c>
      <c r="I15" s="1">
        <f>IFERROR(IF(H15=0,"",VLOOKUP($D15,PROCESSO!$B:$P,H$8,FALSE)/24)+($A$8/24)+H15,"")</f>
        <v>0.2986111111111111</v>
      </c>
      <c r="J15" s="1">
        <f>IFERROR(IF(I15=0,"",VLOOKUP($D15,PROCESSO!$B:$P,I$8,FALSE)/24)+($A$8/24)+I15,"")</f>
        <v>0.30694444444444446</v>
      </c>
      <c r="K15" s="1">
        <f>IFERROR(IF(J15=0,"",VLOOKUP($D15,PROCESSO!$B:$P,J$8,FALSE)/24)+($A$8/24)+J15,"")</f>
        <v>0.31527777777777782</v>
      </c>
      <c r="L15" s="1">
        <f>IFERROR(IF(K15=0,"",VLOOKUP($D15,PROCESSO!$B:$P,K$8,FALSE)/24)+($A$8/24)+K15,"")</f>
        <v>0.31875000000000003</v>
      </c>
      <c r="M15" s="1">
        <f>IFERROR(IF(L15=0,"",VLOOKUP($D15,PROCESSO!$B:$P,L$8,FALSE)/24)+($A$8/24)+L15,"")</f>
        <v>0.34652777777777782</v>
      </c>
      <c r="N15" s="1">
        <f>IFERROR(IF(M15=0,"",VLOOKUP($D15,PROCESSO!$B:$P,M$8,FALSE)/24)+($A$8/24)+M15,"")</f>
        <v>0.41250000000000003</v>
      </c>
      <c r="O15" s="1">
        <f>IFERROR(IF(N15=0,"",VLOOKUP($D15,PROCESSO!$B:$P,N$8,FALSE)/24)+($A$8/24)+N15,"")</f>
        <v>0.43680555555555556</v>
      </c>
      <c r="P15" s="1">
        <f>IFERROR(IF(O15=0,"",VLOOKUP($D15,PROCESSO!$B:$P,O$8,FALSE)/24)+($A$8/24)+O15,"")</f>
        <v>0.50277777777777777</v>
      </c>
      <c r="Q15" s="1">
        <f>IFERROR(IF(P15=0,"",VLOOKUP($D15,PROCESSO!$B:$P,P$8,FALSE)/24)+($A$8/24)+P15,"")</f>
        <v>0.53541666666666665</v>
      </c>
      <c r="R15" s="1">
        <f>IFERROR(IF(Q15=0,"",VLOOKUP($D15,PROCESSO!$B:$P,Q$8,FALSE)/24)+($A$8/24)+Q15,"")</f>
        <v>0.60111111111111115</v>
      </c>
      <c r="S15" s="45">
        <f>IFERROR(IFERROR(VLOOKUP(D15,PROCESSO!B:P,15,FALSE),"")/SUMIFS(C:C,A:A,A15),"")</f>
        <v>1.0212846003898635</v>
      </c>
      <c r="T15" s="45">
        <f t="shared" si="1"/>
        <v>34.927933333333335</v>
      </c>
      <c r="U15" s="45">
        <f>IFERROR(VLOOKUP(B15,RECEITAS!A:C,3,FALSE),"")</f>
        <v>2.3452338811630851</v>
      </c>
      <c r="V15" s="45">
        <f>IFERROR((U15+S15)*(1-ANALISE!$I$4),"")</f>
        <v>3.3665184815529487</v>
      </c>
      <c r="W15" s="45">
        <f t="shared" si="2"/>
        <v>115.13493206911086</v>
      </c>
    </row>
    <row r="16" spans="1:23" x14ac:dyDescent="0.3">
      <c r="A16">
        <f>Crono_Sab!A14</f>
        <v>7</v>
      </c>
      <c r="B16" t="str">
        <f>Crono_Sab!B14</f>
        <v>PH INTEGRAL COM ÓLEO</v>
      </c>
      <c r="C16" s="17">
        <f>Crono_Sab!C14</f>
        <v>3.6000000000000005</v>
      </c>
      <c r="D16" t="str">
        <f>IFERROR(VLOOKUP(B16,RECEITAS!A:C,$D$7,FALSE),"")</f>
        <v>DIRETO</v>
      </c>
      <c r="E16" s="1">
        <f>IFERROR(E15+(VLOOKUP($D16,PROCESSO!$B:$P,AP_CRONO_Sab!E$8,FALSE)/24),"")</f>
        <v>0.22638888888888895</v>
      </c>
      <c r="F16" s="1">
        <f>Crono_Sab!E14</f>
        <v>0.29166666666666669</v>
      </c>
      <c r="G16" s="1">
        <f>IFERROR(IF(F16=0,"",VLOOKUP($D16,PROCESSO!$B:$P,G$8,FALSE)/24)*IFERROR(IF(#REF!&gt;$B$8,ROUNDUP(#REF!/$B$8,0),1),1)+($A$8/24)+F16,"")</f>
        <v>0.30555555555555558</v>
      </c>
      <c r="H16" s="1">
        <f t="shared" si="0"/>
        <v>0.30555555555555558</v>
      </c>
      <c r="I16" s="1">
        <f>IFERROR(IF(H16=0,"",VLOOKUP($D16,PROCESSO!$B:$P,H$8,FALSE)/24)+($A$8/24)+H16,"")</f>
        <v>0.30902777777777779</v>
      </c>
      <c r="J16" s="1">
        <f>IFERROR(IF(I16=0,"",VLOOKUP($D16,PROCESSO!$B:$P,I$8,FALSE)/24)+($A$8/24)+I16,"")</f>
        <v>0.31736111111111115</v>
      </c>
      <c r="K16" s="1">
        <f>IFERROR(IF(J16=0,"",VLOOKUP($D16,PROCESSO!$B:$P,J$8,FALSE)/24)+($A$8/24)+J16,"")</f>
        <v>0.32569444444444451</v>
      </c>
      <c r="L16" s="1">
        <f>IFERROR(IF(K16=0,"",VLOOKUP($D16,PROCESSO!$B:$P,K$8,FALSE)/24)+($A$8/24)+K16,"")</f>
        <v>0.32916666666666672</v>
      </c>
      <c r="M16" s="1">
        <f>IFERROR(IF(L16=0,"",VLOOKUP($D16,PROCESSO!$B:$P,L$8,FALSE)/24)+($A$8/24)+L16,"")</f>
        <v>0.35694444444444451</v>
      </c>
      <c r="N16" s="1">
        <f>IFERROR(IF(M16=0,"",VLOOKUP($D16,PROCESSO!$B:$P,M$8,FALSE)/24)+($A$8/24)+M16,"")</f>
        <v>0.42291666666666672</v>
      </c>
      <c r="O16" s="1">
        <f>IFERROR(IF(N16=0,"",VLOOKUP($D16,PROCESSO!$B:$P,N$8,FALSE)/24)+($A$8/24)+N16,"")</f>
        <v>0.4472222222222223</v>
      </c>
      <c r="P16" s="1">
        <f>IFERROR(IF(O16=0,"",VLOOKUP($D16,PROCESSO!$B:$P,O$8,FALSE)/24)+($A$8/24)+O16,"")</f>
        <v>0.51319444444444451</v>
      </c>
      <c r="Q16" s="1">
        <f>IFERROR(IF(P16=0,"",VLOOKUP($D16,PROCESSO!$B:$P,P$8,FALSE)/24)+($A$8/24)+P16,"")</f>
        <v>0.54583333333333339</v>
      </c>
      <c r="R16" s="1">
        <f>IFERROR(IF(Q16=0,"",VLOOKUP($D16,PROCESSO!$B:$P,Q$8,FALSE)/24)+($A$8/24)+Q16,"")</f>
        <v>0.61152777777777789</v>
      </c>
      <c r="S16" s="45">
        <f>IFERROR(IFERROR(VLOOKUP(D16,PROCESSO!B:P,15,FALSE),"")/SUMIFS(C:C,A:A,A16),"")</f>
        <v>3.4243071895424828</v>
      </c>
      <c r="T16" s="45">
        <f t="shared" si="1"/>
        <v>12.32750588235294</v>
      </c>
      <c r="U16" s="45">
        <f>IFERROR(VLOOKUP(B16,RECEITAS!A:C,3,FALSE),"")</f>
        <v>2.4498411145462371</v>
      </c>
      <c r="V16" s="45">
        <f>IFERROR((U16+S16)*(1-ANALISE!$I$4),"")</f>
        <v>5.8741483040887204</v>
      </c>
      <c r="W16" s="45">
        <f t="shared" si="2"/>
        <v>21.146933894719396</v>
      </c>
    </row>
    <row r="17" spans="1:23" x14ac:dyDescent="0.3">
      <c r="A17">
        <f>Crono_Sab!A15</f>
        <v>7</v>
      </c>
      <c r="B17" t="str">
        <f>Crono_Sab!B15</f>
        <v>PH VINHEDO</v>
      </c>
      <c r="C17" s="17">
        <f>Crono_Sab!C15</f>
        <v>6.6000000000000014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0.29166666666666669</v>
      </c>
      <c r="G17" s="1">
        <f>IFERROR(IF(F17=0,"",VLOOKUP($D17,PROCESSO!$B:$P,G$8,FALSE)/24)*IFERROR(IF(#REF!&gt;$B$8,ROUNDUP(#REF!/$B$8,0),1),1)+($A$8/24)+F17,"")</f>
        <v>0.30555555555555558</v>
      </c>
      <c r="H17" s="1">
        <f t="shared" si="0"/>
        <v>0.30555555555555558</v>
      </c>
      <c r="I17" s="1">
        <f>IFERROR(IF(H17=0,"",VLOOKUP($D17,PROCESSO!$B:$P,H$8,FALSE)/24)+($A$8/24)+H17,"")</f>
        <v>0.30902777777777779</v>
      </c>
      <c r="J17" s="1">
        <f>IFERROR(IF(I17=0,"",VLOOKUP($D17,PROCESSO!$B:$P,I$8,FALSE)/24)+($A$8/24)+I17,"")</f>
        <v>0.31736111111111115</v>
      </c>
      <c r="K17" s="1">
        <f>IFERROR(IF(J17=0,"",VLOOKUP($D17,PROCESSO!$B:$P,J$8,FALSE)/24)+($A$8/24)+J17,"")</f>
        <v>0.32569444444444451</v>
      </c>
      <c r="L17" s="1">
        <f>IFERROR(IF(K17=0,"",VLOOKUP($D17,PROCESSO!$B:$P,K$8,FALSE)/24)+($A$8/24)+K17,"")</f>
        <v>0.32916666666666672</v>
      </c>
      <c r="M17" s="1">
        <f>IFERROR(IF(L17=0,"",VLOOKUP($D17,PROCESSO!$B:$P,L$8,FALSE)/24)+($A$8/24)+L17,"")</f>
        <v>0.35694444444444451</v>
      </c>
      <c r="N17" s="1">
        <f>IFERROR(IF(M17=0,"",VLOOKUP($D17,PROCESSO!$B:$P,M$8,FALSE)/24)+($A$8/24)+M17,"")</f>
        <v>0.42291666666666672</v>
      </c>
      <c r="O17" s="1">
        <f>IFERROR(IF(N17=0,"",VLOOKUP($D17,PROCESSO!$B:$P,N$8,FALSE)/24)+($A$8/24)+N17,"")</f>
        <v>0.4472222222222223</v>
      </c>
      <c r="P17" s="1">
        <f>IFERROR(IF(O17=0,"",VLOOKUP($D17,PROCESSO!$B:$P,O$8,FALSE)/24)+($A$8/24)+O17,"")</f>
        <v>0.51319444444444451</v>
      </c>
      <c r="Q17" s="1">
        <f>IFERROR(IF(P17=0,"",VLOOKUP($D17,PROCESSO!$B:$P,P$8,FALSE)/24)+($A$8/24)+P17,"")</f>
        <v>0.54583333333333339</v>
      </c>
      <c r="R17" s="1">
        <f>IFERROR(IF(Q17=0,"",VLOOKUP($D17,PROCESSO!$B:$P,Q$8,FALSE)/24)+($A$8/24)+Q17,"")</f>
        <v>0.61152777777777789</v>
      </c>
      <c r="S17" s="45">
        <f>IFERROR(IFERROR(VLOOKUP(D17,PROCESSO!B:P,15,FALSE),"")/SUMIFS(C:C,A:A,A17),"")</f>
        <v>3.4243071895424828</v>
      </c>
      <c r="T17" s="45">
        <f t="shared" si="1"/>
        <v>22.600427450980391</v>
      </c>
      <c r="U17" s="45">
        <f>IFERROR(VLOOKUP(B17,RECEITAS!A:C,3,FALSE),"")</f>
        <v>4.2629144274493598</v>
      </c>
      <c r="V17" s="45">
        <f>IFERROR((U17+S17)*(1-ANALISE!$I$4),"")</f>
        <v>7.6872216169918426</v>
      </c>
      <c r="W17" s="45">
        <f t="shared" si="2"/>
        <v>50.735662672146169</v>
      </c>
    </row>
    <row r="18" spans="1:23" x14ac:dyDescent="0.3">
      <c r="A18">
        <f>Crono_Sab!A16</f>
        <v>8</v>
      </c>
      <c r="B18" t="str">
        <f>Crono_Sab!B16</f>
        <v>PF INTEGRAL</v>
      </c>
      <c r="C18" s="17">
        <f>Crono_Sab!C16</f>
        <v>2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0.28125</v>
      </c>
      <c r="G18" s="1">
        <f>IFERROR(IF(F18=0,"",VLOOKUP($D18,PROCESSO!$B:$P,G$8,FALSE)/24)*IFERROR(IF(#REF!&gt;$B$8,ROUNDUP(#REF!/$B$8,0),1),1)+($A$8/24)+F18,"")</f>
        <v>0.2951388888888889</v>
      </c>
      <c r="H18" s="1">
        <f t="shared" si="0"/>
        <v>0.2951388888888889</v>
      </c>
      <c r="I18" s="1">
        <f>IFERROR(IF(H18=0,"",VLOOKUP($D18,PROCESSO!$B:$P,H$8,FALSE)/24)+($A$8/24)+H18,"")</f>
        <v>0.2986111111111111</v>
      </c>
      <c r="J18" s="1">
        <f>IFERROR(IF(I18=0,"",VLOOKUP($D18,PROCESSO!$B:$P,I$8,FALSE)/24)+($A$8/24)+I18,"")</f>
        <v>0.30694444444444446</v>
      </c>
      <c r="K18" s="1">
        <f>IFERROR(IF(J18=0,"",VLOOKUP($D18,PROCESSO!$B:$P,J$8,FALSE)/24)+($A$8/24)+J18,"")</f>
        <v>0.31527777777777782</v>
      </c>
      <c r="L18" s="1">
        <f>IFERROR(IF(K18=0,"",VLOOKUP($D18,PROCESSO!$B:$P,K$8,FALSE)/24)+($A$8/24)+K18,"")</f>
        <v>0.31875000000000003</v>
      </c>
      <c r="M18" s="1">
        <f>IFERROR(IF(L18=0,"",VLOOKUP($D18,PROCESSO!$B:$P,L$8,FALSE)/24)+($A$8/24)+L18,"")</f>
        <v>0.34652777777777782</v>
      </c>
      <c r="N18" s="1">
        <f>IFERROR(IF(M18=0,"",VLOOKUP($D18,PROCESSO!$B:$P,M$8,FALSE)/24)+($A$8/24)+M18,"")</f>
        <v>0.41250000000000003</v>
      </c>
      <c r="O18" s="1">
        <f>IFERROR(IF(N18=0,"",VLOOKUP($D18,PROCESSO!$B:$P,N$8,FALSE)/24)+($A$8/24)+N18,"")</f>
        <v>0.43680555555555556</v>
      </c>
      <c r="P18" s="1">
        <f>IFERROR(IF(O18=0,"",VLOOKUP($D18,PROCESSO!$B:$P,O$8,FALSE)/24)+($A$8/24)+O18,"")</f>
        <v>0.50277777777777777</v>
      </c>
      <c r="Q18" s="1">
        <f>IFERROR(IF(P18=0,"",VLOOKUP($D18,PROCESSO!$B:$P,P$8,FALSE)/24)+($A$8/24)+P18,"")</f>
        <v>0.53541666666666665</v>
      </c>
      <c r="R18" s="1">
        <f>IFERROR(IF(Q18=0,"",VLOOKUP($D18,PROCESSO!$B:$P,Q$8,FALSE)/24)+($A$8/24)+Q18,"")</f>
        <v>0.60111111111111115</v>
      </c>
      <c r="S18" s="45">
        <f>IFERROR(IFERROR(VLOOKUP(D18,PROCESSO!B:P,15,FALSE),"")/SUMIFS(C:C,A:A,A18),"")</f>
        <v>17.463966666666668</v>
      </c>
      <c r="T18" s="45">
        <f t="shared" si="1"/>
        <v>34.927933333333335</v>
      </c>
      <c r="U18" s="45">
        <f>IFERROR(VLOOKUP(B18,RECEITAS!A:C,3,FALSE),"")</f>
        <v>2.6739550191991226</v>
      </c>
      <c r="V18" s="45">
        <f>IFERROR((U18+S18)*(1-ANALISE!$I$4),"")</f>
        <v>20.137921685865791</v>
      </c>
      <c r="W18" s="45">
        <f t="shared" si="2"/>
        <v>40.275843371731582</v>
      </c>
    </row>
    <row r="19" spans="1:23" x14ac:dyDescent="0.3">
      <c r="A19">
        <f>Crono_Sab!A17</f>
        <v>9</v>
      </c>
      <c r="B19" t="str">
        <f>Crono_Sab!B17</f>
        <v>PH MALTE AROMA CARAMEL CACAU</v>
      </c>
      <c r="C19" s="17">
        <f>Crono_Sab!C17</f>
        <v>12.600000000000001</v>
      </c>
      <c r="D19" t="str">
        <f>IFERROR(VLOOKUP(B19,RECEITAS!A:C,$D$7,FALSE),"")</f>
        <v>DIRETO</v>
      </c>
      <c r="E19" s="1">
        <f>IFERROR(E18+(VLOOKUP($D19,PROCESSO!$B:$P,AP_CRONO_Sab!E$8,FALSE)/24),"")</f>
        <v>0.24305555555555564</v>
      </c>
      <c r="F19" s="1">
        <f>Crono_Sab!E17</f>
        <v>0.30208333333333331</v>
      </c>
      <c r="G19" s="1">
        <f>IFERROR(IF(F19=0,"",VLOOKUP($D19,PROCESSO!$B:$P,G$8,FALSE)/24)*IFERROR(IF(#REF!&gt;$B$8,ROUNDUP(#REF!/$B$8,0),1),1)+($A$8/24)+F19,"")</f>
        <v>0.31597222222222221</v>
      </c>
      <c r="H19" s="1">
        <f t="shared" si="0"/>
        <v>0.31597222222222221</v>
      </c>
      <c r="I19" s="1">
        <f>IFERROR(IF(H19=0,"",VLOOKUP($D19,PROCESSO!$B:$P,H$8,FALSE)/24)+($A$8/24)+H19,"")</f>
        <v>0.31944444444444442</v>
      </c>
      <c r="J19" s="1">
        <f>IFERROR(IF(I19=0,"",VLOOKUP($D19,PROCESSO!$B:$P,I$8,FALSE)/24)+($A$8/24)+I19,"")</f>
        <v>0.32777777777777778</v>
      </c>
      <c r="K19" s="1">
        <f>IFERROR(IF(J19=0,"",VLOOKUP($D19,PROCESSO!$B:$P,J$8,FALSE)/24)+($A$8/24)+J19,"")</f>
        <v>0.33611111111111114</v>
      </c>
      <c r="L19" s="1">
        <f>IFERROR(IF(K19=0,"",VLOOKUP($D19,PROCESSO!$B:$P,K$8,FALSE)/24)+($A$8/24)+K19,"")</f>
        <v>0.33958333333333335</v>
      </c>
      <c r="M19" s="1">
        <f>IFERROR(IF(L19=0,"",VLOOKUP($D19,PROCESSO!$B:$P,L$8,FALSE)/24)+($A$8/24)+L19,"")</f>
        <v>0.36736111111111114</v>
      </c>
      <c r="N19" s="1">
        <f>IFERROR(IF(M19=0,"",VLOOKUP($D19,PROCESSO!$B:$P,M$8,FALSE)/24)+($A$8/24)+M19,"")</f>
        <v>0.43333333333333335</v>
      </c>
      <c r="O19" s="1">
        <f>IFERROR(IF(N19=0,"",VLOOKUP($D19,PROCESSO!$B:$P,N$8,FALSE)/24)+($A$8/24)+N19,"")</f>
        <v>0.45763888888888893</v>
      </c>
      <c r="P19" s="1">
        <f>IFERROR(IF(O19=0,"",VLOOKUP($D19,PROCESSO!$B:$P,O$8,FALSE)/24)+($A$8/24)+O19,"")</f>
        <v>0.52361111111111114</v>
      </c>
      <c r="Q19" s="1">
        <f>IFERROR(IF(P19=0,"",VLOOKUP($D19,PROCESSO!$B:$P,P$8,FALSE)/24)+($A$8/24)+P19,"")</f>
        <v>0.55625000000000002</v>
      </c>
      <c r="R19" s="1">
        <f>IFERROR(IF(Q19=0,"",VLOOKUP($D19,PROCESSO!$B:$P,Q$8,FALSE)/24)+($A$8/24)+Q19,"")</f>
        <v>0.62194444444444441</v>
      </c>
      <c r="S19" s="45">
        <f>IFERROR(IFERROR(VLOOKUP(D19,PROCESSO!B:P,15,FALSE),"")/SUMIFS(C:C,A:A,A19),"")</f>
        <v>0.60638773148148151</v>
      </c>
      <c r="T19" s="45">
        <f t="shared" si="1"/>
        <v>7.6404854166666683</v>
      </c>
      <c r="U19" s="45">
        <f>IFERROR(VLOOKUP(B19,RECEITAS!A:C,3,FALSE),"")</f>
        <v>3.802317938072997</v>
      </c>
      <c r="V19" s="45">
        <f>IFERROR((U19+S19)*(1-ANALISE!$I$4),"")</f>
        <v>4.4087056695544788</v>
      </c>
      <c r="W19" s="45">
        <f t="shared" si="2"/>
        <v>55.549691436386439</v>
      </c>
    </row>
    <row r="20" spans="1:23" x14ac:dyDescent="0.3">
      <c r="A20">
        <f>Crono_Sab!A18</f>
        <v>9</v>
      </c>
      <c r="B20" t="str">
        <f>Crono_Sab!B18</f>
        <v>CASEIRINHO</v>
      </c>
      <c r="C20" s="17">
        <v>45</v>
      </c>
      <c r="D20" t="str">
        <f>IFERROR(VLOOKUP(B20,RECEITAS!A:C,$D$7,FALSE),"")</f>
        <v>DIRETO</v>
      </c>
      <c r="E20" s="1">
        <f>IFERROR(E19+(VLOOKUP($D20,PROCESSO!$B:$P,AP_CRONO_Sab!E$8,FALSE)/24),"")</f>
        <v>0.2486111111111112</v>
      </c>
      <c r="F20" s="1">
        <f>Crono_Sab!E18</f>
        <v>0.30208333333333331</v>
      </c>
      <c r="G20" s="1">
        <f>IFERROR(IF(F20=0,"",VLOOKUP($D20,PROCESSO!$B:$P,G$8,FALSE)/24)*IFERROR(IF(#REF!&gt;$B$8,ROUNDUP(#REF!/$B$8,0),1),1)+($A$8/24)+F20,"")</f>
        <v>0.31597222222222221</v>
      </c>
      <c r="H20" s="1">
        <f t="shared" si="0"/>
        <v>0.31597222222222221</v>
      </c>
      <c r="I20" s="1">
        <f>IFERROR(IF(H20=0,"",VLOOKUP($D20,PROCESSO!$B:$P,H$8,FALSE)/24)+($A$8/24)+H20,"")</f>
        <v>0.31944444444444442</v>
      </c>
      <c r="J20" s="1">
        <f>IFERROR(IF(I20=0,"",VLOOKUP($D20,PROCESSO!$B:$P,I$8,FALSE)/24)+($A$8/24)+I20,"")</f>
        <v>0.32777777777777778</v>
      </c>
      <c r="K20" s="1">
        <f>IFERROR(IF(J20=0,"",VLOOKUP($D20,PROCESSO!$B:$P,J$8,FALSE)/24)+($A$8/24)+J20,"")</f>
        <v>0.33611111111111114</v>
      </c>
      <c r="L20" s="1">
        <f>IFERROR(IF(K20=0,"",VLOOKUP($D20,PROCESSO!$B:$P,K$8,FALSE)/24)+($A$8/24)+K20,"")</f>
        <v>0.33958333333333335</v>
      </c>
      <c r="M20" s="1">
        <f>IFERROR(IF(L20=0,"",VLOOKUP($D20,PROCESSO!$B:$P,L$8,FALSE)/24)+($A$8/24)+L20,"")</f>
        <v>0.36736111111111114</v>
      </c>
      <c r="N20" s="1">
        <f>IFERROR(IF(M20=0,"",VLOOKUP($D20,PROCESSO!$B:$P,M$8,FALSE)/24)+($A$8/24)+M20,"")</f>
        <v>0.43333333333333335</v>
      </c>
      <c r="O20" s="1">
        <f>IFERROR(IF(N20=0,"",VLOOKUP($D20,PROCESSO!$B:$P,N$8,FALSE)/24)+($A$8/24)+N20,"")</f>
        <v>0.45763888888888893</v>
      </c>
      <c r="P20" s="1">
        <f>IFERROR(IF(O20=0,"",VLOOKUP($D20,PROCESSO!$B:$P,O$8,FALSE)/24)+($A$8/24)+O20,"")</f>
        <v>0.52361111111111114</v>
      </c>
      <c r="Q20" s="1">
        <f>IFERROR(IF(P20=0,"",VLOOKUP($D20,PROCESSO!$B:$P,P$8,FALSE)/24)+($A$8/24)+P20,"")</f>
        <v>0.55625000000000002</v>
      </c>
      <c r="R20" s="1">
        <f>IFERROR(IF(Q20=0,"",VLOOKUP($D20,PROCESSO!$B:$P,Q$8,FALSE)/24)+($A$8/24)+Q20,"")</f>
        <v>0.62194444444444441</v>
      </c>
      <c r="S20" s="45">
        <f>IFERROR(IFERROR(VLOOKUP(D20,PROCESSO!B:P,15,FALSE),"")/SUMIFS(C:C,A:A,A20),"")</f>
        <v>0.60638773148148151</v>
      </c>
      <c r="T20" s="45">
        <f t="shared" si="1"/>
        <v>27.287447916666668</v>
      </c>
      <c r="U20" s="45">
        <f>IFERROR(VLOOKUP(B20,RECEITAS!A:C,3,FALSE),"")</f>
        <v>2.3235487959442338</v>
      </c>
      <c r="V20" s="45">
        <f>IFERROR((U20+S20)*(1-ANALISE!$I$4),"")</f>
        <v>2.9299365274257152</v>
      </c>
      <c r="W20" s="45">
        <f t="shared" si="2"/>
        <v>131.84714373415719</v>
      </c>
    </row>
    <row r="21" spans="1:23" x14ac:dyDescent="0.3">
      <c r="A21">
        <f>Crono_Sab!A19</f>
        <v>10</v>
      </c>
      <c r="B21" t="str">
        <f>Crono_Sab!B19</f>
        <v>CASEIRINHO</v>
      </c>
      <c r="C21" s="17">
        <v>45</v>
      </c>
      <c r="D21" t="str">
        <f>IFERROR(VLOOKUP(B21,RECEITAS!A:C,$D$7,FALSE),"")</f>
        <v>DIRETO</v>
      </c>
      <c r="E21" s="1">
        <f>IFERROR(E20+(VLOOKUP($D21,PROCESSO!$B:$P,AP_CRONO_Sab!E$8,FALSE)/24),"")</f>
        <v>0.25416666666666676</v>
      </c>
      <c r="F21" s="1">
        <f>Crono_Sab!E19</f>
        <v>0.3298611111111111</v>
      </c>
      <c r="G21" s="1">
        <f>IFERROR(IF(F21=0,"",VLOOKUP($D21,PROCESSO!$B:$P,G$8,FALSE)/24)*IFERROR(IF(#REF!&gt;$B$8,ROUNDUP(#REF!/$B$8,0),1),1)+($A$8/24)+F21,"")</f>
        <v>0.34375</v>
      </c>
      <c r="H21" s="1">
        <f t="shared" si="0"/>
        <v>0.34375</v>
      </c>
      <c r="I21" s="1">
        <f>IFERROR(IF(H21=0,"",VLOOKUP($D21,PROCESSO!$B:$P,H$8,FALSE)/24)+($A$8/24)+H21,"")</f>
        <v>0.34722222222222221</v>
      </c>
      <c r="J21" s="1">
        <f>IFERROR(IF(I21=0,"",VLOOKUP($D21,PROCESSO!$B:$P,I$8,FALSE)/24)+($A$8/24)+I21,"")</f>
        <v>0.35555555555555557</v>
      </c>
      <c r="K21" s="1">
        <f>IFERROR(IF(J21=0,"",VLOOKUP($D21,PROCESSO!$B:$P,J$8,FALSE)/24)+($A$8/24)+J21,"")</f>
        <v>0.36388888888888893</v>
      </c>
      <c r="L21" s="1">
        <f>IFERROR(IF(K21=0,"",VLOOKUP($D21,PROCESSO!$B:$P,K$8,FALSE)/24)+($A$8/24)+K21,"")</f>
        <v>0.36736111111111114</v>
      </c>
      <c r="M21" s="1">
        <f>IFERROR(IF(L21=0,"",VLOOKUP($D21,PROCESSO!$B:$P,L$8,FALSE)/24)+($A$8/24)+L21,"")</f>
        <v>0.39513888888888893</v>
      </c>
      <c r="N21" s="1">
        <f>IFERROR(IF(M21=0,"",VLOOKUP($D21,PROCESSO!$B:$P,M$8,FALSE)/24)+($A$8/24)+M21,"")</f>
        <v>0.46111111111111114</v>
      </c>
      <c r="O21" s="1">
        <f>IFERROR(IF(N21=0,"",VLOOKUP($D21,PROCESSO!$B:$P,N$8,FALSE)/24)+($A$8/24)+N21,"")</f>
        <v>0.48541666666666672</v>
      </c>
      <c r="P21" s="1">
        <f>IFERROR(IF(O21=0,"",VLOOKUP($D21,PROCESSO!$B:$P,O$8,FALSE)/24)+($A$8/24)+O21,"")</f>
        <v>0.55138888888888893</v>
      </c>
      <c r="Q21" s="1">
        <f>IFERROR(IF(P21=0,"",VLOOKUP($D21,PROCESSO!$B:$P,P$8,FALSE)/24)+($A$8/24)+P21,"")</f>
        <v>0.58402777777777781</v>
      </c>
      <c r="R21" s="1">
        <f>IFERROR(IF(Q21=0,"",VLOOKUP($D21,PROCESSO!$B:$P,Q$8,FALSE)/24)+($A$8/24)+Q21,"")</f>
        <v>0.64972222222222231</v>
      </c>
      <c r="S21" s="45">
        <f>IFERROR(IFERROR(VLOOKUP(D21,PROCESSO!B:P,15,FALSE),"")/SUMIFS(C:C,A:A,A21),"")</f>
        <v>0.77617629629629636</v>
      </c>
      <c r="T21" s="45">
        <f t="shared" si="1"/>
        <v>34.927933333333335</v>
      </c>
      <c r="U21" s="45">
        <f>IFERROR(VLOOKUP(B21,RECEITAS!A:C,3,FALSE),"")</f>
        <v>2.3235487959442338</v>
      </c>
      <c r="V21" s="45">
        <f>IFERROR((U21+S21)*(1-ANALISE!$I$4),"")</f>
        <v>3.0997250922405302</v>
      </c>
      <c r="W21" s="45">
        <f t="shared" si="2"/>
        <v>139.48762915082386</v>
      </c>
    </row>
    <row r="22" spans="1:23" x14ac:dyDescent="0.3">
      <c r="A22">
        <f>Crono_Sab!A20</f>
        <v>0</v>
      </c>
      <c r="B22">
        <f>Crono_Sab!B20</f>
        <v>0</v>
      </c>
      <c r="C22" s="17">
        <f>Crono_Sab!C20</f>
        <v>0</v>
      </c>
      <c r="D22" t="str">
        <f>IFERROR(VLOOKUP(B22,RECEITAS!A:C,$D$7,FALSE),"")</f>
        <v/>
      </c>
      <c r="E22" s="1" t="str">
        <f>IFERROR(E21+(VLOOKUP($D22,PROCESSO!$B:$P,AP_CRONO_Sab!E$8,FALSE)/24),"")</f>
        <v/>
      </c>
      <c r="F22" s="1"/>
      <c r="G22" s="1" t="str">
        <f>IFERROR(IF(F22=0,"",VLOOKUP($D22,PROCESSO!$B:$P,G$8,FALSE)/24)*IFERROR(IF(#REF!&gt;$B$8,ROUNDUP(#REF!/$B$8,0),1),1)+($A$8/24)+F22,"")</f>
        <v/>
      </c>
      <c r="H22" s="1" t="str">
        <f t="shared" si="0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3">
      <c r="A23">
        <f>Crono_Sab!A21</f>
        <v>0</v>
      </c>
      <c r="B23">
        <f>Crono_Sab!B21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/>
      <c r="G23" s="1" t="str">
        <f>IFERROR(IF(F23=0,"",VLOOKUP($D23,PROCESSO!$B:$P,G$8,FALSE)/24)*IFERROR(IF(#REF!&gt;$B$8,ROUNDUP(#REF!/$B$8,0),1),1)+($A$8/24)+F23,"")</f>
        <v/>
      </c>
      <c r="H23" s="1" t="str">
        <f t="shared" si="0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</row>
    <row r="24" spans="1:23" x14ac:dyDescent="0.3">
      <c r="A24">
        <f>Crono_Sab!A22</f>
        <v>0</v>
      </c>
      <c r="B24">
        <f>Crono_Sab!B22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/>
      <c r="G24" s="1" t="str">
        <f>IFERROR(IF(F24=0,"",VLOOKUP($D24,PROCESSO!$B:$P,G$8,FALSE)/24)*IFERROR(IF(#REF!&gt;$B$8,ROUNDUP(#REF!/$B$8,0),1),1)+($A$8/24)+F24,"")</f>
        <v/>
      </c>
      <c r="H24" s="1" t="str">
        <f t="shared" si="0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</row>
    <row r="25" spans="1:23" x14ac:dyDescent="0.3">
      <c r="A25">
        <f>Crono_Sab!A23</f>
        <v>0</v>
      </c>
      <c r="B25">
        <f>Crono_Sab!B23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/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</row>
    <row r="26" spans="1:23" x14ac:dyDescent="0.3">
      <c r="A26">
        <f>Crono_Sab!A24</f>
        <v>0</v>
      </c>
      <c r="B26">
        <f>Crono_Sab!B24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/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</row>
    <row r="27" spans="1:23" x14ac:dyDescent="0.3">
      <c r="B27">
        <f>Crono_Sab!B25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/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</row>
    <row r="28" spans="1:23" x14ac:dyDescent="0.3">
      <c r="B28">
        <f>Crono_Sab!B26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/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</row>
    <row r="29" spans="1:23" x14ac:dyDescent="0.3">
      <c r="B29">
        <f>Crono_Sab!B27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/>
      <c r="G29" s="1" t="str">
        <f>IFERROR(IF(F29=0,"",VLOOKUP($D29,PROCESSO!$B:$P,G$8,FALSE)/24)*IFERROR(IF(#REF!&gt;$B$8,ROUNDUP(#REF!/$B$8,0),1),1)+($A$8/24)+F29,"")</f>
        <v/>
      </c>
      <c r="H29" s="1" t="str">
        <f t="shared" si="0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3">
      <c r="B30">
        <f>Crono_Sab!B28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/>
      <c r="G30" s="1" t="str">
        <f>IFERROR(IF(F30=0,"",VLOOKUP($D30,PROCESSO!$B:$P,G$8,FALSE)/24)*IFERROR(IF(#REF!&gt;$B$8,ROUNDUP(#REF!/$B$8,0),1),1)+($A$8/24)+F30,"")</f>
        <v/>
      </c>
      <c r="H30" s="1" t="str">
        <f t="shared" si="0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13"/>
  <sheetViews>
    <sheetView workbookViewId="0">
      <selection activeCell="L17" sqref="L17"/>
    </sheetView>
  </sheetViews>
  <sheetFormatPr defaultRowHeight="14.4" x14ac:dyDescent="0.3"/>
  <cols>
    <col min="1" max="1" width="15.21875" bestFit="1" customWidth="1"/>
    <col min="2" max="3" width="12" bestFit="1" customWidth="1"/>
    <col min="4" max="4" width="11.109375" bestFit="1" customWidth="1"/>
    <col min="5" max="5" width="15.21875" bestFit="1" customWidth="1"/>
    <col min="6" max="7" width="12" bestFit="1" customWidth="1"/>
    <col min="8" max="8" width="11.33203125" bestFit="1" customWidth="1"/>
    <col min="12" max="12" width="14.88671875" customWidth="1"/>
    <col min="14" max="14" width="12" bestFit="1" customWidth="1"/>
    <col min="16" max="16" width="12.44140625" bestFit="1" customWidth="1"/>
  </cols>
  <sheetData>
    <row r="1" spans="1:16" x14ac:dyDescent="0.3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84</v>
      </c>
    </row>
    <row r="2" spans="1:16" ht="14.4" customHeight="1" x14ac:dyDescent="0.3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1.4933333333333334</v>
      </c>
      <c r="O2" s="6">
        <f>14*(0.5/60)</f>
        <v>0.11666666666666667</v>
      </c>
      <c r="P2" s="15">
        <v>34.927933333333335</v>
      </c>
    </row>
    <row r="3" spans="1:16" x14ac:dyDescent="0.3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1.6666666666666665</v>
      </c>
      <c r="O3" s="6">
        <f>45/0.3*(1/60/60)</f>
        <v>4.1666666666666664E-2</v>
      </c>
      <c r="P3" s="15">
        <v>37.402083333333337</v>
      </c>
    </row>
    <row r="4" spans="1:16" x14ac:dyDescent="0.3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v>3</v>
      </c>
      <c r="H4" s="6">
        <v>5</v>
      </c>
      <c r="I4" s="6">
        <v>1</v>
      </c>
      <c r="J4" s="6">
        <v>3</v>
      </c>
      <c r="K4" s="6">
        <v>0.5</v>
      </c>
      <c r="L4" s="6">
        <v>0.5</v>
      </c>
      <c r="M4" s="6">
        <v>0</v>
      </c>
      <c r="N4" s="6">
        <v>1.4933333333333334</v>
      </c>
      <c r="O4" s="6">
        <f>14*(0.5/60)</f>
        <v>0.11666666666666667</v>
      </c>
      <c r="P4" s="15">
        <v>64.078299999999999</v>
      </c>
    </row>
    <row r="5" spans="1:16" x14ac:dyDescent="0.3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1.4933333333333334</v>
      </c>
      <c r="O5" s="6">
        <f>14*(0.5/60)</f>
        <v>0.11666666666666667</v>
      </c>
      <c r="P5" s="15">
        <v>46.631633333333333</v>
      </c>
    </row>
    <row r="8" spans="1:16" x14ac:dyDescent="0.3">
      <c r="M8" s="6">
        <v>0.7466666666666667</v>
      </c>
      <c r="N8">
        <f>M8*2</f>
        <v>1.4933333333333334</v>
      </c>
    </row>
    <row r="9" spans="1:16" x14ac:dyDescent="0.3">
      <c r="M9" s="6">
        <v>0.83333333333333326</v>
      </c>
      <c r="N9">
        <f t="shared" ref="N9:N11" si="0">M9*2</f>
        <v>1.6666666666666665</v>
      </c>
    </row>
    <row r="10" spans="1:16" x14ac:dyDescent="0.3">
      <c r="M10" s="6">
        <v>0.7466666666666667</v>
      </c>
      <c r="N10">
        <f t="shared" si="0"/>
        <v>1.4933333333333334</v>
      </c>
    </row>
    <row r="11" spans="1:16" x14ac:dyDescent="0.3">
      <c r="M11" s="6">
        <v>0.7466666666666667</v>
      </c>
      <c r="N11">
        <f t="shared" si="0"/>
        <v>1.4933333333333334</v>
      </c>
    </row>
    <row r="13" spans="1:16" x14ac:dyDescent="0.3">
      <c r="F1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44"/>
  <sheetViews>
    <sheetView workbookViewId="0"/>
  </sheetViews>
  <sheetFormatPr defaultRowHeight="14.4" x14ac:dyDescent="0.3"/>
  <cols>
    <col min="1" max="1" width="31.33203125" bestFit="1" customWidth="1"/>
    <col min="2" max="2" width="21" bestFit="1" customWidth="1"/>
    <col min="3" max="4" width="9.44140625" bestFit="1" customWidth="1"/>
    <col min="5" max="5" width="9.44140625" customWidth="1"/>
    <col min="6" max="6" width="9.44140625" bestFit="1" customWidth="1"/>
    <col min="7" max="7" width="12.6640625" customWidth="1"/>
    <col min="8" max="8" width="7" bestFit="1" customWidth="1"/>
    <col min="9" max="9" width="8" bestFit="1" customWidth="1"/>
    <col min="11" max="11" width="9.44140625" bestFit="1" customWidth="1"/>
  </cols>
  <sheetData>
    <row r="1" spans="1:12" ht="28.8" x14ac:dyDescent="0.3">
      <c r="A1" s="8"/>
      <c r="B1" s="8" t="s">
        <v>53</v>
      </c>
      <c r="C1" s="8"/>
      <c r="D1" s="8">
        <v>45</v>
      </c>
      <c r="E1" s="8"/>
      <c r="G1" s="21" t="s">
        <v>54</v>
      </c>
      <c r="H1" s="9">
        <v>0.05</v>
      </c>
      <c r="I1" s="8"/>
      <c r="J1" s="8"/>
    </row>
    <row r="2" spans="1:12" x14ac:dyDescent="0.3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57.6" x14ac:dyDescent="0.3">
      <c r="A3" s="10" t="s">
        <v>55</v>
      </c>
      <c r="B3" s="10" t="s">
        <v>0</v>
      </c>
      <c r="C3" s="10" t="s">
        <v>56</v>
      </c>
      <c r="D3" s="10" t="s">
        <v>92</v>
      </c>
      <c r="E3" s="10" t="s">
        <v>91</v>
      </c>
      <c r="F3" s="10" t="s">
        <v>58</v>
      </c>
      <c r="G3" s="10" t="s">
        <v>57</v>
      </c>
      <c r="H3" s="10" t="s">
        <v>59</v>
      </c>
      <c r="I3" s="10" t="s">
        <v>60</v>
      </c>
      <c r="J3" s="10" t="s">
        <v>61</v>
      </c>
      <c r="K3" s="10" t="s">
        <v>93</v>
      </c>
      <c r="L3" s="10" t="s">
        <v>94</v>
      </c>
    </row>
    <row r="4" spans="1:12" x14ac:dyDescent="0.3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3">
      <c r="A5" s="8" t="s">
        <v>41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3">
      <c r="A6" s="8" t="s">
        <v>36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3">
      <c r="A7" s="8" t="s">
        <v>67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3">
      <c r="A8" s="8" t="s">
        <v>38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3">
      <c r="A9" s="8" t="s">
        <v>81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3">
      <c r="A10" s="8" t="s">
        <v>80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3">
      <c r="A11" s="8" t="s">
        <v>79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3">
      <c r="A12" s="8" t="s">
        <v>72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3">
      <c r="A13" s="8" t="s">
        <v>70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3">
      <c r="A14" s="8" t="s">
        <v>48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3">
      <c r="A15" s="8" t="s">
        <v>28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3">
      <c r="A16" s="8" t="s">
        <v>64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3">
      <c r="A17" s="8" t="s">
        <v>82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3">
      <c r="A18" s="8" t="s">
        <v>50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3">
      <c r="A19" s="8" t="s">
        <v>33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3">
      <c r="A20" s="8" t="s">
        <v>49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3">
      <c r="A21" s="8" t="s">
        <v>62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3">
      <c r="A22" s="8" t="s">
        <v>27</v>
      </c>
      <c r="B22" s="8" t="s">
        <v>15</v>
      </c>
      <c r="C22" s="11">
        <v>2.3235487959442338</v>
      </c>
      <c r="D22" s="12">
        <v>1.0184758888888892</v>
      </c>
      <c r="E22" s="12">
        <f t="shared" si="0"/>
        <v>3.342024684833123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12.602025583201858</v>
      </c>
      <c r="L22" s="20">
        <f t="shared" si="2"/>
        <v>0.84432432970950322</v>
      </c>
    </row>
    <row r="23" spans="1:12" x14ac:dyDescent="0.3">
      <c r="A23" s="8" t="s">
        <v>68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3">
      <c r="A24" s="8" t="s">
        <v>34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3">
      <c r="A25" s="8" t="s">
        <v>63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3">
      <c r="A26" s="8" t="s">
        <v>40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3">
      <c r="A27" s="8" t="s">
        <v>52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3">
      <c r="A28" s="8" t="s">
        <v>25</v>
      </c>
      <c r="B28" s="8" t="s">
        <v>15</v>
      </c>
      <c r="C28" s="11">
        <v>2.3452338811630851</v>
      </c>
      <c r="D28" s="12">
        <v>1.9127256472181919</v>
      </c>
      <c r="E28" s="12">
        <f t="shared" si="0"/>
        <v>4.257959528381277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14.634009321285216</v>
      </c>
      <c r="L28" s="20">
        <f t="shared" si="2"/>
        <v>0.8618764185658806</v>
      </c>
    </row>
    <row r="29" spans="1:12" x14ac:dyDescent="0.3">
      <c r="A29" s="8" t="s">
        <v>30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3">
      <c r="A30" s="8" t="s">
        <v>74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3">
      <c r="A31" s="8" t="s">
        <v>83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3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3">
      <c r="A33" s="8" t="s">
        <v>75</v>
      </c>
      <c r="B33" s="8" t="s">
        <v>15</v>
      </c>
      <c r="C33" s="11">
        <v>2.3235487959442338</v>
      </c>
      <c r="D33" s="12">
        <v>15.277138333333337</v>
      </c>
      <c r="E33" s="12">
        <f t="shared" si="0"/>
        <v>17.600687129277571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16.524490419742037</v>
      </c>
      <c r="L33" s="20">
        <f t="shared" si="2"/>
        <v>0.87672198845965577</v>
      </c>
    </row>
    <row r="34" spans="1:12" x14ac:dyDescent="0.3">
      <c r="A34" s="8" t="s">
        <v>76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3">
      <c r="A35" s="8" t="s">
        <v>71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3">
      <c r="A36" s="8" t="s">
        <v>47</v>
      </c>
      <c r="B36" s="8" t="s">
        <v>15</v>
      </c>
      <c r="C36" s="11">
        <v>2.3235487959442338</v>
      </c>
      <c r="D36" s="12">
        <v>15.277138333333337</v>
      </c>
      <c r="E36" s="12">
        <f t="shared" si="0"/>
        <v>17.600687129277571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18.684854565400304</v>
      </c>
      <c r="L36" s="20">
        <f t="shared" si="2"/>
        <v>0.88939907731305445</v>
      </c>
    </row>
    <row r="37" spans="1:12" x14ac:dyDescent="0.3">
      <c r="A37" s="8" t="s">
        <v>44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3">
      <c r="A38" s="8" t="s">
        <v>73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3">
      <c r="A39" s="8" t="s">
        <v>77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3">
      <c r="A40" s="8" t="s">
        <v>78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3">
      <c r="A41" s="8" t="s">
        <v>65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3">
      <c r="A42" s="8" t="s">
        <v>69</v>
      </c>
      <c r="B42" s="8" t="s">
        <v>17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3">
      <c r="A43" s="8" t="s">
        <v>51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3">
      <c r="A44" s="8" t="s">
        <v>66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</sheetData>
  <autoFilter ref="A3:J3" xr:uid="{532C7D72-98B9-47F2-B998-061C3B274B00}">
    <sortState ref="A4:J44">
      <sortCondition descending="1" ref="H3"/>
    </sortState>
  </autoFilter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2018-05-18T11:22:40Z</cp:lastPrinted>
  <dcterms:created xsi:type="dcterms:W3CDTF">2018-05-14T17:06:01Z</dcterms:created>
  <dcterms:modified xsi:type="dcterms:W3CDTF">2018-05-21T18:57:17Z</dcterms:modified>
</cp:coreProperties>
</file>