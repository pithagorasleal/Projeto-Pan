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ABADIN\SABADIN\N.C.O\GESTÃO DA PRODUÇÃO\#GESTÃO DA PRODUÇÃO\#CRONOGRAMAS\2018\"/>
    </mc:Choice>
  </mc:AlternateContent>
  <xr:revisionPtr revIDLastSave="0" documentId="13_ncr:1_{7C60637E-07DE-465D-9643-7E5CBCF71F65}" xr6:coauthVersionLast="33" xr6:coauthVersionMax="33" xr10:uidLastSave="{00000000-0000-0000-0000-000000000000}"/>
  <bookViews>
    <workbookView xWindow="0" yWindow="0" windowWidth="23040" windowHeight="9072" tabRatio="893" xr2:uid="{77CA0F86-4492-433E-A13D-A10CBBF0848D}"/>
  </bookViews>
  <sheets>
    <sheet name="Planilha2" sheetId="18" r:id="rId1"/>
    <sheet name="ANALISE" sheetId="16" r:id="rId2"/>
    <sheet name="JORNADAS" sheetId="17" r:id="rId3"/>
    <sheet name="ENCOMENDA" sheetId="2" r:id="rId4"/>
    <sheet name="Crono_Seg" sheetId="6" r:id="rId5"/>
    <sheet name="Crono_Ter" sheetId="7" r:id="rId6"/>
    <sheet name="Crono_Qua" sheetId="8" r:id="rId7"/>
    <sheet name="Crono_Qui" sheetId="9" r:id="rId8"/>
    <sheet name="Crono_Sex" sheetId="5" r:id="rId9"/>
    <sheet name="Crono_Sab" sheetId="10" r:id="rId10"/>
    <sheet name="AP_CRONO_SEG" sheetId="4" r:id="rId11"/>
    <sheet name="AP_CRONO_TER" sheetId="11" r:id="rId12"/>
    <sheet name="AP_CRONO_qua" sheetId="12" r:id="rId13"/>
    <sheet name="AP_CRONO_Qui" sheetId="13" r:id="rId14"/>
    <sheet name="AP_CRONO_Sex" sheetId="14" r:id="rId15"/>
    <sheet name="AP_CRONO_Sab" sheetId="15" r:id="rId16"/>
    <sheet name="PROCESSO" sheetId="1" r:id="rId17"/>
    <sheet name="RECEITAS" sheetId="3" r:id="rId18"/>
  </sheets>
  <definedNames>
    <definedName name="_xlnm._FilterDatabase" localSheetId="1" hidden="1">ANALISE!$D$63:$M$63</definedName>
    <definedName name="_xlnm._FilterDatabase" localSheetId="12" hidden="1">AP_CRONO_qua!$A$9:$D$9</definedName>
    <definedName name="_xlnm._FilterDatabase" localSheetId="13" hidden="1">AP_CRONO_Qui!$A$9:$D$9</definedName>
    <definedName name="_xlnm._FilterDatabase" localSheetId="15" hidden="1">AP_CRONO_Sab!$A$9:$D$9</definedName>
    <definedName name="_xlnm._FilterDatabase" localSheetId="10" hidden="1">AP_CRONO_SEG!$A$9:$D$9</definedName>
    <definedName name="_xlnm._FilterDatabase" localSheetId="14" hidden="1">AP_CRONO_Sex!$A$9:$D$9</definedName>
    <definedName name="_xlnm._FilterDatabase" localSheetId="11" hidden="1">AP_CRONO_TER!$A$9:$D$9</definedName>
    <definedName name="_xlnm._FilterDatabase" localSheetId="6" hidden="1">Crono_Qua!$A$7:$Q$7</definedName>
    <definedName name="_xlnm._FilterDatabase" localSheetId="7" hidden="1">Crono_Qui!$A$7:$Q$7</definedName>
    <definedName name="_xlnm._FilterDatabase" localSheetId="9" hidden="1">Crono_Sab!$A$7:$Q$7</definedName>
    <definedName name="_xlnm._FilterDatabase" localSheetId="4" hidden="1">Crono_Seg!$A$7:$Q$7</definedName>
    <definedName name="_xlnm._FilterDatabase" localSheetId="8" hidden="1">Crono_Sex!$A$7:$Q$7</definedName>
    <definedName name="_xlnm._FilterDatabase" localSheetId="5" hidden="1">Crono_Ter!$A$7:$Q$7</definedName>
    <definedName name="_xlnm._FilterDatabase" localSheetId="3" hidden="1">ENCOMENDA!$A$1:$O$472</definedName>
    <definedName name="_xlnm._FilterDatabase" localSheetId="2" hidden="1">JORNADAS!$A$2:$M$51</definedName>
    <definedName name="_xlnm._FilterDatabase" localSheetId="0" hidden="1">Planilha2!$S$3:$U$3</definedName>
    <definedName name="_xlnm._FilterDatabase" localSheetId="17" hidden="1">RECEITAS!$A$3:$J$3</definedName>
    <definedName name="Relogio" localSheetId="12">AP_CRONO_qua!$S$8</definedName>
    <definedName name="Relogio" localSheetId="13">AP_CRONO_Qui!$S$8</definedName>
    <definedName name="Relogio" localSheetId="15">AP_CRONO_Sab!$T$8</definedName>
    <definedName name="Relogio" localSheetId="14">AP_CRONO_Sex!$Q$2</definedName>
    <definedName name="Relogio" localSheetId="11">AP_CRONO_TER!$S$8</definedName>
    <definedName name="Relogio">ANALISE!$B$1</definedName>
  </definedNames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18" l="1"/>
  <c r="X5" i="18" s="1"/>
  <c r="V4" i="18"/>
  <c r="AA5" i="18"/>
  <c r="AA6" i="18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A36" i="18"/>
  <c r="AA37" i="18"/>
  <c r="AA38" i="18"/>
  <c r="AA39" i="18"/>
  <c r="AA40" i="18"/>
  <c r="AA41" i="18"/>
  <c r="AA42" i="18"/>
  <c r="AA43" i="18"/>
  <c r="AA44" i="18"/>
  <c r="AA45" i="18"/>
  <c r="AA46" i="18"/>
  <c r="AA47" i="18"/>
  <c r="AA48" i="18"/>
  <c r="AA49" i="18"/>
  <c r="AA50" i="18"/>
  <c r="AA51" i="18"/>
  <c r="AA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4" i="18"/>
  <c r="Y6" i="18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Y48" i="18"/>
  <c r="Y49" i="18"/>
  <c r="Y50" i="18"/>
  <c r="Y51" i="18"/>
  <c r="W5" i="18"/>
  <c r="Y5" i="18" s="1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4" i="18"/>
  <c r="Y4" i="18" s="1"/>
  <c r="X6" i="18"/>
  <c r="X7" i="18"/>
  <c r="X8" i="18"/>
  <c r="X9" i="18"/>
  <c r="X10" i="18"/>
  <c r="X11" i="18"/>
  <c r="X12" i="18"/>
  <c r="X13" i="18"/>
  <c r="X14" i="18"/>
  <c r="X15" i="18"/>
  <c r="X16" i="18"/>
  <c r="X17" i="18"/>
  <c r="X18" i="18"/>
  <c r="X19" i="18"/>
  <c r="X20" i="18"/>
  <c r="X21" i="18"/>
  <c r="X22" i="18"/>
  <c r="X23" i="18"/>
  <c r="X24" i="18"/>
  <c r="X25" i="18"/>
  <c r="X26" i="18"/>
  <c r="X27" i="18"/>
  <c r="X28" i="18"/>
  <c r="X29" i="18"/>
  <c r="X30" i="18"/>
  <c r="X31" i="18"/>
  <c r="X32" i="18"/>
  <c r="X33" i="18"/>
  <c r="X34" i="18"/>
  <c r="X35" i="18"/>
  <c r="X36" i="18"/>
  <c r="X37" i="18"/>
  <c r="X38" i="18"/>
  <c r="X39" i="18"/>
  <c r="X40" i="18"/>
  <c r="X41" i="18"/>
  <c r="X42" i="18"/>
  <c r="X43" i="18"/>
  <c r="X44" i="18"/>
  <c r="X45" i="18"/>
  <c r="X46" i="18"/>
  <c r="X47" i="18"/>
  <c r="X48" i="18"/>
  <c r="X49" i="18"/>
  <c r="X50" i="18"/>
  <c r="X51" i="18"/>
  <c r="X4" i="18"/>
  <c r="R7" i="18"/>
  <c r="R11" i="18"/>
  <c r="R15" i="18"/>
  <c r="R19" i="18"/>
  <c r="R23" i="18"/>
  <c r="R27" i="18"/>
  <c r="R31" i="18"/>
  <c r="R35" i="18"/>
  <c r="R39" i="18"/>
  <c r="R43" i="18"/>
  <c r="R47" i="18"/>
  <c r="R51" i="18"/>
  <c r="S5" i="18"/>
  <c r="T5" i="18"/>
  <c r="R5" i="18" s="1"/>
  <c r="S6" i="18"/>
  <c r="T6" i="18"/>
  <c r="R6" i="18" s="1"/>
  <c r="S7" i="18"/>
  <c r="T7" i="18"/>
  <c r="S8" i="18"/>
  <c r="T8" i="18"/>
  <c r="R8" i="18" s="1"/>
  <c r="S9" i="18"/>
  <c r="T9" i="18"/>
  <c r="R9" i="18" s="1"/>
  <c r="S10" i="18"/>
  <c r="T10" i="18"/>
  <c r="R10" i="18" s="1"/>
  <c r="S11" i="18"/>
  <c r="T11" i="18"/>
  <c r="S12" i="18"/>
  <c r="T12" i="18"/>
  <c r="R12" i="18" s="1"/>
  <c r="S13" i="18"/>
  <c r="T13" i="18"/>
  <c r="R13" i="18" s="1"/>
  <c r="S14" i="18"/>
  <c r="T14" i="18"/>
  <c r="R14" i="18" s="1"/>
  <c r="S15" i="18"/>
  <c r="T15" i="18"/>
  <c r="S16" i="18"/>
  <c r="T16" i="18"/>
  <c r="R16" i="18" s="1"/>
  <c r="S17" i="18"/>
  <c r="T17" i="18"/>
  <c r="R17" i="18" s="1"/>
  <c r="S18" i="18"/>
  <c r="T18" i="18"/>
  <c r="R18" i="18" s="1"/>
  <c r="S19" i="18"/>
  <c r="T19" i="18"/>
  <c r="S20" i="18"/>
  <c r="T20" i="18"/>
  <c r="R20" i="18" s="1"/>
  <c r="S21" i="18"/>
  <c r="T21" i="18"/>
  <c r="R21" i="18" s="1"/>
  <c r="S22" i="18"/>
  <c r="T22" i="18"/>
  <c r="R22" i="18" s="1"/>
  <c r="S23" i="18"/>
  <c r="T23" i="18"/>
  <c r="S24" i="18"/>
  <c r="T24" i="18"/>
  <c r="R24" i="18" s="1"/>
  <c r="S25" i="18"/>
  <c r="T25" i="18"/>
  <c r="R25" i="18" s="1"/>
  <c r="S26" i="18"/>
  <c r="T26" i="18"/>
  <c r="R26" i="18" s="1"/>
  <c r="S27" i="18"/>
  <c r="T27" i="18"/>
  <c r="S28" i="18"/>
  <c r="T28" i="18"/>
  <c r="R28" i="18" s="1"/>
  <c r="S29" i="18"/>
  <c r="T29" i="18"/>
  <c r="R29" i="18" s="1"/>
  <c r="S30" i="18"/>
  <c r="T30" i="18"/>
  <c r="R30" i="18" s="1"/>
  <c r="S31" i="18"/>
  <c r="T31" i="18"/>
  <c r="S32" i="18"/>
  <c r="T32" i="18"/>
  <c r="R32" i="18" s="1"/>
  <c r="S33" i="18"/>
  <c r="T33" i="18"/>
  <c r="R33" i="18" s="1"/>
  <c r="S34" i="18"/>
  <c r="T34" i="18"/>
  <c r="R34" i="18" s="1"/>
  <c r="S35" i="18"/>
  <c r="T35" i="18"/>
  <c r="S36" i="18"/>
  <c r="T36" i="18"/>
  <c r="R36" i="18" s="1"/>
  <c r="S37" i="18"/>
  <c r="T37" i="18"/>
  <c r="R37" i="18" s="1"/>
  <c r="S38" i="18"/>
  <c r="T38" i="18"/>
  <c r="R38" i="18" s="1"/>
  <c r="S39" i="18"/>
  <c r="T39" i="18"/>
  <c r="S40" i="18"/>
  <c r="T40" i="18"/>
  <c r="R40" i="18" s="1"/>
  <c r="S41" i="18"/>
  <c r="T41" i="18"/>
  <c r="R41" i="18" s="1"/>
  <c r="S42" i="18"/>
  <c r="T42" i="18"/>
  <c r="R42" i="18" s="1"/>
  <c r="S43" i="18"/>
  <c r="T43" i="18"/>
  <c r="S44" i="18"/>
  <c r="T44" i="18"/>
  <c r="R44" i="18" s="1"/>
  <c r="S45" i="18"/>
  <c r="T45" i="18"/>
  <c r="R45" i="18" s="1"/>
  <c r="S46" i="18"/>
  <c r="T46" i="18"/>
  <c r="R46" i="18" s="1"/>
  <c r="S47" i="18"/>
  <c r="T47" i="18"/>
  <c r="S48" i="18"/>
  <c r="T48" i="18"/>
  <c r="R48" i="18" s="1"/>
  <c r="S49" i="18"/>
  <c r="T49" i="18"/>
  <c r="R49" i="18" s="1"/>
  <c r="S50" i="18"/>
  <c r="T50" i="18"/>
  <c r="R50" i="18" s="1"/>
  <c r="S51" i="18"/>
  <c r="T51" i="18"/>
  <c r="T4" i="18"/>
  <c r="R4" i="18" s="1"/>
  <c r="S4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C17" i="18"/>
  <c r="D17" i="18"/>
  <c r="E17" i="18"/>
  <c r="F17" i="18"/>
  <c r="G17" i="18"/>
  <c r="H17" i="18"/>
  <c r="I17" i="18"/>
  <c r="J17" i="18"/>
  <c r="K17" i="18"/>
  <c r="L17" i="18"/>
  <c r="M17" i="18"/>
  <c r="B17" i="18"/>
  <c r="G11" i="18"/>
  <c r="H11" i="18" s="1"/>
  <c r="M51" i="17"/>
  <c r="I51" i="17"/>
  <c r="J51" i="17" s="1"/>
  <c r="U51" i="18" s="1"/>
  <c r="F51" i="17"/>
  <c r="L51" i="17" s="1"/>
  <c r="M43" i="17"/>
  <c r="I43" i="17"/>
  <c r="F43" i="17"/>
  <c r="J43" i="17" s="1"/>
  <c r="U43" i="18" s="1"/>
  <c r="M35" i="17"/>
  <c r="I35" i="17"/>
  <c r="F35" i="17"/>
  <c r="M27" i="17"/>
  <c r="I27" i="17"/>
  <c r="F27" i="17"/>
  <c r="L27" i="17" s="1"/>
  <c r="M19" i="17"/>
  <c r="I19" i="17"/>
  <c r="F19" i="17"/>
  <c r="L19" i="17" s="1"/>
  <c r="M11" i="17"/>
  <c r="I11" i="17"/>
  <c r="F11" i="17"/>
  <c r="I50" i="17"/>
  <c r="F50" i="17"/>
  <c r="I42" i="17"/>
  <c r="F42" i="17"/>
  <c r="J42" i="17" s="1"/>
  <c r="U42" i="18" s="1"/>
  <c r="I34" i="17"/>
  <c r="F34" i="17"/>
  <c r="I26" i="17"/>
  <c r="F26" i="17"/>
  <c r="J26" i="17" s="1"/>
  <c r="U26" i="18" s="1"/>
  <c r="I18" i="17"/>
  <c r="F18" i="17"/>
  <c r="J18" i="17" s="1"/>
  <c r="U18" i="18" s="1"/>
  <c r="I10" i="17"/>
  <c r="F10" i="17"/>
  <c r="J10" i="17" s="1"/>
  <c r="U10" i="18" s="1"/>
  <c r="M49" i="17"/>
  <c r="I49" i="17"/>
  <c r="F49" i="17"/>
  <c r="L49" i="17" s="1"/>
  <c r="M41" i="17"/>
  <c r="I41" i="17"/>
  <c r="F41" i="17"/>
  <c r="M33" i="17"/>
  <c r="I33" i="17"/>
  <c r="F33" i="17"/>
  <c r="J33" i="17" s="1"/>
  <c r="U33" i="18" s="1"/>
  <c r="M25" i="17"/>
  <c r="J25" i="17"/>
  <c r="U25" i="18" s="1"/>
  <c r="I25" i="17"/>
  <c r="F25" i="17"/>
  <c r="L25" i="17" s="1"/>
  <c r="M17" i="17"/>
  <c r="I17" i="17"/>
  <c r="J17" i="17" s="1"/>
  <c r="U17" i="18" s="1"/>
  <c r="F17" i="17"/>
  <c r="L17" i="17" s="1"/>
  <c r="M9" i="17"/>
  <c r="I9" i="17"/>
  <c r="F9" i="17"/>
  <c r="J9" i="17" s="1"/>
  <c r="U9" i="18" s="1"/>
  <c r="I48" i="17"/>
  <c r="J48" i="17" s="1"/>
  <c r="U48" i="18" s="1"/>
  <c r="F48" i="17"/>
  <c r="I40" i="17"/>
  <c r="F40" i="17"/>
  <c r="L40" i="17" s="1"/>
  <c r="I32" i="17"/>
  <c r="F32" i="17"/>
  <c r="I24" i="17"/>
  <c r="F24" i="17"/>
  <c r="J24" i="17" s="1"/>
  <c r="M24" i="17" s="1"/>
  <c r="I16" i="17"/>
  <c r="F16" i="17"/>
  <c r="J16" i="17" s="1"/>
  <c r="U16" i="18" s="1"/>
  <c r="J8" i="17"/>
  <c r="U8" i="18" s="1"/>
  <c r="I8" i="17"/>
  <c r="F8" i="17"/>
  <c r="I47" i="17"/>
  <c r="F47" i="17"/>
  <c r="I39" i="17"/>
  <c r="F39" i="17"/>
  <c r="J39" i="17" s="1"/>
  <c r="U39" i="18" s="1"/>
  <c r="M31" i="17"/>
  <c r="J31" i="17"/>
  <c r="U31" i="18" s="1"/>
  <c r="I31" i="17"/>
  <c r="F31" i="17"/>
  <c r="L31" i="17" s="1"/>
  <c r="I23" i="17"/>
  <c r="J23" i="17" s="1"/>
  <c r="U23" i="18" s="1"/>
  <c r="F23" i="17"/>
  <c r="I15" i="17"/>
  <c r="F15" i="17"/>
  <c r="I7" i="17"/>
  <c r="F7" i="17"/>
  <c r="I46" i="17"/>
  <c r="F46" i="17"/>
  <c r="J46" i="17" s="1"/>
  <c r="U46" i="18" s="1"/>
  <c r="I38" i="17"/>
  <c r="F38" i="17"/>
  <c r="J38" i="17" s="1"/>
  <c r="U38" i="18" s="1"/>
  <c r="I30" i="17"/>
  <c r="F30" i="17"/>
  <c r="I22" i="17"/>
  <c r="F22" i="17"/>
  <c r="J14" i="17"/>
  <c r="U14" i="18" s="1"/>
  <c r="I14" i="17"/>
  <c r="F14" i="17"/>
  <c r="I6" i="17"/>
  <c r="J6" i="17" s="1"/>
  <c r="U6" i="18" s="1"/>
  <c r="F6" i="17"/>
  <c r="I45" i="17"/>
  <c r="F45" i="17"/>
  <c r="I37" i="17"/>
  <c r="L37" i="17" s="1"/>
  <c r="F37" i="17"/>
  <c r="I29" i="17"/>
  <c r="J29" i="17" s="1"/>
  <c r="U29" i="18" s="1"/>
  <c r="F29" i="17"/>
  <c r="I21" i="17"/>
  <c r="J21" i="17" s="1"/>
  <c r="M21" i="17" s="1"/>
  <c r="F21" i="17"/>
  <c r="I13" i="17"/>
  <c r="L13" i="17" s="1"/>
  <c r="F13" i="17"/>
  <c r="I5" i="17"/>
  <c r="F5" i="17"/>
  <c r="L5" i="17"/>
  <c r="I44" i="17"/>
  <c r="F44" i="17"/>
  <c r="I36" i="17"/>
  <c r="F36" i="17"/>
  <c r="I28" i="17"/>
  <c r="F28" i="17"/>
  <c r="J28" i="17" s="1"/>
  <c r="M28" i="17" s="1"/>
  <c r="I20" i="17"/>
  <c r="F20" i="17"/>
  <c r="I12" i="17"/>
  <c r="F12" i="17"/>
  <c r="J12" i="17" s="1"/>
  <c r="U12" i="18" s="1"/>
  <c r="I4" i="17"/>
  <c r="F4" i="17"/>
  <c r="J4" i="17" s="1"/>
  <c r="M4" i="17" s="1"/>
  <c r="L44" i="17" l="1"/>
  <c r="J22" i="17"/>
  <c r="U22" i="18" s="1"/>
  <c r="L15" i="17"/>
  <c r="J34" i="17"/>
  <c r="J50" i="17"/>
  <c r="U50" i="18" s="1"/>
  <c r="J35" i="17"/>
  <c r="U35" i="18" s="1"/>
  <c r="U28" i="18"/>
  <c r="U24" i="18"/>
  <c r="U21" i="18"/>
  <c r="J40" i="17"/>
  <c r="U40" i="18" s="1"/>
  <c r="J36" i="17"/>
  <c r="J44" i="17"/>
  <c r="U44" i="18" s="1"/>
  <c r="J7" i="17"/>
  <c r="U7" i="18" s="1"/>
  <c r="J41" i="17"/>
  <c r="U41" i="18" s="1"/>
  <c r="J49" i="17"/>
  <c r="U49" i="18" s="1"/>
  <c r="J11" i="17"/>
  <c r="U11" i="18" s="1"/>
  <c r="J19" i="17"/>
  <c r="U19" i="18" s="1"/>
  <c r="J27" i="17"/>
  <c r="U27" i="18" s="1"/>
  <c r="U4" i="18"/>
  <c r="L4" i="17"/>
  <c r="L20" i="17"/>
  <c r="M12" i="17"/>
  <c r="L29" i="17"/>
  <c r="L45" i="17"/>
  <c r="M6" i="17"/>
  <c r="L38" i="17"/>
  <c r="M23" i="17"/>
  <c r="L32" i="17"/>
  <c r="M40" i="17"/>
  <c r="L12" i="17"/>
  <c r="L6" i="17"/>
  <c r="L30" i="17"/>
  <c r="M38" i="17"/>
  <c r="L23" i="17"/>
  <c r="L28" i="17"/>
  <c r="J20" i="17"/>
  <c r="L36" i="17"/>
  <c r="M44" i="17"/>
  <c r="J5" i="17"/>
  <c r="J13" i="17"/>
  <c r="L21" i="17"/>
  <c r="M29" i="17"/>
  <c r="J37" i="17"/>
  <c r="L14" i="17"/>
  <c r="L22" i="17"/>
  <c r="L46" i="17"/>
  <c r="L7" i="17"/>
  <c r="L39" i="17"/>
  <c r="M8" i="17"/>
  <c r="M16" i="17"/>
  <c r="L10" i="17"/>
  <c r="M18" i="17"/>
  <c r="M26" i="17"/>
  <c r="L34" i="17"/>
  <c r="L42" i="17"/>
  <c r="M50" i="17"/>
  <c r="M48" i="17"/>
  <c r="L41" i="17"/>
  <c r="L43" i="17"/>
  <c r="L48" i="17"/>
  <c r="M22" i="17"/>
  <c r="M7" i="17"/>
  <c r="L24" i="17"/>
  <c r="J45" i="17"/>
  <c r="M14" i="17"/>
  <c r="J30" i="17"/>
  <c r="M46" i="17"/>
  <c r="J15" i="17"/>
  <c r="M39" i="17"/>
  <c r="L47" i="17"/>
  <c r="L8" i="17"/>
  <c r="L16" i="17"/>
  <c r="L9" i="17"/>
  <c r="M10" i="17"/>
  <c r="L26" i="17"/>
  <c r="M42" i="17"/>
  <c r="L11" i="17"/>
  <c r="J47" i="17"/>
  <c r="J32" i="17"/>
  <c r="L33" i="17"/>
  <c r="L18" i="17"/>
  <c r="L50" i="17"/>
  <c r="L35" i="17"/>
  <c r="G8" i="5"/>
  <c r="H8" i="5"/>
  <c r="I8" i="5"/>
  <c r="J8" i="5"/>
  <c r="K8" i="5"/>
  <c r="L8" i="5"/>
  <c r="M8" i="5"/>
  <c r="N8" i="5"/>
  <c r="O8" i="5"/>
  <c r="P8" i="5"/>
  <c r="Q8" i="5"/>
  <c r="G9" i="5"/>
  <c r="H9" i="5"/>
  <c r="I9" i="5"/>
  <c r="J9" i="5"/>
  <c r="K9" i="5"/>
  <c r="L9" i="5"/>
  <c r="M9" i="5"/>
  <c r="N9" i="5"/>
  <c r="O9" i="5"/>
  <c r="P9" i="5"/>
  <c r="Q9" i="5"/>
  <c r="G10" i="5"/>
  <c r="H10" i="5"/>
  <c r="I10" i="5"/>
  <c r="J10" i="5"/>
  <c r="K10" i="5"/>
  <c r="L10" i="5"/>
  <c r="M10" i="5"/>
  <c r="N10" i="5"/>
  <c r="O10" i="5"/>
  <c r="P10" i="5"/>
  <c r="Q10" i="5"/>
  <c r="G11" i="5"/>
  <c r="H11" i="5"/>
  <c r="I11" i="5"/>
  <c r="J11" i="5"/>
  <c r="K11" i="5"/>
  <c r="L11" i="5"/>
  <c r="M11" i="5"/>
  <c r="N11" i="5"/>
  <c r="O11" i="5"/>
  <c r="P11" i="5"/>
  <c r="Q11" i="5"/>
  <c r="G12" i="5"/>
  <c r="H12" i="5"/>
  <c r="I12" i="5"/>
  <c r="J12" i="5"/>
  <c r="K12" i="5"/>
  <c r="L12" i="5"/>
  <c r="M12" i="5"/>
  <c r="N12" i="5"/>
  <c r="O12" i="5"/>
  <c r="P12" i="5"/>
  <c r="Q12" i="5"/>
  <c r="G13" i="5"/>
  <c r="H13" i="5"/>
  <c r="I13" i="5"/>
  <c r="J13" i="5"/>
  <c r="K13" i="5"/>
  <c r="L13" i="5"/>
  <c r="M13" i="5"/>
  <c r="N13" i="5"/>
  <c r="O13" i="5"/>
  <c r="P13" i="5"/>
  <c r="Q13" i="5"/>
  <c r="G14" i="5"/>
  <c r="H14" i="5"/>
  <c r="I14" i="5"/>
  <c r="J14" i="5"/>
  <c r="K14" i="5"/>
  <c r="L14" i="5"/>
  <c r="M14" i="5"/>
  <c r="N14" i="5"/>
  <c r="O14" i="5"/>
  <c r="P14" i="5"/>
  <c r="Q14" i="5"/>
  <c r="G15" i="5"/>
  <c r="H15" i="5"/>
  <c r="I15" i="5"/>
  <c r="J15" i="5"/>
  <c r="K15" i="5"/>
  <c r="L15" i="5"/>
  <c r="M15" i="5"/>
  <c r="N15" i="5"/>
  <c r="O15" i="5"/>
  <c r="P15" i="5"/>
  <c r="Q15" i="5"/>
  <c r="G16" i="5"/>
  <c r="H16" i="5"/>
  <c r="I16" i="5"/>
  <c r="J16" i="5"/>
  <c r="K16" i="5"/>
  <c r="L16" i="5"/>
  <c r="M16" i="5"/>
  <c r="N16" i="5"/>
  <c r="O16" i="5"/>
  <c r="P16" i="5"/>
  <c r="Q16" i="5"/>
  <c r="G17" i="5"/>
  <c r="H17" i="5"/>
  <c r="I17" i="5"/>
  <c r="J17" i="5"/>
  <c r="K17" i="5"/>
  <c r="L17" i="5"/>
  <c r="M17" i="5"/>
  <c r="N17" i="5"/>
  <c r="O17" i="5"/>
  <c r="P17" i="5"/>
  <c r="Q17" i="5"/>
  <c r="G18" i="5"/>
  <c r="H18" i="5"/>
  <c r="I18" i="5"/>
  <c r="J18" i="5"/>
  <c r="K18" i="5"/>
  <c r="L18" i="5"/>
  <c r="M18" i="5"/>
  <c r="N18" i="5"/>
  <c r="O18" i="5"/>
  <c r="P18" i="5"/>
  <c r="Q18" i="5"/>
  <c r="G19" i="5"/>
  <c r="H19" i="5"/>
  <c r="I19" i="5"/>
  <c r="J19" i="5"/>
  <c r="K19" i="5"/>
  <c r="L19" i="5"/>
  <c r="M19" i="5"/>
  <c r="N19" i="5"/>
  <c r="O19" i="5"/>
  <c r="P19" i="5"/>
  <c r="Q19" i="5"/>
  <c r="G20" i="5"/>
  <c r="H20" i="5"/>
  <c r="I20" i="5"/>
  <c r="J20" i="5"/>
  <c r="K20" i="5"/>
  <c r="L20" i="5"/>
  <c r="M20" i="5"/>
  <c r="N20" i="5"/>
  <c r="O20" i="5"/>
  <c r="P20" i="5"/>
  <c r="Q20" i="5"/>
  <c r="G21" i="5"/>
  <c r="H21" i="5"/>
  <c r="I21" i="5"/>
  <c r="J21" i="5"/>
  <c r="K21" i="5"/>
  <c r="L21" i="5"/>
  <c r="M21" i="5"/>
  <c r="N21" i="5"/>
  <c r="O21" i="5"/>
  <c r="P21" i="5"/>
  <c r="Q21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D22" i="5"/>
  <c r="D23" i="5"/>
  <c r="D24" i="5"/>
  <c r="D25" i="5"/>
  <c r="D26" i="5"/>
  <c r="D27" i="5"/>
  <c r="D28" i="5"/>
  <c r="D29" i="5"/>
  <c r="D30" i="5"/>
  <c r="D31" i="5"/>
  <c r="D32" i="5"/>
  <c r="D33" i="5"/>
  <c r="B20" i="14"/>
  <c r="D20" i="14" s="1"/>
  <c r="S20" i="14" s="1"/>
  <c r="T20" i="14" s="1"/>
  <c r="C20" i="14"/>
  <c r="F20" i="14"/>
  <c r="G20" i="14" s="1"/>
  <c r="H20" i="14" s="1"/>
  <c r="I20" i="14" s="1"/>
  <c r="J20" i="14" s="1"/>
  <c r="K20" i="14"/>
  <c r="L20" i="14" s="1"/>
  <c r="M20" i="14" s="1"/>
  <c r="N20" i="14" s="1"/>
  <c r="O20" i="14" s="1"/>
  <c r="P20" i="14" s="1"/>
  <c r="Q20" i="14" s="1"/>
  <c r="R20" i="14" s="1"/>
  <c r="B21" i="14"/>
  <c r="C21" i="14"/>
  <c r="D21" i="14"/>
  <c r="G21" i="14" s="1"/>
  <c r="H21" i="14" s="1"/>
  <c r="I21" i="14" s="1"/>
  <c r="J21" i="14" s="1"/>
  <c r="K21" i="14" s="1"/>
  <c r="L21" i="14" s="1"/>
  <c r="M21" i="14" s="1"/>
  <c r="N21" i="14" s="1"/>
  <c r="O21" i="14" s="1"/>
  <c r="P21" i="14" s="1"/>
  <c r="Q21" i="14" s="1"/>
  <c r="R21" i="14" s="1"/>
  <c r="F21" i="14"/>
  <c r="S21" i="14"/>
  <c r="T21" i="14" s="1"/>
  <c r="U21" i="14"/>
  <c r="B22" i="14"/>
  <c r="C22" i="14"/>
  <c r="F22" i="14"/>
  <c r="B23" i="14"/>
  <c r="C23" i="14"/>
  <c r="D23" i="14"/>
  <c r="F23" i="14"/>
  <c r="G23" i="14"/>
  <c r="H23" i="14" s="1"/>
  <c r="I23" i="14"/>
  <c r="J23" i="14" s="1"/>
  <c r="K23" i="14" s="1"/>
  <c r="L23" i="14" s="1"/>
  <c r="M23" i="14" s="1"/>
  <c r="N23" i="14" s="1"/>
  <c r="O23" i="14" s="1"/>
  <c r="P23" i="14" s="1"/>
  <c r="Q23" i="14" s="1"/>
  <c r="R23" i="14" s="1"/>
  <c r="S23" i="14"/>
  <c r="T23" i="14"/>
  <c r="U23" i="14"/>
  <c r="B24" i="14"/>
  <c r="D24" i="14" s="1"/>
  <c r="C24" i="14"/>
  <c r="F24" i="14"/>
  <c r="G24" i="14"/>
  <c r="H24" i="14" s="1"/>
  <c r="I24" i="14"/>
  <c r="J24" i="14" s="1"/>
  <c r="K24" i="14" s="1"/>
  <c r="L24" i="14" s="1"/>
  <c r="M24" i="14" s="1"/>
  <c r="N24" i="14" s="1"/>
  <c r="O24" i="14" s="1"/>
  <c r="P24" i="14" s="1"/>
  <c r="Q24" i="14" s="1"/>
  <c r="R24" i="14" s="1"/>
  <c r="B25" i="14"/>
  <c r="C25" i="14"/>
  <c r="D25" i="14"/>
  <c r="F25" i="14"/>
  <c r="G25" i="14"/>
  <c r="H25" i="14" s="1"/>
  <c r="I25" i="14" s="1"/>
  <c r="J25" i="14" s="1"/>
  <c r="K25" i="14" s="1"/>
  <c r="L25" i="14" s="1"/>
  <c r="M25" i="14" s="1"/>
  <c r="N25" i="14" s="1"/>
  <c r="O25" i="14" s="1"/>
  <c r="P25" i="14" s="1"/>
  <c r="Q25" i="14" s="1"/>
  <c r="R25" i="14" s="1"/>
  <c r="U25" i="14"/>
  <c r="B26" i="14"/>
  <c r="D26" i="14" s="1"/>
  <c r="C26" i="14"/>
  <c r="F26" i="14"/>
  <c r="G26" i="14"/>
  <c r="H26" i="14" s="1"/>
  <c r="I26" i="14"/>
  <c r="J26" i="14"/>
  <c r="K26" i="14" s="1"/>
  <c r="L26" i="14" s="1"/>
  <c r="M26" i="14" s="1"/>
  <c r="N26" i="14" s="1"/>
  <c r="O26" i="14"/>
  <c r="P26" i="14" s="1"/>
  <c r="Q26" i="14" s="1"/>
  <c r="R26" i="14" s="1"/>
  <c r="U26" i="14"/>
  <c r="B27" i="14"/>
  <c r="C27" i="14"/>
  <c r="D27" i="14"/>
  <c r="F27" i="14"/>
  <c r="G27" i="14"/>
  <c r="H27" i="14" s="1"/>
  <c r="I27" i="14" s="1"/>
  <c r="J27" i="14" s="1"/>
  <c r="K27" i="14" s="1"/>
  <c r="L27" i="14" s="1"/>
  <c r="M27" i="14" s="1"/>
  <c r="N27" i="14" s="1"/>
  <c r="O27" i="14" s="1"/>
  <c r="P27" i="14" s="1"/>
  <c r="Q27" i="14" s="1"/>
  <c r="R27" i="14" s="1"/>
  <c r="U27" i="14"/>
  <c r="B28" i="14"/>
  <c r="D28" i="14" s="1"/>
  <c r="C28" i="14"/>
  <c r="F28" i="14"/>
  <c r="G28" i="14" s="1"/>
  <c r="H28" i="14" s="1"/>
  <c r="I28" i="14" s="1"/>
  <c r="J28" i="14" s="1"/>
  <c r="K28" i="14" s="1"/>
  <c r="L28" i="14" s="1"/>
  <c r="M28" i="14" s="1"/>
  <c r="N28" i="14" s="1"/>
  <c r="O28" i="14" s="1"/>
  <c r="P28" i="14" s="1"/>
  <c r="Q28" i="14" s="1"/>
  <c r="R28" i="14" s="1"/>
  <c r="U28" i="14"/>
  <c r="B29" i="14"/>
  <c r="C29" i="14"/>
  <c r="D29" i="14"/>
  <c r="F29" i="14"/>
  <c r="G29" i="14"/>
  <c r="H29" i="14"/>
  <c r="U29" i="14"/>
  <c r="B30" i="14"/>
  <c r="C30" i="14"/>
  <c r="F30" i="14"/>
  <c r="G30" i="14"/>
  <c r="H30" i="14" s="1"/>
  <c r="B31" i="14"/>
  <c r="C31" i="14"/>
  <c r="D31" i="14"/>
  <c r="F31" i="14"/>
  <c r="G31" i="14"/>
  <c r="H31" i="14"/>
  <c r="I31" i="14"/>
  <c r="J31" i="14" s="1"/>
  <c r="K31" i="14" s="1"/>
  <c r="L31" i="14" s="1"/>
  <c r="M31" i="14" s="1"/>
  <c r="N31" i="14" s="1"/>
  <c r="O31" i="14" s="1"/>
  <c r="P31" i="14" s="1"/>
  <c r="Q31" i="14" s="1"/>
  <c r="R31" i="14" s="1"/>
  <c r="U31" i="14"/>
  <c r="B32" i="14"/>
  <c r="C32" i="14"/>
  <c r="S24" i="14" s="1"/>
  <c r="T24" i="14" s="1"/>
  <c r="F32" i="14"/>
  <c r="G32" i="14"/>
  <c r="H32" i="14" s="1"/>
  <c r="B33" i="14"/>
  <c r="C33" i="14"/>
  <c r="D33" i="14"/>
  <c r="F33" i="14"/>
  <c r="G33" i="14"/>
  <c r="H33" i="14" s="1"/>
  <c r="I33" i="14" s="1"/>
  <c r="J33" i="14" s="1"/>
  <c r="K33" i="14" s="1"/>
  <c r="L33" i="14" s="1"/>
  <c r="M33" i="14" s="1"/>
  <c r="N33" i="14" s="1"/>
  <c r="O33" i="14" s="1"/>
  <c r="P33" i="14" s="1"/>
  <c r="Q33" i="14" s="1"/>
  <c r="R33" i="14" s="1"/>
  <c r="U33" i="14"/>
  <c r="B34" i="14"/>
  <c r="D34" i="14" s="1"/>
  <c r="C34" i="14"/>
  <c r="S41" i="14" s="1"/>
  <c r="T41" i="14" s="1"/>
  <c r="F34" i="14"/>
  <c r="G34" i="14"/>
  <c r="H34" i="14" s="1"/>
  <c r="I34" i="14"/>
  <c r="J34" i="14" s="1"/>
  <c r="K34" i="14" s="1"/>
  <c r="L34" i="14" s="1"/>
  <c r="M34" i="14" s="1"/>
  <c r="N34" i="14" s="1"/>
  <c r="O34" i="14" s="1"/>
  <c r="P34" i="14" s="1"/>
  <c r="Q34" i="14" s="1"/>
  <c r="R34" i="14" s="1"/>
  <c r="U34" i="14"/>
  <c r="B35" i="14"/>
  <c r="C35" i="14"/>
  <c r="S34" i="14" s="1"/>
  <c r="T34" i="14" s="1"/>
  <c r="D35" i="14"/>
  <c r="F35" i="14"/>
  <c r="G35" i="14"/>
  <c r="H35" i="14" s="1"/>
  <c r="I35" i="14" s="1"/>
  <c r="J35" i="14" s="1"/>
  <c r="K35" i="14"/>
  <c r="L35" i="14" s="1"/>
  <c r="M35" i="14" s="1"/>
  <c r="N35" i="14" s="1"/>
  <c r="O35" i="14" s="1"/>
  <c r="P35" i="14" s="1"/>
  <c r="Q35" i="14" s="1"/>
  <c r="R35" i="14" s="1"/>
  <c r="U35" i="14"/>
  <c r="B36" i="14"/>
  <c r="D36" i="14" s="1"/>
  <c r="C36" i="14"/>
  <c r="F36" i="14"/>
  <c r="G36" i="14" s="1"/>
  <c r="H36" i="14" s="1"/>
  <c r="I36" i="14" s="1"/>
  <c r="J36" i="14" s="1"/>
  <c r="K36" i="14" s="1"/>
  <c r="L36" i="14" s="1"/>
  <c r="M36" i="14" s="1"/>
  <c r="N36" i="14" s="1"/>
  <c r="O36" i="14" s="1"/>
  <c r="P36" i="14" s="1"/>
  <c r="Q36" i="14" s="1"/>
  <c r="R36" i="14" s="1"/>
  <c r="U36" i="14"/>
  <c r="B37" i="14"/>
  <c r="C37" i="14"/>
  <c r="D37" i="14"/>
  <c r="F37" i="14"/>
  <c r="G37" i="14"/>
  <c r="H37" i="14" s="1"/>
  <c r="I37" i="14" s="1"/>
  <c r="J37" i="14" s="1"/>
  <c r="K37" i="14" s="1"/>
  <c r="L37" i="14" s="1"/>
  <c r="M37" i="14" s="1"/>
  <c r="N37" i="14" s="1"/>
  <c r="O37" i="14" s="1"/>
  <c r="P37" i="14" s="1"/>
  <c r="Q37" i="14" s="1"/>
  <c r="R37" i="14" s="1"/>
  <c r="U37" i="14"/>
  <c r="B38" i="14"/>
  <c r="D38" i="14" s="1"/>
  <c r="C38" i="14"/>
  <c r="F38" i="14"/>
  <c r="G38" i="14"/>
  <c r="H38" i="14" s="1"/>
  <c r="U38" i="14"/>
  <c r="B39" i="14"/>
  <c r="C39" i="14"/>
  <c r="D39" i="14"/>
  <c r="F39" i="14"/>
  <c r="G39" i="14"/>
  <c r="H39" i="14"/>
  <c r="U39" i="14"/>
  <c r="B40" i="14"/>
  <c r="D40" i="14" s="1"/>
  <c r="C40" i="14"/>
  <c r="F40" i="14"/>
  <c r="G40" i="14" s="1"/>
  <c r="H40" i="14" s="1"/>
  <c r="B41" i="14"/>
  <c r="C41" i="14"/>
  <c r="D41" i="14"/>
  <c r="F41" i="14"/>
  <c r="G41" i="14"/>
  <c r="H41" i="14" s="1"/>
  <c r="I41" i="14" s="1"/>
  <c r="J41" i="14" s="1"/>
  <c r="K41" i="14" s="1"/>
  <c r="L41" i="14" s="1"/>
  <c r="M41" i="14" s="1"/>
  <c r="N41" i="14" s="1"/>
  <c r="O41" i="14" s="1"/>
  <c r="P41" i="14" s="1"/>
  <c r="Q41" i="14" s="1"/>
  <c r="R41" i="14" s="1"/>
  <c r="U41" i="14"/>
  <c r="B42" i="14"/>
  <c r="D42" i="14" s="1"/>
  <c r="C42" i="14"/>
  <c r="F42" i="14"/>
  <c r="G42" i="14" s="1"/>
  <c r="H42" i="14" s="1"/>
  <c r="I42" i="14" s="1"/>
  <c r="J42" i="14" s="1"/>
  <c r="K42" i="14" s="1"/>
  <c r="L42" i="14" s="1"/>
  <c r="M42" i="14" s="1"/>
  <c r="N42" i="14" s="1"/>
  <c r="O42" i="14" s="1"/>
  <c r="P42" i="14" s="1"/>
  <c r="Q42" i="14" s="1"/>
  <c r="R42" i="14" s="1"/>
  <c r="U42" i="14"/>
  <c r="B43" i="14"/>
  <c r="C43" i="14"/>
  <c r="S44" i="14" s="1"/>
  <c r="T44" i="14" s="1"/>
  <c r="D43" i="14"/>
  <c r="F43" i="14"/>
  <c r="G43" i="14"/>
  <c r="H43" i="14" s="1"/>
  <c r="I43" i="14" s="1"/>
  <c r="J43" i="14" s="1"/>
  <c r="K43" i="14" s="1"/>
  <c r="L43" i="14" s="1"/>
  <c r="M43" i="14" s="1"/>
  <c r="N43" i="14" s="1"/>
  <c r="O43" i="14" s="1"/>
  <c r="P43" i="14" s="1"/>
  <c r="Q43" i="14" s="1"/>
  <c r="R43" i="14" s="1"/>
  <c r="U43" i="14"/>
  <c r="B44" i="14"/>
  <c r="D44" i="14" s="1"/>
  <c r="C44" i="14"/>
  <c r="F44" i="14"/>
  <c r="G44" i="14" s="1"/>
  <c r="H44" i="14" s="1"/>
  <c r="I44" i="14" s="1"/>
  <c r="J44" i="14" s="1"/>
  <c r="K44" i="14" s="1"/>
  <c r="L44" i="14" s="1"/>
  <c r="M44" i="14" s="1"/>
  <c r="N44" i="14" s="1"/>
  <c r="O44" i="14" s="1"/>
  <c r="P44" i="14" s="1"/>
  <c r="Q44" i="14" s="1"/>
  <c r="R44" i="14" s="1"/>
  <c r="B45" i="14"/>
  <c r="C45" i="14"/>
  <c r="D45" i="14"/>
  <c r="S45" i="14" s="1"/>
  <c r="T45" i="14" s="1"/>
  <c r="F45" i="14"/>
  <c r="G45" i="14"/>
  <c r="H45" i="14"/>
  <c r="I45" i="14" s="1"/>
  <c r="J45" i="14" s="1"/>
  <c r="K45" i="14" s="1"/>
  <c r="L45" i="14" s="1"/>
  <c r="M45" i="14" s="1"/>
  <c r="N45" i="14" s="1"/>
  <c r="O45" i="14" s="1"/>
  <c r="P45" i="14" s="1"/>
  <c r="Q45" i="14" s="1"/>
  <c r="R45" i="14" s="1"/>
  <c r="U45" i="14"/>
  <c r="B46" i="14"/>
  <c r="D46" i="14" s="1"/>
  <c r="S46" i="14" s="1"/>
  <c r="T46" i="14" s="1"/>
  <c r="C46" i="14"/>
  <c r="F46" i="14"/>
  <c r="G46" i="14" s="1"/>
  <c r="H46" i="14" s="1"/>
  <c r="I46" i="14" s="1"/>
  <c r="J46" i="14" s="1"/>
  <c r="K46" i="14" s="1"/>
  <c r="L46" i="14" s="1"/>
  <c r="M46" i="14" s="1"/>
  <c r="N46" i="14" s="1"/>
  <c r="O46" i="14" s="1"/>
  <c r="P46" i="14" s="1"/>
  <c r="Q46" i="14" s="1"/>
  <c r="R46" i="14" s="1"/>
  <c r="B47" i="14"/>
  <c r="C47" i="14"/>
  <c r="D47" i="14"/>
  <c r="S47" i="14" s="1"/>
  <c r="T47" i="14" s="1"/>
  <c r="F47" i="14"/>
  <c r="G47" i="14"/>
  <c r="H47" i="14"/>
  <c r="I47" i="14" s="1"/>
  <c r="J47" i="14" s="1"/>
  <c r="K47" i="14" s="1"/>
  <c r="L47" i="14" s="1"/>
  <c r="M47" i="14" s="1"/>
  <c r="N47" i="14" s="1"/>
  <c r="O47" i="14" s="1"/>
  <c r="P47" i="14" s="1"/>
  <c r="Q47" i="14" s="1"/>
  <c r="R47" i="14" s="1"/>
  <c r="U47" i="14"/>
  <c r="V47" i="14" s="1"/>
  <c r="W47" i="14" s="1"/>
  <c r="B48" i="14"/>
  <c r="D48" i="14" s="1"/>
  <c r="S48" i="14" s="1"/>
  <c r="T48" i="14" s="1"/>
  <c r="C48" i="14"/>
  <c r="F48" i="14"/>
  <c r="G48" i="14" s="1"/>
  <c r="H48" i="14" s="1"/>
  <c r="B49" i="14"/>
  <c r="C49" i="14"/>
  <c r="D49" i="14"/>
  <c r="S49" i="14" s="1"/>
  <c r="T49" i="14" s="1"/>
  <c r="F49" i="14"/>
  <c r="G49" i="14"/>
  <c r="H49" i="14"/>
  <c r="I49" i="14" s="1"/>
  <c r="J49" i="14" s="1"/>
  <c r="K49" i="14" s="1"/>
  <c r="L49" i="14" s="1"/>
  <c r="M49" i="14" s="1"/>
  <c r="N49" i="14" s="1"/>
  <c r="O49" i="14" s="1"/>
  <c r="P49" i="14" s="1"/>
  <c r="Q49" i="14" s="1"/>
  <c r="R49" i="14" s="1"/>
  <c r="U49" i="14"/>
  <c r="B50" i="14"/>
  <c r="D50" i="14" s="1"/>
  <c r="S50" i="14" s="1"/>
  <c r="T50" i="14" s="1"/>
  <c r="C50" i="14"/>
  <c r="F50" i="14"/>
  <c r="G50" i="14" s="1"/>
  <c r="H50" i="14" s="1"/>
  <c r="I50" i="14" s="1"/>
  <c r="J50" i="14" s="1"/>
  <c r="K50" i="14" s="1"/>
  <c r="L50" i="14" s="1"/>
  <c r="M50" i="14" s="1"/>
  <c r="N50" i="14" s="1"/>
  <c r="O50" i="14" s="1"/>
  <c r="P50" i="14" s="1"/>
  <c r="Q50" i="14" s="1"/>
  <c r="R50" i="14" s="1"/>
  <c r="B51" i="14"/>
  <c r="C51" i="14"/>
  <c r="D51" i="14"/>
  <c r="S51" i="14" s="1"/>
  <c r="T51" i="14" s="1"/>
  <c r="F51" i="14"/>
  <c r="G51" i="14"/>
  <c r="H51" i="14"/>
  <c r="I51" i="14" s="1"/>
  <c r="J51" i="14" s="1"/>
  <c r="K51" i="14" s="1"/>
  <c r="L51" i="14" s="1"/>
  <c r="M51" i="14" s="1"/>
  <c r="N51" i="14" s="1"/>
  <c r="O51" i="14" s="1"/>
  <c r="P51" i="14" s="1"/>
  <c r="Q51" i="14" s="1"/>
  <c r="R51" i="14" s="1"/>
  <c r="U51" i="14"/>
  <c r="V51" i="14" s="1"/>
  <c r="W51" i="14" s="1"/>
  <c r="M15" i="17" l="1"/>
  <c r="U15" i="18"/>
  <c r="M45" i="17"/>
  <c r="U45" i="18"/>
  <c r="M13" i="17"/>
  <c r="U13" i="18"/>
  <c r="M20" i="17"/>
  <c r="U20" i="18"/>
  <c r="M34" i="17"/>
  <c r="U34" i="18"/>
  <c r="M32" i="17"/>
  <c r="U32" i="18"/>
  <c r="M37" i="17"/>
  <c r="U37" i="18"/>
  <c r="M5" i="17"/>
  <c r="U5" i="18"/>
  <c r="M36" i="17"/>
  <c r="U36" i="18"/>
  <c r="M47" i="17"/>
  <c r="U47" i="18"/>
  <c r="M30" i="17"/>
  <c r="U30" i="18"/>
  <c r="V49" i="14"/>
  <c r="W49" i="14" s="1"/>
  <c r="V45" i="14"/>
  <c r="W45" i="14" s="1"/>
  <c r="I48" i="14"/>
  <c r="J48" i="14" s="1"/>
  <c r="K48" i="14" s="1"/>
  <c r="L48" i="14" s="1"/>
  <c r="M48" i="14" s="1"/>
  <c r="N48" i="14" s="1"/>
  <c r="O48" i="14" s="1"/>
  <c r="P48" i="14" s="1"/>
  <c r="Q48" i="14" s="1"/>
  <c r="R48" i="14" s="1"/>
  <c r="S40" i="14"/>
  <c r="T40" i="14" s="1"/>
  <c r="S38" i="14"/>
  <c r="T38" i="14" s="1"/>
  <c r="S29" i="14"/>
  <c r="T29" i="14" s="1"/>
  <c r="U48" i="14"/>
  <c r="V48" i="14" s="1"/>
  <c r="W48" i="14" s="1"/>
  <c r="U46" i="14"/>
  <c r="V46" i="14" s="1"/>
  <c r="W46" i="14" s="1"/>
  <c r="U44" i="14"/>
  <c r="V44" i="14" s="1"/>
  <c r="W44" i="14" s="1"/>
  <c r="S42" i="14"/>
  <c r="T42" i="14" s="1"/>
  <c r="I39" i="14"/>
  <c r="J39" i="14" s="1"/>
  <c r="K39" i="14" s="1"/>
  <c r="L39" i="14" s="1"/>
  <c r="M39" i="14" s="1"/>
  <c r="N39" i="14" s="1"/>
  <c r="O39" i="14" s="1"/>
  <c r="P39" i="14" s="1"/>
  <c r="Q39" i="14" s="1"/>
  <c r="R39" i="14" s="1"/>
  <c r="I38" i="14"/>
  <c r="J38" i="14" s="1"/>
  <c r="K38" i="14" s="1"/>
  <c r="L38" i="14" s="1"/>
  <c r="M38" i="14" s="1"/>
  <c r="N38" i="14" s="1"/>
  <c r="O38" i="14" s="1"/>
  <c r="P38" i="14" s="1"/>
  <c r="Q38" i="14" s="1"/>
  <c r="R38" i="14" s="1"/>
  <c r="S31" i="14"/>
  <c r="T31" i="14" s="1"/>
  <c r="D22" i="14"/>
  <c r="U22" i="14"/>
  <c r="V41" i="14"/>
  <c r="W41" i="14" s="1"/>
  <c r="I40" i="14"/>
  <c r="J40" i="14" s="1"/>
  <c r="K40" i="14" s="1"/>
  <c r="L40" i="14" s="1"/>
  <c r="M40" i="14" s="1"/>
  <c r="N40" i="14" s="1"/>
  <c r="O40" i="14" s="1"/>
  <c r="P40" i="14" s="1"/>
  <c r="Q40" i="14" s="1"/>
  <c r="R40" i="14" s="1"/>
  <c r="S39" i="14"/>
  <c r="T39" i="14" s="1"/>
  <c r="U50" i="14"/>
  <c r="V50" i="14" s="1"/>
  <c r="W50" i="14" s="1"/>
  <c r="U40" i="14"/>
  <c r="V40" i="14" s="1"/>
  <c r="W40" i="14" s="1"/>
  <c r="S36" i="14"/>
  <c r="V34" i="14"/>
  <c r="W34" i="14" s="1"/>
  <c r="D32" i="14"/>
  <c r="S32" i="14" s="1"/>
  <c r="T32" i="14" s="1"/>
  <c r="U32" i="14"/>
  <c r="D30" i="14"/>
  <c r="S30" i="14" s="1"/>
  <c r="T30" i="14" s="1"/>
  <c r="U30" i="14"/>
  <c r="I29" i="14"/>
  <c r="J29" i="14" s="1"/>
  <c r="K29" i="14" s="1"/>
  <c r="L29" i="14" s="1"/>
  <c r="M29" i="14" s="1"/>
  <c r="N29" i="14" s="1"/>
  <c r="O29" i="14" s="1"/>
  <c r="P29" i="14" s="1"/>
  <c r="Q29" i="14" s="1"/>
  <c r="R29" i="14" s="1"/>
  <c r="S28" i="14"/>
  <c r="S27" i="14"/>
  <c r="T27" i="14" s="1"/>
  <c r="S35" i="14"/>
  <c r="T35" i="14" s="1"/>
  <c r="S25" i="14"/>
  <c r="T25" i="14" s="1"/>
  <c r="S33" i="14"/>
  <c r="T33" i="14" s="1"/>
  <c r="S26" i="14"/>
  <c r="T26" i="14" s="1"/>
  <c r="S43" i="14"/>
  <c r="T43" i="14" s="1"/>
  <c r="S37" i="14"/>
  <c r="T37" i="14" s="1"/>
  <c r="V27" i="14"/>
  <c r="W27" i="14" s="1"/>
  <c r="U20" i="14"/>
  <c r="V20" i="14" s="1"/>
  <c r="W20" i="14" s="1"/>
  <c r="E20" i="14"/>
  <c r="E21" i="14" s="1"/>
  <c r="E22" i="14" s="1"/>
  <c r="E23" i="14" s="1"/>
  <c r="E24" i="14" s="1"/>
  <c r="V29" i="14"/>
  <c r="W29" i="14" s="1"/>
  <c r="V21" i="14"/>
  <c r="W21" i="14" s="1"/>
  <c r="V31" i="14"/>
  <c r="W31" i="14" s="1"/>
  <c r="U24" i="14"/>
  <c r="V24" i="14" s="1"/>
  <c r="W24" i="14" s="1"/>
  <c r="V23" i="14"/>
  <c r="W23" i="14" s="1"/>
  <c r="C15" i="7"/>
  <c r="C16" i="7"/>
  <c r="C17" i="7"/>
  <c r="C18" i="7"/>
  <c r="C19" i="7"/>
  <c r="H4" i="1"/>
  <c r="G4" i="1"/>
  <c r="K51" i="3"/>
  <c r="L51" i="3" s="1"/>
  <c r="E51" i="3"/>
  <c r="S10" i="7"/>
  <c r="S11" i="7"/>
  <c r="S12" i="7"/>
  <c r="S13" i="7"/>
  <c r="S14" i="7"/>
  <c r="S15" i="7"/>
  <c r="S18" i="7"/>
  <c r="S19" i="7"/>
  <c r="S20" i="7"/>
  <c r="S21" i="7"/>
  <c r="S22" i="7"/>
  <c r="S23" i="7"/>
  <c r="S24" i="7"/>
  <c r="S25" i="7"/>
  <c r="S26" i="7"/>
  <c r="S9" i="7"/>
  <c r="C37" i="7"/>
  <c r="C36" i="7"/>
  <c r="C35" i="7"/>
  <c r="C34" i="7"/>
  <c r="C33" i="7"/>
  <c r="C32" i="7"/>
  <c r="C31" i="7"/>
  <c r="C30" i="7"/>
  <c r="C29" i="7"/>
  <c r="C28" i="7"/>
  <c r="C27" i="7"/>
  <c r="C26" i="7"/>
  <c r="B29" i="12"/>
  <c r="B30" i="12"/>
  <c r="B31" i="12"/>
  <c r="F29" i="12"/>
  <c r="F30" i="12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C9" i="10"/>
  <c r="C11" i="10"/>
  <c r="C12" i="10"/>
  <c r="C13" i="10"/>
  <c r="C14" i="10"/>
  <c r="C15" i="10"/>
  <c r="C16" i="10"/>
  <c r="C17" i="10"/>
  <c r="C18" i="10"/>
  <c r="C19" i="10"/>
  <c r="C20" i="10"/>
  <c r="C24" i="10"/>
  <c r="C25" i="10"/>
  <c r="C26" i="10"/>
  <c r="C27" i="10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C25" i="5"/>
  <c r="C26" i="5"/>
  <c r="C27" i="5"/>
  <c r="C28" i="5"/>
  <c r="C29" i="5"/>
  <c r="C30" i="5"/>
  <c r="C31" i="5"/>
  <c r="C32" i="5"/>
  <c r="C33" i="5"/>
  <c r="C34" i="5"/>
  <c r="C35" i="5"/>
  <c r="S32" i="9"/>
  <c r="R32" i="9"/>
  <c r="S31" i="9"/>
  <c r="R31" i="9"/>
  <c r="S30" i="9"/>
  <c r="R30" i="9"/>
  <c r="S29" i="9"/>
  <c r="R29" i="9"/>
  <c r="S28" i="9"/>
  <c r="R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C27" i="8"/>
  <c r="C28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C18" i="8"/>
  <c r="C19" i="8"/>
  <c r="C20" i="8"/>
  <c r="C21" i="8"/>
  <c r="S32" i="7"/>
  <c r="S31" i="7"/>
  <c r="S30" i="7"/>
  <c r="S29" i="7"/>
  <c r="S28" i="7"/>
  <c r="S27" i="7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9" i="6"/>
  <c r="S22" i="14" l="1"/>
  <c r="T22" i="14" s="1"/>
  <c r="G22" i="14"/>
  <c r="H22" i="14" s="1"/>
  <c r="I22" i="14" s="1"/>
  <c r="J22" i="14" s="1"/>
  <c r="K22" i="14" s="1"/>
  <c r="L22" i="14" s="1"/>
  <c r="M22" i="14" s="1"/>
  <c r="N22" i="14" s="1"/>
  <c r="O22" i="14" s="1"/>
  <c r="P22" i="14" s="1"/>
  <c r="Q22" i="14" s="1"/>
  <c r="R22" i="14" s="1"/>
  <c r="V30" i="14"/>
  <c r="W30" i="14" s="1"/>
  <c r="V25" i="14"/>
  <c r="W25" i="14" s="1"/>
  <c r="V38" i="14"/>
  <c r="W38" i="14" s="1"/>
  <c r="E25" i="14"/>
  <c r="T36" i="14"/>
  <c r="V36" i="14"/>
  <c r="W36" i="14" s="1"/>
  <c r="V26" i="14"/>
  <c r="W26" i="14" s="1"/>
  <c r="V42" i="14"/>
  <c r="W42" i="14" s="1"/>
  <c r="I32" i="14"/>
  <c r="J32" i="14" s="1"/>
  <c r="K32" i="14" s="1"/>
  <c r="L32" i="14" s="1"/>
  <c r="M32" i="14" s="1"/>
  <c r="N32" i="14" s="1"/>
  <c r="O32" i="14" s="1"/>
  <c r="P32" i="14" s="1"/>
  <c r="Q32" i="14" s="1"/>
  <c r="R32" i="14" s="1"/>
  <c r="V37" i="14"/>
  <c r="W37" i="14" s="1"/>
  <c r="I30" i="14"/>
  <c r="J30" i="14" s="1"/>
  <c r="K30" i="14" s="1"/>
  <c r="L30" i="14" s="1"/>
  <c r="M30" i="14" s="1"/>
  <c r="N30" i="14" s="1"/>
  <c r="O30" i="14" s="1"/>
  <c r="P30" i="14" s="1"/>
  <c r="Q30" i="14" s="1"/>
  <c r="R30" i="14" s="1"/>
  <c r="T28" i="14"/>
  <c r="V28" i="14"/>
  <c r="W28" i="14" s="1"/>
  <c r="V32" i="14"/>
  <c r="W32" i="14" s="1"/>
  <c r="V39" i="14"/>
  <c r="W39" i="14" s="1"/>
  <c r="V35" i="14"/>
  <c r="W35" i="14" s="1"/>
  <c r="V22" i="14"/>
  <c r="W22" i="14" s="1"/>
  <c r="V33" i="14"/>
  <c r="W33" i="14" s="1"/>
  <c r="V43" i="14"/>
  <c r="W43" i="14" s="1"/>
  <c r="A63" i="16"/>
  <c r="A65" i="16" s="1"/>
  <c r="A67" i="16" s="1"/>
  <c r="A69" i="16" s="1"/>
  <c r="A71" i="16" s="1"/>
  <c r="E26" i="14" l="1"/>
  <c r="A8" i="11"/>
  <c r="E27" i="14" l="1"/>
  <c r="E28" i="14" s="1"/>
  <c r="E29" i="14" s="1"/>
  <c r="E30" i="14" s="1"/>
  <c r="E31" i="14" s="1"/>
  <c r="E32" i="14" s="1"/>
  <c r="E33" i="14" s="1"/>
  <c r="E34" i="14" s="1"/>
  <c r="E35" i="14" s="1"/>
  <c r="E36" i="14" s="1"/>
  <c r="E37" i="14" s="1"/>
  <c r="E38" i="14" s="1"/>
  <c r="E39" i="14" s="1"/>
  <c r="E40" i="14" s="1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A35" i="16"/>
  <c r="A36" i="16" s="1"/>
  <c r="A37" i="16" s="1"/>
  <c r="A38" i="16" s="1"/>
  <c r="A39" i="16" s="1"/>
  <c r="P216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2" i="2"/>
  <c r="A29" i="14" l="1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B52" i="14"/>
  <c r="C52" i="14"/>
  <c r="F52" i="14"/>
  <c r="G52" i="14"/>
  <c r="H52" i="14" s="1"/>
  <c r="A53" i="14"/>
  <c r="B53" i="14"/>
  <c r="C53" i="14"/>
  <c r="F53" i="14"/>
  <c r="G53" i="14" s="1"/>
  <c r="H53" i="14" s="1"/>
  <c r="A54" i="14"/>
  <c r="B54" i="14"/>
  <c r="D54" i="14" s="1"/>
  <c r="C54" i="14"/>
  <c r="F54" i="14"/>
  <c r="G54" i="14"/>
  <c r="H54" i="14" s="1"/>
  <c r="U54" i="14"/>
  <c r="A55" i="14"/>
  <c r="B55" i="14"/>
  <c r="D55" i="14" s="1"/>
  <c r="C55" i="14"/>
  <c r="F55" i="14"/>
  <c r="G55" i="14" s="1"/>
  <c r="H55" i="14" s="1"/>
  <c r="A56" i="14"/>
  <c r="B56" i="14"/>
  <c r="D56" i="14" s="1"/>
  <c r="C56" i="14"/>
  <c r="F56" i="14"/>
  <c r="G56" i="14"/>
  <c r="H56" i="14" s="1"/>
  <c r="U56" i="14"/>
  <c r="A57" i="14"/>
  <c r="B57" i="14"/>
  <c r="C57" i="14"/>
  <c r="F57" i="14"/>
  <c r="G57" i="14" s="1"/>
  <c r="H57" i="14" s="1"/>
  <c r="A58" i="14"/>
  <c r="B58" i="14"/>
  <c r="D58" i="14" s="1"/>
  <c r="C58" i="14"/>
  <c r="F58" i="14"/>
  <c r="G58" i="14" s="1"/>
  <c r="H58" i="14" s="1"/>
  <c r="I58" i="14" s="1"/>
  <c r="J58" i="14" s="1"/>
  <c r="K58" i="14" s="1"/>
  <c r="L58" i="14" s="1"/>
  <c r="M58" i="14" s="1"/>
  <c r="U58" i="14"/>
  <c r="A59" i="14"/>
  <c r="B59" i="14"/>
  <c r="U59" i="14" s="1"/>
  <c r="C59" i="14"/>
  <c r="F59" i="14"/>
  <c r="G59" i="14" s="1"/>
  <c r="H59" i="14" s="1"/>
  <c r="A60" i="14"/>
  <c r="B60" i="14"/>
  <c r="C60" i="14"/>
  <c r="D60" i="14"/>
  <c r="F60" i="14"/>
  <c r="G60" i="14" s="1"/>
  <c r="H60" i="14" s="1"/>
  <c r="U60" i="14"/>
  <c r="A61" i="14"/>
  <c r="B61" i="14"/>
  <c r="U61" i="14" s="1"/>
  <c r="C61" i="14"/>
  <c r="D61" i="14"/>
  <c r="F61" i="14"/>
  <c r="G61" i="14" s="1"/>
  <c r="H61" i="14" s="1"/>
  <c r="A62" i="14"/>
  <c r="B62" i="14"/>
  <c r="D62" i="14" s="1"/>
  <c r="C62" i="14"/>
  <c r="F62" i="14"/>
  <c r="G62" i="14" s="1"/>
  <c r="H62" i="14" s="1"/>
  <c r="U62" i="14"/>
  <c r="A63" i="14"/>
  <c r="B63" i="14"/>
  <c r="U63" i="14" s="1"/>
  <c r="C63" i="14"/>
  <c r="F63" i="14"/>
  <c r="G63" i="14" s="1"/>
  <c r="H63" i="14" s="1"/>
  <c r="A64" i="14"/>
  <c r="B64" i="14"/>
  <c r="C64" i="14"/>
  <c r="D64" i="14"/>
  <c r="F64" i="14"/>
  <c r="G64" i="14" s="1"/>
  <c r="H64" i="14" s="1"/>
  <c r="U64" i="14"/>
  <c r="A65" i="14"/>
  <c r="B65" i="14"/>
  <c r="D65" i="14" s="1"/>
  <c r="C65" i="14"/>
  <c r="F65" i="14"/>
  <c r="G65" i="14" s="1"/>
  <c r="H65" i="14" s="1"/>
  <c r="A66" i="14"/>
  <c r="B66" i="14"/>
  <c r="D66" i="14" s="1"/>
  <c r="C66" i="14"/>
  <c r="F66" i="14"/>
  <c r="G66" i="14" s="1"/>
  <c r="H66" i="14" s="1"/>
  <c r="U66" i="14"/>
  <c r="A67" i="14"/>
  <c r="B67" i="14"/>
  <c r="U67" i="14" s="1"/>
  <c r="C67" i="14"/>
  <c r="F67" i="14"/>
  <c r="G67" i="14" s="1"/>
  <c r="H67" i="14" s="1"/>
  <c r="A68" i="14"/>
  <c r="B68" i="14"/>
  <c r="C68" i="14"/>
  <c r="D68" i="14"/>
  <c r="F68" i="14"/>
  <c r="G68" i="14"/>
  <c r="H68" i="14" s="1"/>
  <c r="U68" i="14"/>
  <c r="A69" i="14"/>
  <c r="B69" i="14"/>
  <c r="U69" i="14" s="1"/>
  <c r="C69" i="14"/>
  <c r="D69" i="14"/>
  <c r="F69" i="14"/>
  <c r="G69" i="14" s="1"/>
  <c r="H69" i="14" s="1"/>
  <c r="A70" i="14"/>
  <c r="B70" i="14"/>
  <c r="D70" i="14" s="1"/>
  <c r="C70" i="14"/>
  <c r="F70" i="14"/>
  <c r="G70" i="14" s="1"/>
  <c r="H70" i="14" s="1"/>
  <c r="I70" i="14" s="1"/>
  <c r="J70" i="14" s="1"/>
  <c r="K70" i="14" s="1"/>
  <c r="L70" i="14" s="1"/>
  <c r="M70" i="14" s="1"/>
  <c r="U70" i="14"/>
  <c r="A71" i="14"/>
  <c r="B71" i="14"/>
  <c r="U71" i="14" s="1"/>
  <c r="C71" i="14"/>
  <c r="F71" i="14"/>
  <c r="G71" i="14"/>
  <c r="H71" i="14" s="1"/>
  <c r="A72" i="14"/>
  <c r="B72" i="14"/>
  <c r="C72" i="14"/>
  <c r="D72" i="14"/>
  <c r="F72" i="14"/>
  <c r="G72" i="14"/>
  <c r="H72" i="14" s="1"/>
  <c r="U72" i="14"/>
  <c r="A73" i="14"/>
  <c r="B73" i="14"/>
  <c r="C73" i="14"/>
  <c r="D73" i="14"/>
  <c r="F73" i="14"/>
  <c r="G73" i="14" s="1"/>
  <c r="H73" i="14" s="1"/>
  <c r="U73" i="14"/>
  <c r="A74" i="14"/>
  <c r="B74" i="14"/>
  <c r="C74" i="14"/>
  <c r="F74" i="14"/>
  <c r="G74" i="14" s="1"/>
  <c r="H74" i="14" s="1"/>
  <c r="A75" i="14"/>
  <c r="B75" i="14"/>
  <c r="U75" i="14" s="1"/>
  <c r="C75" i="14"/>
  <c r="F75" i="14"/>
  <c r="G75" i="14" s="1"/>
  <c r="H75" i="14"/>
  <c r="A76" i="14"/>
  <c r="B76" i="14"/>
  <c r="C76" i="14"/>
  <c r="D76" i="14"/>
  <c r="F76" i="14"/>
  <c r="G76" i="14" s="1"/>
  <c r="H76" i="14" s="1"/>
  <c r="U76" i="14"/>
  <c r="A77" i="14"/>
  <c r="B77" i="14"/>
  <c r="C77" i="14"/>
  <c r="F77" i="14"/>
  <c r="G77" i="14" s="1"/>
  <c r="H77" i="14" s="1"/>
  <c r="A78" i="14"/>
  <c r="B78" i="14"/>
  <c r="D78" i="14" s="1"/>
  <c r="C78" i="14"/>
  <c r="F78" i="14"/>
  <c r="G78" i="14"/>
  <c r="H78" i="14" s="1"/>
  <c r="U78" i="14"/>
  <c r="A79" i="14"/>
  <c r="B79" i="14"/>
  <c r="D79" i="14" s="1"/>
  <c r="C79" i="14"/>
  <c r="F79" i="14"/>
  <c r="G79" i="14" s="1"/>
  <c r="H79" i="14" s="1"/>
  <c r="A80" i="14"/>
  <c r="B80" i="14"/>
  <c r="D80" i="14" s="1"/>
  <c r="C80" i="14"/>
  <c r="F80" i="14"/>
  <c r="G80" i="14"/>
  <c r="H80" i="14" s="1"/>
  <c r="A81" i="14"/>
  <c r="B81" i="14"/>
  <c r="U81" i="14" s="1"/>
  <c r="C81" i="14"/>
  <c r="F81" i="14"/>
  <c r="G81" i="14"/>
  <c r="H81" i="14" s="1"/>
  <c r="A82" i="14"/>
  <c r="B82" i="14"/>
  <c r="C82" i="14"/>
  <c r="D82" i="14"/>
  <c r="F82" i="14"/>
  <c r="G82" i="14"/>
  <c r="H82" i="14" s="1"/>
  <c r="U82" i="14"/>
  <c r="A83" i="14"/>
  <c r="B83" i="14"/>
  <c r="C83" i="14"/>
  <c r="D83" i="14"/>
  <c r="F83" i="14"/>
  <c r="G83" i="14" s="1"/>
  <c r="H83" i="14" s="1"/>
  <c r="U83" i="14"/>
  <c r="A84" i="14"/>
  <c r="B84" i="14"/>
  <c r="C84" i="14"/>
  <c r="F84" i="14"/>
  <c r="G84" i="14"/>
  <c r="H84" i="14" s="1"/>
  <c r="A85" i="14"/>
  <c r="B85" i="14"/>
  <c r="U85" i="14" s="1"/>
  <c r="C85" i="14"/>
  <c r="F85" i="14"/>
  <c r="G85" i="14" s="1"/>
  <c r="H85" i="14" s="1"/>
  <c r="A86" i="14"/>
  <c r="B86" i="14"/>
  <c r="C86" i="14"/>
  <c r="D86" i="14"/>
  <c r="F86" i="14"/>
  <c r="G86" i="14" s="1"/>
  <c r="H86" i="14" s="1"/>
  <c r="U86" i="14"/>
  <c r="A87" i="14"/>
  <c r="B87" i="14"/>
  <c r="C87" i="14"/>
  <c r="F87" i="14"/>
  <c r="G87" i="14" s="1"/>
  <c r="H87" i="14" s="1"/>
  <c r="A88" i="14"/>
  <c r="B88" i="14"/>
  <c r="D88" i="14" s="1"/>
  <c r="C88" i="14"/>
  <c r="F88" i="14"/>
  <c r="G88" i="14" s="1"/>
  <c r="H88" i="14" s="1"/>
  <c r="A89" i="14"/>
  <c r="B89" i="14"/>
  <c r="U89" i="14" s="1"/>
  <c r="C89" i="14"/>
  <c r="D89" i="14"/>
  <c r="F89" i="14"/>
  <c r="G89" i="14" s="1"/>
  <c r="H89" i="14" s="1"/>
  <c r="A90" i="14"/>
  <c r="B90" i="14"/>
  <c r="D90" i="14" s="1"/>
  <c r="C90" i="14"/>
  <c r="F90" i="14"/>
  <c r="G90" i="14"/>
  <c r="H90" i="14" s="1"/>
  <c r="U90" i="14"/>
  <c r="A91" i="14"/>
  <c r="B91" i="14"/>
  <c r="C91" i="14"/>
  <c r="F91" i="14"/>
  <c r="G91" i="14" s="1"/>
  <c r="H91" i="14" s="1"/>
  <c r="A92" i="14"/>
  <c r="B92" i="14"/>
  <c r="D92" i="14" s="1"/>
  <c r="C92" i="14"/>
  <c r="F92" i="14"/>
  <c r="G92" i="14" s="1"/>
  <c r="H92" i="14" s="1"/>
  <c r="I92" i="14" s="1"/>
  <c r="J92" i="14" s="1"/>
  <c r="K92" i="14" s="1"/>
  <c r="L92" i="14" s="1"/>
  <c r="M92" i="14" s="1"/>
  <c r="N92" i="14" s="1"/>
  <c r="O92" i="14" s="1"/>
  <c r="P92" i="14" s="1"/>
  <c r="Q92" i="14" s="1"/>
  <c r="R92" i="14" s="1"/>
  <c r="A93" i="14"/>
  <c r="B93" i="14"/>
  <c r="C93" i="14"/>
  <c r="F93" i="14"/>
  <c r="G93" i="14"/>
  <c r="H93" i="14" s="1"/>
  <c r="A94" i="14"/>
  <c r="B94" i="14"/>
  <c r="C94" i="14"/>
  <c r="D94" i="14"/>
  <c r="F94" i="14"/>
  <c r="G94" i="14" s="1"/>
  <c r="H94" i="14" s="1"/>
  <c r="U94" i="14"/>
  <c r="A95" i="14"/>
  <c r="B95" i="14"/>
  <c r="D95" i="14" s="1"/>
  <c r="C95" i="14"/>
  <c r="F95" i="14"/>
  <c r="G95" i="14" s="1"/>
  <c r="H95" i="14" s="1"/>
  <c r="A96" i="14"/>
  <c r="B96" i="14"/>
  <c r="C96" i="14"/>
  <c r="F96" i="14"/>
  <c r="G96" i="14" s="1"/>
  <c r="H96" i="14" s="1"/>
  <c r="A97" i="14"/>
  <c r="B97" i="14"/>
  <c r="D97" i="14" s="1"/>
  <c r="C97" i="14"/>
  <c r="F97" i="14"/>
  <c r="G97" i="14"/>
  <c r="H97" i="14" s="1"/>
  <c r="A98" i="14"/>
  <c r="B98" i="14"/>
  <c r="C98" i="14"/>
  <c r="D98" i="14"/>
  <c r="F98" i="14"/>
  <c r="G98" i="14" s="1"/>
  <c r="H98" i="14" s="1"/>
  <c r="U98" i="14"/>
  <c r="A99" i="14"/>
  <c r="B99" i="14"/>
  <c r="U99" i="14" s="1"/>
  <c r="C99" i="14"/>
  <c r="F99" i="14"/>
  <c r="G99" i="14" s="1"/>
  <c r="H99" i="14" s="1"/>
  <c r="A100" i="14"/>
  <c r="B100" i="14"/>
  <c r="C100" i="14"/>
  <c r="F100" i="14"/>
  <c r="G100" i="14" s="1"/>
  <c r="H100" i="14" s="1"/>
  <c r="A101" i="14"/>
  <c r="B101" i="14"/>
  <c r="D101" i="14" s="1"/>
  <c r="C101" i="14"/>
  <c r="F101" i="14"/>
  <c r="G101" i="14"/>
  <c r="H101" i="14" s="1"/>
  <c r="A102" i="14"/>
  <c r="B102" i="14"/>
  <c r="U102" i="14" s="1"/>
  <c r="C102" i="14"/>
  <c r="F102" i="14"/>
  <c r="G102" i="14"/>
  <c r="H102" i="14" s="1"/>
  <c r="A103" i="14"/>
  <c r="B103" i="14"/>
  <c r="D103" i="14" s="1"/>
  <c r="C103" i="14"/>
  <c r="F103" i="14"/>
  <c r="G103" i="14" s="1"/>
  <c r="H103" i="14" s="1"/>
  <c r="U103" i="14"/>
  <c r="A104" i="14"/>
  <c r="B104" i="14"/>
  <c r="C104" i="14"/>
  <c r="F104" i="14"/>
  <c r="G104" i="14" s="1"/>
  <c r="H104" i="14" s="1"/>
  <c r="A105" i="14"/>
  <c r="B105" i="14"/>
  <c r="D105" i="14" s="1"/>
  <c r="C105" i="14"/>
  <c r="F105" i="14"/>
  <c r="G105" i="14"/>
  <c r="H105" i="14" s="1"/>
  <c r="A106" i="14"/>
  <c r="B106" i="14"/>
  <c r="C106" i="14"/>
  <c r="D106" i="14"/>
  <c r="F106" i="14"/>
  <c r="G106" i="14"/>
  <c r="H106" i="14" s="1"/>
  <c r="U106" i="14"/>
  <c r="A107" i="14"/>
  <c r="B107" i="14"/>
  <c r="C107" i="14"/>
  <c r="D107" i="14"/>
  <c r="F107" i="14"/>
  <c r="G107" i="14" s="1"/>
  <c r="H107" i="14" s="1"/>
  <c r="U107" i="14"/>
  <c r="A108" i="14"/>
  <c r="B108" i="14"/>
  <c r="C108" i="14"/>
  <c r="F108" i="14"/>
  <c r="G108" i="14" s="1"/>
  <c r="H108" i="14" s="1"/>
  <c r="A109" i="14"/>
  <c r="B109" i="14"/>
  <c r="D109" i="14" s="1"/>
  <c r="C109" i="14"/>
  <c r="F109" i="14"/>
  <c r="G109" i="14"/>
  <c r="H109" i="14" s="1"/>
  <c r="A110" i="14"/>
  <c r="B110" i="14"/>
  <c r="C110" i="14"/>
  <c r="D110" i="14"/>
  <c r="F110" i="14"/>
  <c r="G110" i="14" s="1"/>
  <c r="H110" i="14" s="1"/>
  <c r="U110" i="14"/>
  <c r="A111" i="14"/>
  <c r="B111" i="14"/>
  <c r="D111" i="14" s="1"/>
  <c r="C111" i="14"/>
  <c r="F111" i="14"/>
  <c r="G111" i="14" s="1"/>
  <c r="H111" i="14" s="1"/>
  <c r="U111" i="14"/>
  <c r="A112" i="14"/>
  <c r="B112" i="14"/>
  <c r="D112" i="14" s="1"/>
  <c r="C112" i="14"/>
  <c r="F112" i="14"/>
  <c r="G112" i="14" s="1"/>
  <c r="H112" i="14" s="1"/>
  <c r="A113" i="14"/>
  <c r="B113" i="14"/>
  <c r="C113" i="14"/>
  <c r="F113" i="14"/>
  <c r="G113" i="14" s="1"/>
  <c r="H113" i="14" s="1"/>
  <c r="A114" i="14"/>
  <c r="B114" i="14"/>
  <c r="D114" i="14" s="1"/>
  <c r="C114" i="14"/>
  <c r="F114" i="14"/>
  <c r="G114" i="14"/>
  <c r="H114" i="14" s="1"/>
  <c r="U114" i="14"/>
  <c r="A115" i="14"/>
  <c r="B115" i="14"/>
  <c r="C115" i="14"/>
  <c r="D115" i="14"/>
  <c r="F115" i="14"/>
  <c r="G115" i="14" s="1"/>
  <c r="H115" i="14" s="1"/>
  <c r="U115" i="14"/>
  <c r="A116" i="14"/>
  <c r="B116" i="14"/>
  <c r="D116" i="14" s="1"/>
  <c r="C116" i="14"/>
  <c r="F116" i="14"/>
  <c r="G116" i="14" s="1"/>
  <c r="H116" i="14" s="1"/>
  <c r="U116" i="14"/>
  <c r="A117" i="14"/>
  <c r="B117" i="14"/>
  <c r="C117" i="14"/>
  <c r="F117" i="14"/>
  <c r="G117" i="14" s="1"/>
  <c r="H117" i="14" s="1"/>
  <c r="A118" i="14"/>
  <c r="B118" i="14"/>
  <c r="C118" i="14"/>
  <c r="D118" i="14"/>
  <c r="F118" i="14"/>
  <c r="G118" i="14"/>
  <c r="H118" i="14"/>
  <c r="U118" i="14"/>
  <c r="A119" i="14"/>
  <c r="B119" i="14"/>
  <c r="C119" i="14"/>
  <c r="D119" i="14"/>
  <c r="F119" i="14"/>
  <c r="G119" i="14" s="1"/>
  <c r="H119" i="14" s="1"/>
  <c r="U119" i="14"/>
  <c r="A120" i="14"/>
  <c r="B120" i="14"/>
  <c r="D120" i="14" s="1"/>
  <c r="C120" i="14"/>
  <c r="F120" i="14"/>
  <c r="G120" i="14" s="1"/>
  <c r="H120" i="14" s="1"/>
  <c r="A121" i="14"/>
  <c r="B121" i="14"/>
  <c r="U121" i="14" s="1"/>
  <c r="C121" i="14"/>
  <c r="F121" i="14"/>
  <c r="G121" i="14" s="1"/>
  <c r="H121" i="14" s="1"/>
  <c r="A122" i="14"/>
  <c r="B122" i="14"/>
  <c r="C122" i="14"/>
  <c r="D122" i="14"/>
  <c r="F122" i="14"/>
  <c r="G122" i="14"/>
  <c r="H122" i="14" s="1"/>
  <c r="U122" i="14"/>
  <c r="A123" i="14"/>
  <c r="B123" i="14"/>
  <c r="C123" i="14"/>
  <c r="D123" i="14"/>
  <c r="F123" i="14"/>
  <c r="G123" i="14" s="1"/>
  <c r="H123" i="14" s="1"/>
  <c r="U123" i="14"/>
  <c r="A124" i="14"/>
  <c r="B124" i="14"/>
  <c r="D124" i="14" s="1"/>
  <c r="C124" i="14"/>
  <c r="F124" i="14"/>
  <c r="G124" i="14"/>
  <c r="H124" i="14" s="1"/>
  <c r="A125" i="14"/>
  <c r="B125" i="14"/>
  <c r="U125" i="14" s="1"/>
  <c r="C125" i="14"/>
  <c r="D125" i="14"/>
  <c r="F125" i="14"/>
  <c r="G125" i="14" s="1"/>
  <c r="H125" i="14" s="1"/>
  <c r="A126" i="14"/>
  <c r="B126" i="14"/>
  <c r="D126" i="14" s="1"/>
  <c r="C126" i="14"/>
  <c r="F126" i="14"/>
  <c r="G126" i="14"/>
  <c r="H126" i="14" s="1"/>
  <c r="U126" i="14"/>
  <c r="A127" i="14"/>
  <c r="B127" i="14"/>
  <c r="U127" i="14" s="1"/>
  <c r="C127" i="14"/>
  <c r="D127" i="14"/>
  <c r="F127" i="14"/>
  <c r="G127" i="14" s="1"/>
  <c r="H127" i="14" s="1"/>
  <c r="A128" i="14"/>
  <c r="B128" i="14"/>
  <c r="D128" i="14" s="1"/>
  <c r="C128" i="14"/>
  <c r="F128" i="14"/>
  <c r="G128" i="14" s="1"/>
  <c r="H128" i="14" s="1"/>
  <c r="A129" i="14"/>
  <c r="B129" i="14"/>
  <c r="U129" i="14" s="1"/>
  <c r="C129" i="14"/>
  <c r="F129" i="14"/>
  <c r="G129" i="14"/>
  <c r="H129" i="14" s="1"/>
  <c r="A130" i="14"/>
  <c r="B130" i="14"/>
  <c r="D130" i="14" s="1"/>
  <c r="C130" i="14"/>
  <c r="F130" i="14"/>
  <c r="G130" i="14"/>
  <c r="H130" i="14" s="1"/>
  <c r="U130" i="14"/>
  <c r="A131" i="14"/>
  <c r="B131" i="14"/>
  <c r="D131" i="14" s="1"/>
  <c r="C131" i="14"/>
  <c r="F131" i="14"/>
  <c r="G131" i="14" s="1"/>
  <c r="H131" i="14" s="1"/>
  <c r="A132" i="14"/>
  <c r="B132" i="14"/>
  <c r="D132" i="14" s="1"/>
  <c r="C132" i="14"/>
  <c r="F132" i="14"/>
  <c r="G132" i="14" s="1"/>
  <c r="H132" i="14" s="1"/>
  <c r="A133" i="14"/>
  <c r="B133" i="14"/>
  <c r="U133" i="14" s="1"/>
  <c r="C133" i="14"/>
  <c r="F133" i="14"/>
  <c r="G133" i="14"/>
  <c r="H133" i="14" s="1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3" i="13"/>
  <c r="I86" i="14" l="1"/>
  <c r="J86" i="14" s="1"/>
  <c r="K86" i="14" s="1"/>
  <c r="L86" i="14" s="1"/>
  <c r="M86" i="14" s="1"/>
  <c r="N86" i="14" s="1"/>
  <c r="O86" i="14" s="1"/>
  <c r="P86" i="14" s="1"/>
  <c r="Q86" i="14" s="1"/>
  <c r="R86" i="14" s="1"/>
  <c r="I131" i="14"/>
  <c r="J131" i="14" s="1"/>
  <c r="K131" i="14" s="1"/>
  <c r="L131" i="14" s="1"/>
  <c r="M131" i="14" s="1"/>
  <c r="N131" i="14" s="1"/>
  <c r="O131" i="14" s="1"/>
  <c r="P131" i="14" s="1"/>
  <c r="Q131" i="14" s="1"/>
  <c r="R131" i="14" s="1"/>
  <c r="I95" i="14"/>
  <c r="J95" i="14" s="1"/>
  <c r="K95" i="14" s="1"/>
  <c r="L95" i="14" s="1"/>
  <c r="M95" i="14" s="1"/>
  <c r="N95" i="14" s="1"/>
  <c r="O95" i="14" s="1"/>
  <c r="P95" i="14" s="1"/>
  <c r="Q95" i="14" s="1"/>
  <c r="R95" i="14" s="1"/>
  <c r="I123" i="14"/>
  <c r="J123" i="14" s="1"/>
  <c r="K123" i="14" s="1"/>
  <c r="L123" i="14" s="1"/>
  <c r="M123" i="14" s="1"/>
  <c r="N123" i="14" s="1"/>
  <c r="O123" i="14" s="1"/>
  <c r="P123" i="14" s="1"/>
  <c r="Q123" i="14" s="1"/>
  <c r="R123" i="14" s="1"/>
  <c r="I107" i="14"/>
  <c r="J107" i="14" s="1"/>
  <c r="K107" i="14" s="1"/>
  <c r="L107" i="14" s="1"/>
  <c r="M107" i="14" s="1"/>
  <c r="N107" i="14" s="1"/>
  <c r="O107" i="14" s="1"/>
  <c r="P107" i="14" s="1"/>
  <c r="Q107" i="14" s="1"/>
  <c r="R107" i="14" s="1"/>
  <c r="I76" i="14"/>
  <c r="J76" i="14" s="1"/>
  <c r="K76" i="14" s="1"/>
  <c r="L76" i="14" s="1"/>
  <c r="M76" i="14" s="1"/>
  <c r="I69" i="14"/>
  <c r="J69" i="14" s="1"/>
  <c r="K69" i="14" s="1"/>
  <c r="L69" i="14" s="1"/>
  <c r="M69" i="14" s="1"/>
  <c r="I98" i="14"/>
  <c r="J98" i="14" s="1"/>
  <c r="K98" i="14" s="1"/>
  <c r="L98" i="14" s="1"/>
  <c r="M98" i="14" s="1"/>
  <c r="N98" i="14" s="1"/>
  <c r="O98" i="14" s="1"/>
  <c r="P98" i="14" s="1"/>
  <c r="Q98" i="14" s="1"/>
  <c r="R98" i="14" s="1"/>
  <c r="I116" i="14"/>
  <c r="J116" i="14" s="1"/>
  <c r="K116" i="14" s="1"/>
  <c r="L116" i="14" s="1"/>
  <c r="M116" i="14" s="1"/>
  <c r="N116" i="14" s="1"/>
  <c r="O116" i="14" s="1"/>
  <c r="P116" i="14" s="1"/>
  <c r="Q116" i="14" s="1"/>
  <c r="R116" i="14" s="1"/>
  <c r="I66" i="14"/>
  <c r="J66" i="14" s="1"/>
  <c r="K66" i="14" s="1"/>
  <c r="L66" i="14" s="1"/>
  <c r="M66" i="14" s="1"/>
  <c r="N66" i="14" s="1"/>
  <c r="O66" i="14" s="1"/>
  <c r="P66" i="14" s="1"/>
  <c r="Q66" i="14" s="1"/>
  <c r="R66" i="14" s="1"/>
  <c r="I119" i="14"/>
  <c r="J119" i="14" s="1"/>
  <c r="K119" i="14" s="1"/>
  <c r="L119" i="14" s="1"/>
  <c r="M119" i="14" s="1"/>
  <c r="N119" i="14" s="1"/>
  <c r="O119" i="14" s="1"/>
  <c r="P119" i="14" s="1"/>
  <c r="Q119" i="14" s="1"/>
  <c r="R119" i="14" s="1"/>
  <c r="I120" i="14"/>
  <c r="J120" i="14" s="1"/>
  <c r="K120" i="14" s="1"/>
  <c r="L120" i="14" s="1"/>
  <c r="M120" i="14" s="1"/>
  <c r="N120" i="14" s="1"/>
  <c r="O120" i="14" s="1"/>
  <c r="P120" i="14" s="1"/>
  <c r="Q120" i="14" s="1"/>
  <c r="R120" i="14" s="1"/>
  <c r="I112" i="14"/>
  <c r="J112" i="14" s="1"/>
  <c r="K112" i="14" s="1"/>
  <c r="L112" i="14" s="1"/>
  <c r="M112" i="14" s="1"/>
  <c r="N112" i="14" s="1"/>
  <c r="O112" i="14" s="1"/>
  <c r="P112" i="14" s="1"/>
  <c r="Q112" i="14" s="1"/>
  <c r="R112" i="14" s="1"/>
  <c r="I83" i="14"/>
  <c r="J83" i="14" s="1"/>
  <c r="K83" i="14" s="1"/>
  <c r="L83" i="14" s="1"/>
  <c r="M83" i="14" s="1"/>
  <c r="N83" i="14" s="1"/>
  <c r="O83" i="14" s="1"/>
  <c r="P83" i="14" s="1"/>
  <c r="Q83" i="14" s="1"/>
  <c r="R83" i="14" s="1"/>
  <c r="I64" i="14"/>
  <c r="J64" i="14" s="1"/>
  <c r="K64" i="14" s="1"/>
  <c r="L64" i="14" s="1"/>
  <c r="M64" i="14" s="1"/>
  <c r="I60" i="14"/>
  <c r="J60" i="14" s="1"/>
  <c r="K60" i="14" s="1"/>
  <c r="L60" i="14" s="1"/>
  <c r="M60" i="14" s="1"/>
  <c r="N60" i="14" s="1"/>
  <c r="O60" i="14" s="1"/>
  <c r="P60" i="14" s="1"/>
  <c r="Q60" i="14" s="1"/>
  <c r="R60" i="14" s="1"/>
  <c r="N70" i="14"/>
  <c r="O70" i="14" s="1"/>
  <c r="P70" i="14" s="1"/>
  <c r="Q70" i="14" s="1"/>
  <c r="R70" i="14" s="1"/>
  <c r="N58" i="14"/>
  <c r="O58" i="14" s="1"/>
  <c r="P58" i="14" s="1"/>
  <c r="Q58" i="14" s="1"/>
  <c r="R58" i="14" s="1"/>
  <c r="N64" i="14"/>
  <c r="O64" i="14" s="1"/>
  <c r="P64" i="14" s="1"/>
  <c r="Q64" i="14" s="1"/>
  <c r="R64" i="14" s="1"/>
  <c r="I130" i="14"/>
  <c r="J130" i="14" s="1"/>
  <c r="K130" i="14" s="1"/>
  <c r="L130" i="14" s="1"/>
  <c r="M130" i="14" s="1"/>
  <c r="N130" i="14" s="1"/>
  <c r="O130" i="14" s="1"/>
  <c r="P130" i="14" s="1"/>
  <c r="Q130" i="14" s="1"/>
  <c r="R130" i="14" s="1"/>
  <c r="I118" i="14"/>
  <c r="J118" i="14" s="1"/>
  <c r="K118" i="14" s="1"/>
  <c r="L118" i="14" s="1"/>
  <c r="M118" i="14" s="1"/>
  <c r="N118" i="14" s="1"/>
  <c r="O118" i="14" s="1"/>
  <c r="P118" i="14" s="1"/>
  <c r="Q118" i="14" s="1"/>
  <c r="R118" i="14" s="1"/>
  <c r="I90" i="14"/>
  <c r="J90" i="14" s="1"/>
  <c r="K90" i="14" s="1"/>
  <c r="L90" i="14" s="1"/>
  <c r="M90" i="14" s="1"/>
  <c r="N90" i="14" s="1"/>
  <c r="O90" i="14" s="1"/>
  <c r="P90" i="14" s="1"/>
  <c r="Q90" i="14" s="1"/>
  <c r="R90" i="14" s="1"/>
  <c r="U88" i="14"/>
  <c r="I78" i="14"/>
  <c r="J78" i="14" s="1"/>
  <c r="K78" i="14" s="1"/>
  <c r="L78" i="14" s="1"/>
  <c r="M78" i="14" s="1"/>
  <c r="U65" i="14"/>
  <c r="I111" i="14"/>
  <c r="J111" i="14" s="1"/>
  <c r="K111" i="14" s="1"/>
  <c r="L111" i="14" s="1"/>
  <c r="M111" i="14" s="1"/>
  <c r="N111" i="14" s="1"/>
  <c r="O111" i="14" s="1"/>
  <c r="P111" i="14" s="1"/>
  <c r="Q111" i="14" s="1"/>
  <c r="R111" i="14" s="1"/>
  <c r="I128" i="14"/>
  <c r="J128" i="14" s="1"/>
  <c r="K128" i="14" s="1"/>
  <c r="L128" i="14" s="1"/>
  <c r="M128" i="14" s="1"/>
  <c r="N128" i="14" s="1"/>
  <c r="O128" i="14" s="1"/>
  <c r="P128" i="14" s="1"/>
  <c r="Q128" i="14" s="1"/>
  <c r="R128" i="14" s="1"/>
  <c r="I127" i="14"/>
  <c r="J127" i="14" s="1"/>
  <c r="K127" i="14" s="1"/>
  <c r="L127" i="14" s="1"/>
  <c r="M127" i="14" s="1"/>
  <c r="N127" i="14" s="1"/>
  <c r="O127" i="14" s="1"/>
  <c r="P127" i="14" s="1"/>
  <c r="Q127" i="14" s="1"/>
  <c r="R127" i="14" s="1"/>
  <c r="I106" i="14"/>
  <c r="J106" i="14" s="1"/>
  <c r="K106" i="14" s="1"/>
  <c r="L106" i="14" s="1"/>
  <c r="M106" i="14" s="1"/>
  <c r="N106" i="14" s="1"/>
  <c r="O106" i="14" s="1"/>
  <c r="P106" i="14" s="1"/>
  <c r="Q106" i="14" s="1"/>
  <c r="R106" i="14" s="1"/>
  <c r="I103" i="14"/>
  <c r="J103" i="14" s="1"/>
  <c r="K103" i="14" s="1"/>
  <c r="L103" i="14" s="1"/>
  <c r="M103" i="14" s="1"/>
  <c r="N103" i="14" s="1"/>
  <c r="O103" i="14" s="1"/>
  <c r="P103" i="14" s="1"/>
  <c r="Q103" i="14" s="1"/>
  <c r="R103" i="14" s="1"/>
  <c r="D102" i="14"/>
  <c r="D99" i="14"/>
  <c r="I99" i="14" s="1"/>
  <c r="J99" i="14" s="1"/>
  <c r="K99" i="14" s="1"/>
  <c r="L99" i="14" s="1"/>
  <c r="M99" i="14" s="1"/>
  <c r="N99" i="14" s="1"/>
  <c r="O99" i="14" s="1"/>
  <c r="P99" i="14" s="1"/>
  <c r="Q99" i="14" s="1"/>
  <c r="R99" i="14" s="1"/>
  <c r="U95" i="14"/>
  <c r="D85" i="14"/>
  <c r="I85" i="14" s="1"/>
  <c r="J85" i="14" s="1"/>
  <c r="K85" i="14" s="1"/>
  <c r="L85" i="14" s="1"/>
  <c r="M85" i="14" s="1"/>
  <c r="N85" i="14" s="1"/>
  <c r="O85" i="14" s="1"/>
  <c r="P85" i="14" s="1"/>
  <c r="Q85" i="14" s="1"/>
  <c r="R85" i="14" s="1"/>
  <c r="D81" i="14"/>
  <c r="D71" i="14"/>
  <c r="I71" i="14" s="1"/>
  <c r="J71" i="14" s="1"/>
  <c r="K71" i="14" s="1"/>
  <c r="L71" i="14" s="1"/>
  <c r="M71" i="14" s="1"/>
  <c r="I68" i="14"/>
  <c r="J68" i="14" s="1"/>
  <c r="K68" i="14" s="1"/>
  <c r="L68" i="14" s="1"/>
  <c r="M68" i="14" s="1"/>
  <c r="I65" i="14"/>
  <c r="J65" i="14" s="1"/>
  <c r="K65" i="14" s="1"/>
  <c r="L65" i="14" s="1"/>
  <c r="M65" i="14" s="1"/>
  <c r="D63" i="14"/>
  <c r="D59" i="14"/>
  <c r="I59" i="14" s="1"/>
  <c r="J59" i="14" s="1"/>
  <c r="K59" i="14" s="1"/>
  <c r="L59" i="14" s="1"/>
  <c r="M59" i="14" s="1"/>
  <c r="I126" i="14"/>
  <c r="J126" i="14" s="1"/>
  <c r="K126" i="14" s="1"/>
  <c r="L126" i="14" s="1"/>
  <c r="M126" i="14" s="1"/>
  <c r="N126" i="14" s="1"/>
  <c r="O126" i="14" s="1"/>
  <c r="P126" i="14" s="1"/>
  <c r="Q126" i="14" s="1"/>
  <c r="R126" i="14" s="1"/>
  <c r="I114" i="14"/>
  <c r="J114" i="14" s="1"/>
  <c r="K114" i="14" s="1"/>
  <c r="L114" i="14" s="1"/>
  <c r="M114" i="14" s="1"/>
  <c r="N114" i="14" s="1"/>
  <c r="O114" i="14" s="1"/>
  <c r="P114" i="14" s="1"/>
  <c r="Q114" i="14" s="1"/>
  <c r="R114" i="14" s="1"/>
  <c r="D129" i="14"/>
  <c r="I129" i="14" s="1"/>
  <c r="J129" i="14" s="1"/>
  <c r="K129" i="14" s="1"/>
  <c r="L129" i="14" s="1"/>
  <c r="M129" i="14" s="1"/>
  <c r="N129" i="14" s="1"/>
  <c r="O129" i="14" s="1"/>
  <c r="P129" i="14" s="1"/>
  <c r="Q129" i="14" s="1"/>
  <c r="R129" i="14" s="1"/>
  <c r="I122" i="14"/>
  <c r="J122" i="14" s="1"/>
  <c r="K122" i="14" s="1"/>
  <c r="L122" i="14" s="1"/>
  <c r="M122" i="14" s="1"/>
  <c r="N122" i="14" s="1"/>
  <c r="O122" i="14" s="1"/>
  <c r="P122" i="14" s="1"/>
  <c r="Q122" i="14" s="1"/>
  <c r="R122" i="14" s="1"/>
  <c r="U132" i="14"/>
  <c r="I125" i="14"/>
  <c r="J125" i="14" s="1"/>
  <c r="K125" i="14" s="1"/>
  <c r="L125" i="14" s="1"/>
  <c r="M125" i="14" s="1"/>
  <c r="N125" i="14" s="1"/>
  <c r="O125" i="14" s="1"/>
  <c r="P125" i="14" s="1"/>
  <c r="Q125" i="14" s="1"/>
  <c r="R125" i="14" s="1"/>
  <c r="U112" i="14"/>
  <c r="U92" i="14"/>
  <c r="U79" i="14"/>
  <c r="D75" i="14"/>
  <c r="I75" i="14" s="1"/>
  <c r="J75" i="14" s="1"/>
  <c r="K75" i="14" s="1"/>
  <c r="L75" i="14" s="1"/>
  <c r="M75" i="14" s="1"/>
  <c r="N76" i="14"/>
  <c r="O76" i="14" s="1"/>
  <c r="P76" i="14" s="1"/>
  <c r="Q76" i="14" s="1"/>
  <c r="R76" i="14" s="1"/>
  <c r="N69" i="14"/>
  <c r="O69" i="14" s="1"/>
  <c r="P69" i="14" s="1"/>
  <c r="Q69" i="14" s="1"/>
  <c r="R69" i="14" s="1"/>
  <c r="I115" i="14"/>
  <c r="J115" i="14" s="1"/>
  <c r="K115" i="14" s="1"/>
  <c r="L115" i="14" s="1"/>
  <c r="M115" i="14" s="1"/>
  <c r="N115" i="14" s="1"/>
  <c r="O115" i="14" s="1"/>
  <c r="P115" i="14" s="1"/>
  <c r="Q115" i="14" s="1"/>
  <c r="R115" i="14" s="1"/>
  <c r="I132" i="14"/>
  <c r="J132" i="14" s="1"/>
  <c r="K132" i="14" s="1"/>
  <c r="L132" i="14" s="1"/>
  <c r="M132" i="14" s="1"/>
  <c r="N132" i="14" s="1"/>
  <c r="O132" i="14" s="1"/>
  <c r="P132" i="14" s="1"/>
  <c r="Q132" i="14" s="1"/>
  <c r="R132" i="14" s="1"/>
  <c r="I124" i="14"/>
  <c r="J124" i="14" s="1"/>
  <c r="K124" i="14" s="1"/>
  <c r="L124" i="14" s="1"/>
  <c r="M124" i="14" s="1"/>
  <c r="N124" i="14" s="1"/>
  <c r="O124" i="14" s="1"/>
  <c r="P124" i="14" s="1"/>
  <c r="Q124" i="14" s="1"/>
  <c r="R124" i="14" s="1"/>
  <c r="I105" i="14"/>
  <c r="J105" i="14" s="1"/>
  <c r="K105" i="14" s="1"/>
  <c r="L105" i="14" s="1"/>
  <c r="M105" i="14" s="1"/>
  <c r="N105" i="14" s="1"/>
  <c r="O105" i="14" s="1"/>
  <c r="P105" i="14" s="1"/>
  <c r="Q105" i="14" s="1"/>
  <c r="R105" i="14" s="1"/>
  <c r="I97" i="14"/>
  <c r="J97" i="14" s="1"/>
  <c r="K97" i="14" s="1"/>
  <c r="L97" i="14" s="1"/>
  <c r="M97" i="14" s="1"/>
  <c r="N97" i="14" s="1"/>
  <c r="O97" i="14" s="1"/>
  <c r="P97" i="14" s="1"/>
  <c r="Q97" i="14" s="1"/>
  <c r="R97" i="14" s="1"/>
  <c r="I94" i="14"/>
  <c r="J94" i="14" s="1"/>
  <c r="K94" i="14" s="1"/>
  <c r="L94" i="14" s="1"/>
  <c r="M94" i="14" s="1"/>
  <c r="N94" i="14" s="1"/>
  <c r="O94" i="14" s="1"/>
  <c r="P94" i="14" s="1"/>
  <c r="Q94" i="14" s="1"/>
  <c r="R94" i="14" s="1"/>
  <c r="I89" i="14"/>
  <c r="J89" i="14" s="1"/>
  <c r="K89" i="14" s="1"/>
  <c r="L89" i="14" s="1"/>
  <c r="M89" i="14" s="1"/>
  <c r="N89" i="14" s="1"/>
  <c r="O89" i="14" s="1"/>
  <c r="P89" i="14" s="1"/>
  <c r="Q89" i="14" s="1"/>
  <c r="R89" i="14" s="1"/>
  <c r="I88" i="14"/>
  <c r="J88" i="14" s="1"/>
  <c r="K88" i="14" s="1"/>
  <c r="L88" i="14" s="1"/>
  <c r="M88" i="14" s="1"/>
  <c r="N88" i="14" s="1"/>
  <c r="O88" i="14" s="1"/>
  <c r="P88" i="14" s="1"/>
  <c r="Q88" i="14" s="1"/>
  <c r="R88" i="14" s="1"/>
  <c r="I61" i="14"/>
  <c r="J61" i="14" s="1"/>
  <c r="K61" i="14" s="1"/>
  <c r="L61" i="14" s="1"/>
  <c r="M61" i="14" s="1"/>
  <c r="I56" i="14"/>
  <c r="J56" i="14" s="1"/>
  <c r="K56" i="14" s="1"/>
  <c r="L56" i="14" s="1"/>
  <c r="M56" i="14" s="1"/>
  <c r="F30" i="5"/>
  <c r="D108" i="14"/>
  <c r="I108" i="14" s="1"/>
  <c r="J108" i="14" s="1"/>
  <c r="K108" i="14" s="1"/>
  <c r="L108" i="14" s="1"/>
  <c r="M108" i="14" s="1"/>
  <c r="N108" i="14" s="1"/>
  <c r="O108" i="14" s="1"/>
  <c r="P108" i="14" s="1"/>
  <c r="Q108" i="14" s="1"/>
  <c r="R108" i="14" s="1"/>
  <c r="U108" i="14"/>
  <c r="D113" i="14"/>
  <c r="U113" i="14"/>
  <c r="I109" i="14"/>
  <c r="J109" i="14" s="1"/>
  <c r="K109" i="14" s="1"/>
  <c r="L109" i="14" s="1"/>
  <c r="M109" i="14" s="1"/>
  <c r="N109" i="14" s="1"/>
  <c r="O109" i="14" s="1"/>
  <c r="P109" i="14" s="1"/>
  <c r="Q109" i="14" s="1"/>
  <c r="R109" i="14" s="1"/>
  <c r="I101" i="14"/>
  <c r="J101" i="14" s="1"/>
  <c r="K101" i="14" s="1"/>
  <c r="L101" i="14" s="1"/>
  <c r="M101" i="14" s="1"/>
  <c r="N101" i="14" s="1"/>
  <c r="O101" i="14" s="1"/>
  <c r="P101" i="14" s="1"/>
  <c r="Q101" i="14" s="1"/>
  <c r="R101" i="14" s="1"/>
  <c r="D91" i="14"/>
  <c r="U91" i="14"/>
  <c r="I80" i="14"/>
  <c r="J80" i="14" s="1"/>
  <c r="K80" i="14" s="1"/>
  <c r="L80" i="14" s="1"/>
  <c r="M80" i="14" s="1"/>
  <c r="I79" i="14"/>
  <c r="J79" i="14" s="1"/>
  <c r="K79" i="14" s="1"/>
  <c r="L79" i="14" s="1"/>
  <c r="M79" i="14" s="1"/>
  <c r="D100" i="14"/>
  <c r="I100" i="14" s="1"/>
  <c r="J100" i="14" s="1"/>
  <c r="K100" i="14" s="1"/>
  <c r="L100" i="14" s="1"/>
  <c r="M100" i="14" s="1"/>
  <c r="N100" i="14" s="1"/>
  <c r="O100" i="14" s="1"/>
  <c r="P100" i="14" s="1"/>
  <c r="Q100" i="14" s="1"/>
  <c r="R100" i="14" s="1"/>
  <c r="U100" i="14"/>
  <c r="U131" i="14"/>
  <c r="U128" i="14"/>
  <c r="D121" i="14"/>
  <c r="D133" i="14"/>
  <c r="U124" i="14"/>
  <c r="U120" i="14"/>
  <c r="D117" i="14"/>
  <c r="U117" i="14"/>
  <c r="I110" i="14"/>
  <c r="J110" i="14" s="1"/>
  <c r="K110" i="14" s="1"/>
  <c r="L110" i="14" s="1"/>
  <c r="M110" i="14" s="1"/>
  <c r="N110" i="14" s="1"/>
  <c r="O110" i="14" s="1"/>
  <c r="P110" i="14" s="1"/>
  <c r="Q110" i="14" s="1"/>
  <c r="R110" i="14" s="1"/>
  <c r="D104" i="14"/>
  <c r="U104" i="14"/>
  <c r="I102" i="14"/>
  <c r="J102" i="14" s="1"/>
  <c r="K102" i="14" s="1"/>
  <c r="L102" i="14" s="1"/>
  <c r="M102" i="14" s="1"/>
  <c r="N102" i="14" s="1"/>
  <c r="O102" i="14" s="1"/>
  <c r="P102" i="14" s="1"/>
  <c r="Q102" i="14" s="1"/>
  <c r="R102" i="14" s="1"/>
  <c r="D96" i="14"/>
  <c r="U96" i="14"/>
  <c r="U93" i="14"/>
  <c r="D93" i="14"/>
  <c r="I93" i="14" s="1"/>
  <c r="J93" i="14" s="1"/>
  <c r="K93" i="14" s="1"/>
  <c r="L93" i="14" s="1"/>
  <c r="M93" i="14" s="1"/>
  <c r="N93" i="14" s="1"/>
  <c r="O93" i="14" s="1"/>
  <c r="P93" i="14" s="1"/>
  <c r="Q93" i="14" s="1"/>
  <c r="R93" i="14" s="1"/>
  <c r="I73" i="14"/>
  <c r="J73" i="14" s="1"/>
  <c r="K73" i="14" s="1"/>
  <c r="L73" i="14" s="1"/>
  <c r="M73" i="14" s="1"/>
  <c r="U87" i="14"/>
  <c r="D87" i="14"/>
  <c r="D84" i="14"/>
  <c r="U84" i="14"/>
  <c r="U80" i="14"/>
  <c r="I82" i="14"/>
  <c r="J82" i="14" s="1"/>
  <c r="K82" i="14" s="1"/>
  <c r="L82" i="14" s="1"/>
  <c r="M82" i="14" s="1"/>
  <c r="I81" i="14"/>
  <c r="J81" i="14" s="1"/>
  <c r="K81" i="14" s="1"/>
  <c r="L81" i="14" s="1"/>
  <c r="M81" i="14" s="1"/>
  <c r="D74" i="14"/>
  <c r="U74" i="14"/>
  <c r="I72" i="14"/>
  <c r="J72" i="14" s="1"/>
  <c r="K72" i="14" s="1"/>
  <c r="L72" i="14" s="1"/>
  <c r="M72" i="14" s="1"/>
  <c r="U109" i="14"/>
  <c r="U105" i="14"/>
  <c r="U101" i="14"/>
  <c r="U97" i="14"/>
  <c r="U77" i="14"/>
  <c r="D77" i="14"/>
  <c r="U53" i="14"/>
  <c r="D53" i="14"/>
  <c r="I53" i="14" s="1"/>
  <c r="J53" i="14" s="1"/>
  <c r="K53" i="14" s="1"/>
  <c r="L53" i="14" s="1"/>
  <c r="M53" i="14" s="1"/>
  <c r="I62" i="14"/>
  <c r="J62" i="14" s="1"/>
  <c r="K62" i="14" s="1"/>
  <c r="L62" i="14" s="1"/>
  <c r="M62" i="14" s="1"/>
  <c r="U57" i="14"/>
  <c r="D57" i="14"/>
  <c r="I55" i="14"/>
  <c r="J55" i="14" s="1"/>
  <c r="K55" i="14" s="1"/>
  <c r="L55" i="14" s="1"/>
  <c r="M55" i="14" s="1"/>
  <c r="D52" i="14"/>
  <c r="U52" i="14"/>
  <c r="I54" i="14"/>
  <c r="J54" i="14" s="1"/>
  <c r="K54" i="14" s="1"/>
  <c r="L54" i="14" s="1"/>
  <c r="M54" i="14" s="1"/>
  <c r="D67" i="14"/>
  <c r="I63" i="14"/>
  <c r="J63" i="14" s="1"/>
  <c r="K63" i="14" s="1"/>
  <c r="L63" i="14" s="1"/>
  <c r="M63" i="14" s="1"/>
  <c r="U55" i="14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U27" i="13" s="1"/>
  <c r="B28" i="13"/>
  <c r="U28" i="13" s="1"/>
  <c r="B29" i="13"/>
  <c r="U29" i="13" s="1"/>
  <c r="B30" i="13"/>
  <c r="U30" i="13" s="1"/>
  <c r="F26" i="5" l="1"/>
  <c r="F24" i="5"/>
  <c r="F31" i="5"/>
  <c r="F28" i="5"/>
  <c r="F29" i="5"/>
  <c r="G25" i="5"/>
  <c r="F25" i="5"/>
  <c r="G32" i="5"/>
  <c r="F32" i="5"/>
  <c r="N81" i="14"/>
  <c r="O81" i="14" s="1"/>
  <c r="P81" i="14" s="1"/>
  <c r="Q81" i="14" s="1"/>
  <c r="R81" i="14" s="1"/>
  <c r="N59" i="14"/>
  <c r="O59" i="14" s="1"/>
  <c r="P59" i="14" s="1"/>
  <c r="Q59" i="14" s="1"/>
  <c r="R59" i="14" s="1"/>
  <c r="N54" i="14"/>
  <c r="O54" i="14" s="1"/>
  <c r="P54" i="14" s="1"/>
  <c r="Q54" i="14" s="1"/>
  <c r="R54" i="14" s="1"/>
  <c r="N71" i="14"/>
  <c r="O71" i="14" s="1"/>
  <c r="P71" i="14" s="1"/>
  <c r="Q71" i="14" s="1"/>
  <c r="R71" i="14" s="1"/>
  <c r="N62" i="14"/>
  <c r="O62" i="14" s="1"/>
  <c r="P62" i="14" s="1"/>
  <c r="Q62" i="14" s="1"/>
  <c r="R62" i="14" s="1"/>
  <c r="N75" i="14"/>
  <c r="O75" i="14" s="1"/>
  <c r="P75" i="14" s="1"/>
  <c r="Q75" i="14" s="1"/>
  <c r="R75" i="14" s="1"/>
  <c r="N73" i="14"/>
  <c r="O73" i="14" s="1"/>
  <c r="P73" i="14" s="1"/>
  <c r="Q73" i="14" s="1"/>
  <c r="R73" i="14" s="1"/>
  <c r="N56" i="14"/>
  <c r="O56" i="14" s="1"/>
  <c r="P56" i="14" s="1"/>
  <c r="Q56" i="14" s="1"/>
  <c r="R56" i="14" s="1"/>
  <c r="N72" i="14"/>
  <c r="O72" i="14" s="1"/>
  <c r="P72" i="14" s="1"/>
  <c r="Q72" i="14" s="1"/>
  <c r="R72" i="14" s="1"/>
  <c r="N63" i="14"/>
  <c r="O63" i="14" s="1"/>
  <c r="P63" i="14" s="1"/>
  <c r="Q63" i="14" s="1"/>
  <c r="R63" i="14" s="1"/>
  <c r="N82" i="14"/>
  <c r="O82" i="14" s="1"/>
  <c r="P82" i="14" s="1"/>
  <c r="Q82" i="14" s="1"/>
  <c r="R82" i="14" s="1"/>
  <c r="N79" i="14"/>
  <c r="O79" i="14" s="1"/>
  <c r="P79" i="14" s="1"/>
  <c r="Q79" i="14" s="1"/>
  <c r="R79" i="14" s="1"/>
  <c r="N65" i="14"/>
  <c r="O65" i="14" s="1"/>
  <c r="P65" i="14" s="1"/>
  <c r="Q65" i="14" s="1"/>
  <c r="R65" i="14" s="1"/>
  <c r="N53" i="14"/>
  <c r="O53" i="14" s="1"/>
  <c r="P53" i="14" s="1"/>
  <c r="Q53" i="14" s="1"/>
  <c r="R53" i="14" s="1"/>
  <c r="N61" i="14"/>
  <c r="O61" i="14" s="1"/>
  <c r="P61" i="14" s="1"/>
  <c r="Q61" i="14" s="1"/>
  <c r="R61" i="14" s="1"/>
  <c r="N55" i="14"/>
  <c r="O55" i="14" s="1"/>
  <c r="P55" i="14" s="1"/>
  <c r="Q55" i="14" s="1"/>
  <c r="R55" i="14" s="1"/>
  <c r="N80" i="14"/>
  <c r="O80" i="14" s="1"/>
  <c r="P80" i="14" s="1"/>
  <c r="Q80" i="14" s="1"/>
  <c r="R80" i="14" s="1"/>
  <c r="N68" i="14"/>
  <c r="O68" i="14" s="1"/>
  <c r="P68" i="14" s="1"/>
  <c r="Q68" i="14" s="1"/>
  <c r="R68" i="14" s="1"/>
  <c r="N78" i="14"/>
  <c r="O78" i="14" s="1"/>
  <c r="P78" i="14" s="1"/>
  <c r="Q78" i="14" s="1"/>
  <c r="R78" i="14" s="1"/>
  <c r="I91" i="14"/>
  <c r="J91" i="14" s="1"/>
  <c r="K91" i="14" s="1"/>
  <c r="L91" i="14" s="1"/>
  <c r="M91" i="14" s="1"/>
  <c r="N91" i="14" s="1"/>
  <c r="O91" i="14" s="1"/>
  <c r="P91" i="14" s="1"/>
  <c r="Q91" i="14" s="1"/>
  <c r="R91" i="14" s="1"/>
  <c r="I74" i="14"/>
  <c r="J74" i="14" s="1"/>
  <c r="K74" i="14" s="1"/>
  <c r="L74" i="14" s="1"/>
  <c r="M74" i="14" s="1"/>
  <c r="F27" i="5"/>
  <c r="G30" i="5"/>
  <c r="F33" i="5"/>
  <c r="I133" i="14"/>
  <c r="J133" i="14" s="1"/>
  <c r="K133" i="14" s="1"/>
  <c r="L133" i="14" s="1"/>
  <c r="M133" i="14" s="1"/>
  <c r="N133" i="14" s="1"/>
  <c r="O133" i="14" s="1"/>
  <c r="P133" i="14" s="1"/>
  <c r="Q133" i="14" s="1"/>
  <c r="R133" i="14" s="1"/>
  <c r="I57" i="14"/>
  <c r="J57" i="14" s="1"/>
  <c r="K57" i="14" s="1"/>
  <c r="L57" i="14" s="1"/>
  <c r="M57" i="14" s="1"/>
  <c r="I113" i="14"/>
  <c r="J113" i="14" s="1"/>
  <c r="K113" i="14" s="1"/>
  <c r="L113" i="14" s="1"/>
  <c r="M113" i="14" s="1"/>
  <c r="N113" i="14" s="1"/>
  <c r="O113" i="14" s="1"/>
  <c r="P113" i="14" s="1"/>
  <c r="Q113" i="14" s="1"/>
  <c r="R113" i="14" s="1"/>
  <c r="I104" i="14"/>
  <c r="J104" i="14" s="1"/>
  <c r="K104" i="14" s="1"/>
  <c r="L104" i="14" s="1"/>
  <c r="M104" i="14" s="1"/>
  <c r="N104" i="14" s="1"/>
  <c r="O104" i="14" s="1"/>
  <c r="P104" i="14" s="1"/>
  <c r="Q104" i="14" s="1"/>
  <c r="R104" i="14" s="1"/>
  <c r="I121" i="14"/>
  <c r="J121" i="14" s="1"/>
  <c r="K121" i="14" s="1"/>
  <c r="L121" i="14" s="1"/>
  <c r="M121" i="14" s="1"/>
  <c r="N121" i="14" s="1"/>
  <c r="O121" i="14" s="1"/>
  <c r="P121" i="14" s="1"/>
  <c r="Q121" i="14" s="1"/>
  <c r="R121" i="14" s="1"/>
  <c r="I117" i="14"/>
  <c r="J117" i="14" s="1"/>
  <c r="K117" i="14" s="1"/>
  <c r="L117" i="14" s="1"/>
  <c r="M117" i="14" s="1"/>
  <c r="N117" i="14" s="1"/>
  <c r="O117" i="14" s="1"/>
  <c r="P117" i="14" s="1"/>
  <c r="Q117" i="14" s="1"/>
  <c r="R117" i="14" s="1"/>
  <c r="I77" i="14"/>
  <c r="J77" i="14" s="1"/>
  <c r="K77" i="14" s="1"/>
  <c r="L77" i="14" s="1"/>
  <c r="M77" i="14" s="1"/>
  <c r="I96" i="14"/>
  <c r="J96" i="14" s="1"/>
  <c r="K96" i="14" s="1"/>
  <c r="L96" i="14" s="1"/>
  <c r="M96" i="14" s="1"/>
  <c r="N96" i="14" s="1"/>
  <c r="O96" i="14" s="1"/>
  <c r="P96" i="14" s="1"/>
  <c r="Q96" i="14" s="1"/>
  <c r="R96" i="14" s="1"/>
  <c r="I52" i="14"/>
  <c r="J52" i="14" s="1"/>
  <c r="K52" i="14" s="1"/>
  <c r="L52" i="14" s="1"/>
  <c r="M52" i="14" s="1"/>
  <c r="I67" i="14"/>
  <c r="J67" i="14" s="1"/>
  <c r="K67" i="14" s="1"/>
  <c r="L67" i="14" s="1"/>
  <c r="M67" i="14" s="1"/>
  <c r="I84" i="14"/>
  <c r="J84" i="14" s="1"/>
  <c r="K84" i="14" s="1"/>
  <c r="L84" i="14" s="1"/>
  <c r="M84" i="14" s="1"/>
  <c r="N84" i="14" s="1"/>
  <c r="O84" i="14" s="1"/>
  <c r="P84" i="14" s="1"/>
  <c r="Q84" i="14" s="1"/>
  <c r="R84" i="14" s="1"/>
  <c r="I87" i="14"/>
  <c r="J87" i="14" s="1"/>
  <c r="K87" i="14" s="1"/>
  <c r="L87" i="14" s="1"/>
  <c r="M87" i="14" s="1"/>
  <c r="N87" i="14" s="1"/>
  <c r="O87" i="14" s="1"/>
  <c r="P87" i="14" s="1"/>
  <c r="Q87" i="14" s="1"/>
  <c r="R87" i="14" s="1"/>
  <c r="A23" i="11"/>
  <c r="B23" i="11"/>
  <c r="D23" i="11" s="1"/>
  <c r="F23" i="11"/>
  <c r="A24" i="11"/>
  <c r="B24" i="11"/>
  <c r="F24" i="11"/>
  <c r="A25" i="11"/>
  <c r="B25" i="11"/>
  <c r="U25" i="11" s="1"/>
  <c r="F25" i="11"/>
  <c r="A26" i="11"/>
  <c r="B26" i="11"/>
  <c r="D26" i="11" s="1"/>
  <c r="F26" i="11"/>
  <c r="A27" i="11"/>
  <c r="B27" i="11"/>
  <c r="U27" i="11" s="1"/>
  <c r="F27" i="11"/>
  <c r="A28" i="11"/>
  <c r="B28" i="11"/>
  <c r="C28" i="11"/>
  <c r="F28" i="11"/>
  <c r="G28" i="11" s="1"/>
  <c r="A29" i="11"/>
  <c r="B29" i="11"/>
  <c r="U29" i="11" s="1"/>
  <c r="C29" i="11"/>
  <c r="F29" i="11"/>
  <c r="G29" i="11" s="1"/>
  <c r="H29" i="11" s="1"/>
  <c r="G27" i="7" s="1"/>
  <c r="A30" i="11"/>
  <c r="B30" i="11"/>
  <c r="D30" i="11" s="1"/>
  <c r="C30" i="11"/>
  <c r="F30" i="11"/>
  <c r="G30" i="11" s="1"/>
  <c r="A31" i="11"/>
  <c r="B31" i="11"/>
  <c r="D31" i="11" s="1"/>
  <c r="C31" i="11"/>
  <c r="F31" i="11"/>
  <c r="G31" i="11" s="1"/>
  <c r="H31" i="11" s="1"/>
  <c r="A32" i="11"/>
  <c r="B32" i="11"/>
  <c r="D32" i="11" s="1"/>
  <c r="C32" i="11"/>
  <c r="F32" i="11"/>
  <c r="G32" i="11" s="1"/>
  <c r="H32" i="11" s="1"/>
  <c r="G30" i="7" s="1"/>
  <c r="A33" i="11"/>
  <c r="B33" i="11"/>
  <c r="U33" i="11" s="1"/>
  <c r="C33" i="11"/>
  <c r="F33" i="11"/>
  <c r="G33" i="11" s="1"/>
  <c r="H33" i="11" s="1"/>
  <c r="G31" i="7" s="1"/>
  <c r="A34" i="11"/>
  <c r="B34" i="11"/>
  <c r="D34" i="11" s="1"/>
  <c r="C34" i="11"/>
  <c r="F34" i="11"/>
  <c r="G34" i="11" s="1"/>
  <c r="H34" i="11" s="1"/>
  <c r="G32" i="7" s="1"/>
  <c r="A35" i="11"/>
  <c r="B35" i="11"/>
  <c r="C35" i="11"/>
  <c r="F35" i="11"/>
  <c r="G35" i="11" s="1"/>
  <c r="H35" i="11" s="1"/>
  <c r="G33" i="7" s="1"/>
  <c r="A36" i="11"/>
  <c r="B36" i="11"/>
  <c r="D36" i="11" s="1"/>
  <c r="C36" i="11"/>
  <c r="F36" i="11"/>
  <c r="G36" i="11" s="1"/>
  <c r="H36" i="11" s="1"/>
  <c r="A37" i="11"/>
  <c r="B37" i="11"/>
  <c r="U37" i="11" s="1"/>
  <c r="C37" i="11"/>
  <c r="F37" i="11"/>
  <c r="G37" i="11" s="1"/>
  <c r="H37" i="11" s="1"/>
  <c r="A38" i="11"/>
  <c r="B38" i="11"/>
  <c r="D38" i="11" s="1"/>
  <c r="C38" i="11"/>
  <c r="F38" i="11"/>
  <c r="G38" i="11" s="1"/>
  <c r="H38" i="11" s="1"/>
  <c r="A39" i="11"/>
  <c r="B39" i="11"/>
  <c r="D39" i="11" s="1"/>
  <c r="C39" i="11"/>
  <c r="F39" i="11"/>
  <c r="G39" i="11" s="1"/>
  <c r="H39" i="11" s="1"/>
  <c r="A40" i="11"/>
  <c r="B40" i="11"/>
  <c r="D40" i="11" s="1"/>
  <c r="C40" i="11"/>
  <c r="F40" i="11"/>
  <c r="G40" i="11" s="1"/>
  <c r="H40" i="11" s="1"/>
  <c r="A41" i="11"/>
  <c r="B41" i="11"/>
  <c r="U41" i="11" s="1"/>
  <c r="C41" i="11"/>
  <c r="F41" i="11"/>
  <c r="G41" i="11" s="1"/>
  <c r="H41" i="11" s="1"/>
  <c r="A42" i="11"/>
  <c r="B42" i="11"/>
  <c r="C42" i="11"/>
  <c r="F42" i="11"/>
  <c r="G42" i="11" s="1"/>
  <c r="H42" i="11" s="1"/>
  <c r="A43" i="11"/>
  <c r="B43" i="11"/>
  <c r="D43" i="11" s="1"/>
  <c r="C43" i="11"/>
  <c r="F43" i="11"/>
  <c r="G43" i="11" s="1"/>
  <c r="H43" i="11" s="1"/>
  <c r="A44" i="11"/>
  <c r="B44" i="11"/>
  <c r="C44" i="11"/>
  <c r="F44" i="11"/>
  <c r="G44" i="11" s="1"/>
  <c r="H44" i="11" s="1"/>
  <c r="A45" i="11"/>
  <c r="B45" i="11"/>
  <c r="U45" i="11" s="1"/>
  <c r="C45" i="11"/>
  <c r="F45" i="11"/>
  <c r="G45" i="11" s="1"/>
  <c r="H45" i="11" s="1"/>
  <c r="A46" i="11"/>
  <c r="B46" i="11"/>
  <c r="D46" i="11" s="1"/>
  <c r="C46" i="11"/>
  <c r="F46" i="11"/>
  <c r="G46" i="11" s="1"/>
  <c r="H46" i="11" s="1"/>
  <c r="A47" i="11"/>
  <c r="B47" i="11"/>
  <c r="D47" i="11" s="1"/>
  <c r="C47" i="11"/>
  <c r="F47" i="11"/>
  <c r="G47" i="11" s="1"/>
  <c r="H47" i="11" s="1"/>
  <c r="A48" i="11"/>
  <c r="B48" i="11"/>
  <c r="U48" i="11" s="1"/>
  <c r="C48" i="11"/>
  <c r="F48" i="11"/>
  <c r="G48" i="11" s="1"/>
  <c r="H48" i="11" s="1"/>
  <c r="A49" i="11"/>
  <c r="B49" i="11"/>
  <c r="C49" i="11"/>
  <c r="F49" i="11"/>
  <c r="G49" i="11" s="1"/>
  <c r="H49" i="11" s="1"/>
  <c r="A50" i="11"/>
  <c r="B50" i="11"/>
  <c r="U50" i="11" s="1"/>
  <c r="C50" i="11"/>
  <c r="F50" i="11"/>
  <c r="G50" i="11" s="1"/>
  <c r="H50" i="11" s="1"/>
  <c r="A51" i="11"/>
  <c r="B51" i="11"/>
  <c r="D51" i="11" s="1"/>
  <c r="C51" i="11"/>
  <c r="F51" i="11"/>
  <c r="G51" i="11" s="1"/>
  <c r="H51" i="11" s="1"/>
  <c r="A52" i="11"/>
  <c r="B52" i="11"/>
  <c r="U52" i="11" s="1"/>
  <c r="C52" i="11"/>
  <c r="F52" i="11"/>
  <c r="G52" i="11" s="1"/>
  <c r="H52" i="11" s="1"/>
  <c r="A53" i="11"/>
  <c r="B53" i="11"/>
  <c r="D53" i="11" s="1"/>
  <c r="C53" i="11"/>
  <c r="F53" i="11"/>
  <c r="G53" i="11" s="1"/>
  <c r="H53" i="11" s="1"/>
  <c r="A54" i="11"/>
  <c r="B54" i="11"/>
  <c r="D54" i="11" s="1"/>
  <c r="C54" i="11"/>
  <c r="F54" i="11"/>
  <c r="G54" i="11" s="1"/>
  <c r="H54" i="11" s="1"/>
  <c r="A55" i="11"/>
  <c r="B55" i="11"/>
  <c r="D55" i="11" s="1"/>
  <c r="C55" i="11"/>
  <c r="F55" i="11"/>
  <c r="G55" i="11" s="1"/>
  <c r="H55" i="11" s="1"/>
  <c r="A56" i="11"/>
  <c r="B56" i="11"/>
  <c r="U56" i="11" s="1"/>
  <c r="C56" i="11"/>
  <c r="F56" i="11"/>
  <c r="G56" i="11" s="1"/>
  <c r="H56" i="11" s="1"/>
  <c r="A57" i="11"/>
  <c r="B57" i="11"/>
  <c r="D57" i="11" s="1"/>
  <c r="C57" i="11"/>
  <c r="F57" i="11"/>
  <c r="G57" i="11" s="1"/>
  <c r="H57" i="11" s="1"/>
  <c r="A58" i="11"/>
  <c r="B58" i="11"/>
  <c r="U58" i="11" s="1"/>
  <c r="C58" i="11"/>
  <c r="F58" i="11"/>
  <c r="G58" i="11" s="1"/>
  <c r="H58" i="11" s="1"/>
  <c r="A59" i="11"/>
  <c r="B59" i="11"/>
  <c r="C59" i="11"/>
  <c r="F59" i="11"/>
  <c r="G59" i="11" s="1"/>
  <c r="H59" i="11" s="1"/>
  <c r="A60" i="11"/>
  <c r="B60" i="11"/>
  <c r="U60" i="11" s="1"/>
  <c r="C60" i="11"/>
  <c r="F60" i="11"/>
  <c r="G60" i="11" s="1"/>
  <c r="H60" i="11" s="1"/>
  <c r="A61" i="11"/>
  <c r="B61" i="11"/>
  <c r="C61" i="11"/>
  <c r="F61" i="11"/>
  <c r="G61" i="11" s="1"/>
  <c r="H61" i="11" s="1"/>
  <c r="A62" i="11"/>
  <c r="B62" i="11"/>
  <c r="C62" i="11"/>
  <c r="F62" i="11"/>
  <c r="G62" i="11" s="1"/>
  <c r="H62" i="11" s="1"/>
  <c r="A63" i="11"/>
  <c r="B63" i="11"/>
  <c r="C63" i="11"/>
  <c r="F63" i="11"/>
  <c r="G63" i="11" s="1"/>
  <c r="H63" i="11" s="1"/>
  <c r="A64" i="11"/>
  <c r="B64" i="11"/>
  <c r="D64" i="11" s="1"/>
  <c r="C64" i="11"/>
  <c r="F64" i="11"/>
  <c r="G64" i="11" s="1"/>
  <c r="H64" i="11" s="1"/>
  <c r="A65" i="11"/>
  <c r="B65" i="11"/>
  <c r="D65" i="11" s="1"/>
  <c r="C65" i="11"/>
  <c r="F65" i="11"/>
  <c r="G65" i="11" s="1"/>
  <c r="H65" i="11" s="1"/>
  <c r="A66" i="11"/>
  <c r="B66" i="11"/>
  <c r="D66" i="11" s="1"/>
  <c r="C66" i="11"/>
  <c r="F66" i="11"/>
  <c r="G66" i="11" s="1"/>
  <c r="H66" i="11" s="1"/>
  <c r="A67" i="11"/>
  <c r="B67" i="11"/>
  <c r="U67" i="11" s="1"/>
  <c r="C67" i="11"/>
  <c r="F67" i="11"/>
  <c r="G67" i="11" s="1"/>
  <c r="H67" i="11" s="1"/>
  <c r="A68" i="11"/>
  <c r="B68" i="11"/>
  <c r="D68" i="11" s="1"/>
  <c r="C68" i="11"/>
  <c r="F68" i="11"/>
  <c r="G68" i="11" s="1"/>
  <c r="H68" i="11" s="1"/>
  <c r="A69" i="11"/>
  <c r="B69" i="11"/>
  <c r="C69" i="11"/>
  <c r="F69" i="11"/>
  <c r="G69" i="11" s="1"/>
  <c r="H69" i="11" s="1"/>
  <c r="A70" i="11"/>
  <c r="B70" i="11"/>
  <c r="C70" i="11"/>
  <c r="F70" i="11"/>
  <c r="G70" i="11" s="1"/>
  <c r="H70" i="11" s="1"/>
  <c r="A71" i="11"/>
  <c r="B71" i="11"/>
  <c r="C71" i="11"/>
  <c r="F71" i="11"/>
  <c r="G71" i="11" s="1"/>
  <c r="H71" i="11" s="1"/>
  <c r="A72" i="11"/>
  <c r="B72" i="11"/>
  <c r="D72" i="11" s="1"/>
  <c r="C72" i="11"/>
  <c r="F72" i="11"/>
  <c r="G72" i="11" s="1"/>
  <c r="H72" i="11" s="1"/>
  <c r="A73" i="11"/>
  <c r="B73" i="11"/>
  <c r="C73" i="11"/>
  <c r="F73" i="11"/>
  <c r="G73" i="11" s="1"/>
  <c r="H73" i="11" s="1"/>
  <c r="A74" i="11"/>
  <c r="B74" i="11"/>
  <c r="D74" i="11" s="1"/>
  <c r="C74" i="11"/>
  <c r="F74" i="11"/>
  <c r="G74" i="11" s="1"/>
  <c r="H74" i="11" s="1"/>
  <c r="A75" i="11"/>
  <c r="B75" i="11"/>
  <c r="U75" i="11" s="1"/>
  <c r="C75" i="11"/>
  <c r="F75" i="11"/>
  <c r="G75" i="11" s="1"/>
  <c r="H75" i="11" s="1"/>
  <c r="A76" i="11"/>
  <c r="B76" i="11"/>
  <c r="D76" i="11" s="1"/>
  <c r="C76" i="11"/>
  <c r="F76" i="11"/>
  <c r="G76" i="11" s="1"/>
  <c r="H76" i="11" s="1"/>
  <c r="A77" i="11"/>
  <c r="B77" i="11"/>
  <c r="U77" i="11" s="1"/>
  <c r="C77" i="11"/>
  <c r="F77" i="11"/>
  <c r="G77" i="11" s="1"/>
  <c r="H77" i="11" s="1"/>
  <c r="A78" i="11"/>
  <c r="B78" i="11"/>
  <c r="D78" i="11" s="1"/>
  <c r="C78" i="11"/>
  <c r="F78" i="11"/>
  <c r="G78" i="11" s="1"/>
  <c r="H78" i="11" s="1"/>
  <c r="A79" i="11"/>
  <c r="B79" i="11"/>
  <c r="U79" i="11" s="1"/>
  <c r="C79" i="11"/>
  <c r="F79" i="11"/>
  <c r="G79" i="11" s="1"/>
  <c r="H79" i="11" s="1"/>
  <c r="A80" i="11"/>
  <c r="B80" i="11"/>
  <c r="D80" i="11" s="1"/>
  <c r="C80" i="11"/>
  <c r="F80" i="11"/>
  <c r="G80" i="11" s="1"/>
  <c r="H80" i="11" s="1"/>
  <c r="A81" i="11"/>
  <c r="B81" i="11"/>
  <c r="U81" i="11" s="1"/>
  <c r="C81" i="11"/>
  <c r="F81" i="11"/>
  <c r="G81" i="11" s="1"/>
  <c r="H81" i="11" s="1"/>
  <c r="A82" i="11"/>
  <c r="B82" i="11"/>
  <c r="U82" i="11" s="1"/>
  <c r="C82" i="11"/>
  <c r="F82" i="11"/>
  <c r="G82" i="11" s="1"/>
  <c r="H82" i="11" s="1"/>
  <c r="A83" i="11"/>
  <c r="B83" i="11"/>
  <c r="U83" i="11" s="1"/>
  <c r="C83" i="11"/>
  <c r="F83" i="11"/>
  <c r="G83" i="11" s="1"/>
  <c r="H83" i="11" s="1"/>
  <c r="A84" i="11"/>
  <c r="B84" i="11"/>
  <c r="D84" i="11" s="1"/>
  <c r="C84" i="11"/>
  <c r="F84" i="11"/>
  <c r="G84" i="11" s="1"/>
  <c r="H84" i="11" s="1"/>
  <c r="A85" i="11"/>
  <c r="B85" i="11"/>
  <c r="U85" i="11" s="1"/>
  <c r="C85" i="11"/>
  <c r="F85" i="11"/>
  <c r="G85" i="11" s="1"/>
  <c r="H85" i="11" s="1"/>
  <c r="A86" i="11"/>
  <c r="B86" i="11"/>
  <c r="D86" i="11" s="1"/>
  <c r="C86" i="11"/>
  <c r="F86" i="11"/>
  <c r="G86" i="11" s="1"/>
  <c r="H86" i="11" s="1"/>
  <c r="A31" i="4"/>
  <c r="B31" i="4"/>
  <c r="A32" i="4"/>
  <c r="B32" i="4"/>
  <c r="A33" i="4"/>
  <c r="B33" i="4"/>
  <c r="A34" i="4"/>
  <c r="B34" i="4"/>
  <c r="A26" i="4"/>
  <c r="A27" i="4"/>
  <c r="A28" i="4"/>
  <c r="A29" i="4"/>
  <c r="A30" i="4"/>
  <c r="K50" i="3"/>
  <c r="L50" i="3" s="1"/>
  <c r="E50" i="3"/>
  <c r="H25" i="5" l="1"/>
  <c r="G29" i="5"/>
  <c r="G24" i="5"/>
  <c r="H28" i="5"/>
  <c r="G28" i="5"/>
  <c r="G26" i="5"/>
  <c r="N77" i="14"/>
  <c r="O77" i="14" s="1"/>
  <c r="P77" i="14" s="1"/>
  <c r="Q77" i="14" s="1"/>
  <c r="R77" i="14" s="1"/>
  <c r="N74" i="14"/>
  <c r="O74" i="14" s="1"/>
  <c r="P74" i="14" s="1"/>
  <c r="Q74" i="14" s="1"/>
  <c r="R74" i="14" s="1"/>
  <c r="N67" i="14"/>
  <c r="O67" i="14" s="1"/>
  <c r="P67" i="14" s="1"/>
  <c r="Q67" i="14" s="1"/>
  <c r="R67" i="14" s="1"/>
  <c r="G31" i="5"/>
  <c r="N52" i="14"/>
  <c r="O52" i="14" s="1"/>
  <c r="P52" i="14" s="1"/>
  <c r="Q52" i="14" s="1"/>
  <c r="R52" i="14" s="1"/>
  <c r="N57" i="14"/>
  <c r="O57" i="14" s="1"/>
  <c r="P57" i="14" s="1"/>
  <c r="Q57" i="14" s="1"/>
  <c r="R57" i="14" s="1"/>
  <c r="G26" i="11"/>
  <c r="F24" i="7" s="1"/>
  <c r="G27" i="5"/>
  <c r="H30" i="5"/>
  <c r="G33" i="5"/>
  <c r="I28" i="5"/>
  <c r="H31" i="5"/>
  <c r="I64" i="11"/>
  <c r="J64" i="11" s="1"/>
  <c r="K64" i="11" s="1"/>
  <c r="L64" i="11" s="1"/>
  <c r="M64" i="11" s="1"/>
  <c r="N64" i="11" s="1"/>
  <c r="O64" i="11" s="1"/>
  <c r="P64" i="11" s="1"/>
  <c r="Q64" i="11" s="1"/>
  <c r="R64" i="11" s="1"/>
  <c r="U64" i="11"/>
  <c r="U43" i="11"/>
  <c r="U72" i="11"/>
  <c r="U39" i="11"/>
  <c r="U54" i="11"/>
  <c r="I47" i="11"/>
  <c r="J47" i="11" s="1"/>
  <c r="K47" i="11" s="1"/>
  <c r="L47" i="11" s="1"/>
  <c r="M47" i="11" s="1"/>
  <c r="N47" i="11" s="1"/>
  <c r="O47" i="11" s="1"/>
  <c r="P47" i="11" s="1"/>
  <c r="Q47" i="11" s="1"/>
  <c r="R47" i="11" s="1"/>
  <c r="U46" i="11"/>
  <c r="U76" i="11"/>
  <c r="U55" i="11"/>
  <c r="U36" i="11"/>
  <c r="I76" i="11"/>
  <c r="J76" i="11" s="1"/>
  <c r="K76" i="11" s="1"/>
  <c r="L76" i="11" s="1"/>
  <c r="M76" i="11" s="1"/>
  <c r="N76" i="11" s="1"/>
  <c r="O76" i="11" s="1"/>
  <c r="P76" i="11" s="1"/>
  <c r="Q76" i="11" s="1"/>
  <c r="R76" i="11" s="1"/>
  <c r="U66" i="11"/>
  <c r="I72" i="11"/>
  <c r="J72" i="11" s="1"/>
  <c r="K72" i="11" s="1"/>
  <c r="L72" i="11" s="1"/>
  <c r="M72" i="11" s="1"/>
  <c r="N72" i="11" s="1"/>
  <c r="O72" i="11" s="1"/>
  <c r="P72" i="11" s="1"/>
  <c r="Q72" i="11" s="1"/>
  <c r="R72" i="11" s="1"/>
  <c r="D82" i="11"/>
  <c r="I82" i="11" s="1"/>
  <c r="J82" i="11" s="1"/>
  <c r="K82" i="11" s="1"/>
  <c r="L82" i="11" s="1"/>
  <c r="M82" i="11" s="1"/>
  <c r="N82" i="11" s="1"/>
  <c r="O82" i="11" s="1"/>
  <c r="P82" i="11" s="1"/>
  <c r="Q82" i="11" s="1"/>
  <c r="R82" i="11" s="1"/>
  <c r="U74" i="11"/>
  <c r="U47" i="11"/>
  <c r="U32" i="11"/>
  <c r="U68" i="11"/>
  <c r="U38" i="11"/>
  <c r="I43" i="11"/>
  <c r="J43" i="11" s="1"/>
  <c r="K43" i="11" s="1"/>
  <c r="L43" i="11" s="1"/>
  <c r="M43" i="11" s="1"/>
  <c r="N43" i="11" s="1"/>
  <c r="O43" i="11" s="1"/>
  <c r="P43" i="11" s="1"/>
  <c r="Q43" i="11" s="1"/>
  <c r="R43" i="11" s="1"/>
  <c r="U84" i="11"/>
  <c r="U57" i="11"/>
  <c r="U53" i="11"/>
  <c r="U40" i="11"/>
  <c r="I32" i="11"/>
  <c r="J32" i="11" s="1"/>
  <c r="I84" i="11"/>
  <c r="J84" i="11" s="1"/>
  <c r="K84" i="11" s="1"/>
  <c r="L84" i="11" s="1"/>
  <c r="M84" i="11" s="1"/>
  <c r="N84" i="11" s="1"/>
  <c r="O84" i="11" s="1"/>
  <c r="P84" i="11" s="1"/>
  <c r="Q84" i="11" s="1"/>
  <c r="R84" i="11" s="1"/>
  <c r="D77" i="11"/>
  <c r="I77" i="11" s="1"/>
  <c r="J77" i="11" s="1"/>
  <c r="K77" i="11" s="1"/>
  <c r="L77" i="11" s="1"/>
  <c r="M77" i="11" s="1"/>
  <c r="N77" i="11" s="1"/>
  <c r="O77" i="11" s="1"/>
  <c r="P77" i="11" s="1"/>
  <c r="Q77" i="11" s="1"/>
  <c r="R77" i="11" s="1"/>
  <c r="D67" i="11"/>
  <c r="I67" i="11" s="1"/>
  <c r="J67" i="11" s="1"/>
  <c r="K67" i="11" s="1"/>
  <c r="L67" i="11" s="1"/>
  <c r="M67" i="11" s="1"/>
  <c r="N67" i="11" s="1"/>
  <c r="O67" i="11" s="1"/>
  <c r="P67" i="11" s="1"/>
  <c r="Q67" i="11" s="1"/>
  <c r="R67" i="11" s="1"/>
  <c r="I57" i="11"/>
  <c r="J57" i="11" s="1"/>
  <c r="K57" i="11" s="1"/>
  <c r="L57" i="11" s="1"/>
  <c r="M57" i="11" s="1"/>
  <c r="N57" i="11" s="1"/>
  <c r="O57" i="11" s="1"/>
  <c r="P57" i="11" s="1"/>
  <c r="Q57" i="11" s="1"/>
  <c r="R57" i="11" s="1"/>
  <c r="I51" i="11"/>
  <c r="J51" i="11" s="1"/>
  <c r="K51" i="11" s="1"/>
  <c r="L51" i="11" s="1"/>
  <c r="M51" i="11" s="1"/>
  <c r="N51" i="11" s="1"/>
  <c r="O51" i="11" s="1"/>
  <c r="P51" i="11" s="1"/>
  <c r="Q51" i="11" s="1"/>
  <c r="R51" i="11" s="1"/>
  <c r="D45" i="11"/>
  <c r="I45" i="11" s="1"/>
  <c r="J45" i="11" s="1"/>
  <c r="K45" i="11" s="1"/>
  <c r="L45" i="11" s="1"/>
  <c r="M45" i="11" s="1"/>
  <c r="N45" i="11" s="1"/>
  <c r="O45" i="11" s="1"/>
  <c r="P45" i="11" s="1"/>
  <c r="Q45" i="11" s="1"/>
  <c r="R45" i="11" s="1"/>
  <c r="F37" i="7"/>
  <c r="I78" i="11"/>
  <c r="J78" i="11" s="1"/>
  <c r="K78" i="11" s="1"/>
  <c r="L78" i="11" s="1"/>
  <c r="M78" i="11" s="1"/>
  <c r="N78" i="11" s="1"/>
  <c r="O78" i="11" s="1"/>
  <c r="P78" i="11" s="1"/>
  <c r="Q78" i="11" s="1"/>
  <c r="R78" i="11" s="1"/>
  <c r="H30" i="11"/>
  <c r="G28" i="7" s="1"/>
  <c r="F28" i="7"/>
  <c r="H28" i="11"/>
  <c r="G26" i="7" s="1"/>
  <c r="F26" i="7"/>
  <c r="F32" i="7"/>
  <c r="I80" i="11"/>
  <c r="J80" i="11" s="1"/>
  <c r="K80" i="11" s="1"/>
  <c r="L80" i="11" s="1"/>
  <c r="M80" i="11" s="1"/>
  <c r="N80" i="11" s="1"/>
  <c r="O80" i="11" s="1"/>
  <c r="P80" i="11" s="1"/>
  <c r="Q80" i="11" s="1"/>
  <c r="R80" i="11" s="1"/>
  <c r="I66" i="11"/>
  <c r="J66" i="11" s="1"/>
  <c r="K66" i="11" s="1"/>
  <c r="L66" i="11" s="1"/>
  <c r="M66" i="11" s="1"/>
  <c r="N66" i="11" s="1"/>
  <c r="O66" i="11" s="1"/>
  <c r="P66" i="11" s="1"/>
  <c r="Q66" i="11" s="1"/>
  <c r="R66" i="11" s="1"/>
  <c r="I55" i="11"/>
  <c r="J55" i="11" s="1"/>
  <c r="K55" i="11" s="1"/>
  <c r="L55" i="11" s="1"/>
  <c r="M55" i="11" s="1"/>
  <c r="N55" i="11" s="1"/>
  <c r="O55" i="11" s="1"/>
  <c r="P55" i="11" s="1"/>
  <c r="Q55" i="11" s="1"/>
  <c r="R55" i="11" s="1"/>
  <c r="I40" i="11"/>
  <c r="J40" i="11" s="1"/>
  <c r="K40" i="11" s="1"/>
  <c r="L40" i="11" s="1"/>
  <c r="M40" i="11" s="1"/>
  <c r="N40" i="11" s="1"/>
  <c r="O40" i="11" s="1"/>
  <c r="P40" i="11" s="1"/>
  <c r="Q40" i="11" s="1"/>
  <c r="R40" i="11" s="1"/>
  <c r="F36" i="7"/>
  <c r="F31" i="7"/>
  <c r="D79" i="11"/>
  <c r="I79" i="11" s="1"/>
  <c r="J79" i="11" s="1"/>
  <c r="K79" i="11" s="1"/>
  <c r="L79" i="11" s="1"/>
  <c r="M79" i="11" s="1"/>
  <c r="N79" i="11" s="1"/>
  <c r="O79" i="11" s="1"/>
  <c r="P79" i="11" s="1"/>
  <c r="Q79" i="11" s="1"/>
  <c r="R79" i="11" s="1"/>
  <c r="U78" i="11"/>
  <c r="I74" i="11"/>
  <c r="J74" i="11" s="1"/>
  <c r="K74" i="11" s="1"/>
  <c r="L74" i="11" s="1"/>
  <c r="M74" i="11" s="1"/>
  <c r="N74" i="11" s="1"/>
  <c r="O74" i="11" s="1"/>
  <c r="P74" i="11" s="1"/>
  <c r="Q74" i="11" s="1"/>
  <c r="R74" i="11" s="1"/>
  <c r="I65" i="11"/>
  <c r="J65" i="11" s="1"/>
  <c r="K65" i="11" s="1"/>
  <c r="L65" i="11" s="1"/>
  <c r="M65" i="11" s="1"/>
  <c r="N65" i="11" s="1"/>
  <c r="O65" i="11" s="1"/>
  <c r="P65" i="11" s="1"/>
  <c r="Q65" i="11" s="1"/>
  <c r="R65" i="11" s="1"/>
  <c r="D37" i="11"/>
  <c r="I37" i="11" s="1"/>
  <c r="F35" i="7"/>
  <c r="F30" i="7"/>
  <c r="I54" i="11"/>
  <c r="J54" i="11" s="1"/>
  <c r="K54" i="11" s="1"/>
  <c r="L54" i="11" s="1"/>
  <c r="M54" i="11" s="1"/>
  <c r="N54" i="11" s="1"/>
  <c r="O54" i="11" s="1"/>
  <c r="P54" i="11" s="1"/>
  <c r="Q54" i="11" s="1"/>
  <c r="R54" i="11" s="1"/>
  <c r="I34" i="11"/>
  <c r="H32" i="7" s="1"/>
  <c r="U31" i="11"/>
  <c r="D29" i="11"/>
  <c r="I29" i="11" s="1"/>
  <c r="D25" i="11"/>
  <c r="G25" i="11" s="1"/>
  <c r="U23" i="11"/>
  <c r="F33" i="7"/>
  <c r="F29" i="7"/>
  <c r="I86" i="11"/>
  <c r="J86" i="11" s="1"/>
  <c r="K86" i="11" s="1"/>
  <c r="L86" i="11" s="1"/>
  <c r="M86" i="11" s="1"/>
  <c r="N86" i="11" s="1"/>
  <c r="O86" i="11" s="1"/>
  <c r="P86" i="11" s="1"/>
  <c r="Q86" i="11" s="1"/>
  <c r="R86" i="11" s="1"/>
  <c r="D61" i="11"/>
  <c r="I61" i="11" s="1"/>
  <c r="J61" i="11" s="1"/>
  <c r="K61" i="11" s="1"/>
  <c r="L61" i="11" s="1"/>
  <c r="M61" i="11" s="1"/>
  <c r="N61" i="11" s="1"/>
  <c r="O61" i="11" s="1"/>
  <c r="P61" i="11" s="1"/>
  <c r="Q61" i="11" s="1"/>
  <c r="R61" i="11" s="1"/>
  <c r="U61" i="11"/>
  <c r="G34" i="7"/>
  <c r="I36" i="11"/>
  <c r="J34" i="11"/>
  <c r="U80" i="11"/>
  <c r="U59" i="11"/>
  <c r="D59" i="11"/>
  <c r="I59" i="11" s="1"/>
  <c r="J59" i="11" s="1"/>
  <c r="K59" i="11" s="1"/>
  <c r="L59" i="11" s="1"/>
  <c r="M59" i="11" s="1"/>
  <c r="N59" i="11" s="1"/>
  <c r="O59" i="11" s="1"/>
  <c r="P59" i="11" s="1"/>
  <c r="Q59" i="11" s="1"/>
  <c r="R59" i="11" s="1"/>
  <c r="I31" i="11"/>
  <c r="G29" i="7"/>
  <c r="F34" i="7"/>
  <c r="U71" i="11"/>
  <c r="D71" i="11"/>
  <c r="I71" i="11" s="1"/>
  <c r="J71" i="11" s="1"/>
  <c r="K71" i="11" s="1"/>
  <c r="L71" i="11" s="1"/>
  <c r="M71" i="11" s="1"/>
  <c r="N71" i="11" s="1"/>
  <c r="O71" i="11" s="1"/>
  <c r="P71" i="11" s="1"/>
  <c r="Q71" i="11" s="1"/>
  <c r="R71" i="11" s="1"/>
  <c r="U63" i="11"/>
  <c r="D63" i="11"/>
  <c r="I63" i="11" s="1"/>
  <c r="J63" i="11" s="1"/>
  <c r="K63" i="11" s="1"/>
  <c r="L63" i="11" s="1"/>
  <c r="M63" i="11" s="1"/>
  <c r="N63" i="11" s="1"/>
  <c r="O63" i="11" s="1"/>
  <c r="P63" i="11" s="1"/>
  <c r="Q63" i="11" s="1"/>
  <c r="R63" i="11" s="1"/>
  <c r="U62" i="11"/>
  <c r="D62" i="11"/>
  <c r="I62" i="11" s="1"/>
  <c r="J62" i="11" s="1"/>
  <c r="K62" i="11" s="1"/>
  <c r="L62" i="11" s="1"/>
  <c r="M62" i="11" s="1"/>
  <c r="N62" i="11" s="1"/>
  <c r="O62" i="11" s="1"/>
  <c r="P62" i="11" s="1"/>
  <c r="Q62" i="11" s="1"/>
  <c r="R62" i="11" s="1"/>
  <c r="F27" i="7"/>
  <c r="U86" i="11"/>
  <c r="D75" i="11"/>
  <c r="I75" i="11" s="1"/>
  <c r="J75" i="11" s="1"/>
  <c r="K75" i="11" s="1"/>
  <c r="L75" i="11" s="1"/>
  <c r="M75" i="11" s="1"/>
  <c r="N75" i="11" s="1"/>
  <c r="O75" i="11" s="1"/>
  <c r="P75" i="11" s="1"/>
  <c r="Q75" i="11" s="1"/>
  <c r="R75" i="11" s="1"/>
  <c r="D70" i="11"/>
  <c r="I70" i="11" s="1"/>
  <c r="J70" i="11" s="1"/>
  <c r="K70" i="11" s="1"/>
  <c r="L70" i="11" s="1"/>
  <c r="M70" i="11" s="1"/>
  <c r="N70" i="11" s="1"/>
  <c r="O70" i="11" s="1"/>
  <c r="P70" i="11" s="1"/>
  <c r="Q70" i="11" s="1"/>
  <c r="R70" i="11" s="1"/>
  <c r="U70" i="11"/>
  <c r="U49" i="11"/>
  <c r="D49" i="11"/>
  <c r="I49" i="11" s="1"/>
  <c r="J49" i="11" s="1"/>
  <c r="K49" i="11" s="1"/>
  <c r="L49" i="11" s="1"/>
  <c r="M49" i="11" s="1"/>
  <c r="N49" i="11" s="1"/>
  <c r="O49" i="11" s="1"/>
  <c r="P49" i="11" s="1"/>
  <c r="Q49" i="11" s="1"/>
  <c r="R49" i="11" s="1"/>
  <c r="D42" i="11"/>
  <c r="I42" i="11" s="1"/>
  <c r="J42" i="11" s="1"/>
  <c r="K42" i="11" s="1"/>
  <c r="L42" i="11" s="1"/>
  <c r="M42" i="11" s="1"/>
  <c r="N42" i="11" s="1"/>
  <c r="O42" i="11" s="1"/>
  <c r="P42" i="11" s="1"/>
  <c r="Q42" i="11" s="1"/>
  <c r="R42" i="11" s="1"/>
  <c r="U42" i="11"/>
  <c r="I39" i="11"/>
  <c r="G37" i="7"/>
  <c r="I46" i="11"/>
  <c r="J46" i="11" s="1"/>
  <c r="K46" i="11" s="1"/>
  <c r="L46" i="11" s="1"/>
  <c r="M46" i="11" s="1"/>
  <c r="N46" i="11" s="1"/>
  <c r="O46" i="11" s="1"/>
  <c r="P46" i="11" s="1"/>
  <c r="Q46" i="11" s="1"/>
  <c r="R46" i="11" s="1"/>
  <c r="I38" i="11"/>
  <c r="D41" i="11"/>
  <c r="I41" i="11" s="1"/>
  <c r="J41" i="11" s="1"/>
  <c r="K41" i="11" s="1"/>
  <c r="L41" i="11" s="1"/>
  <c r="M41" i="11" s="1"/>
  <c r="N41" i="11" s="1"/>
  <c r="O41" i="11" s="1"/>
  <c r="P41" i="11" s="1"/>
  <c r="Q41" i="11" s="1"/>
  <c r="R41" i="11" s="1"/>
  <c r="U34" i="11"/>
  <c r="U30" i="11"/>
  <c r="D27" i="11"/>
  <c r="U26" i="11"/>
  <c r="G36" i="7"/>
  <c r="G35" i="7"/>
  <c r="D85" i="11"/>
  <c r="D83" i="11"/>
  <c r="U69" i="11"/>
  <c r="D69" i="11"/>
  <c r="I69" i="11" s="1"/>
  <c r="J69" i="11" s="1"/>
  <c r="K69" i="11" s="1"/>
  <c r="L69" i="11" s="1"/>
  <c r="M69" i="11" s="1"/>
  <c r="N69" i="11" s="1"/>
  <c r="O69" i="11" s="1"/>
  <c r="P69" i="11" s="1"/>
  <c r="Q69" i="11" s="1"/>
  <c r="R69" i="11" s="1"/>
  <c r="I68" i="11"/>
  <c r="J68" i="11" s="1"/>
  <c r="K68" i="11" s="1"/>
  <c r="L68" i="11" s="1"/>
  <c r="M68" i="11" s="1"/>
  <c r="N68" i="11" s="1"/>
  <c r="O68" i="11" s="1"/>
  <c r="P68" i="11" s="1"/>
  <c r="Q68" i="11" s="1"/>
  <c r="R68" i="11" s="1"/>
  <c r="U73" i="11"/>
  <c r="D73" i="11"/>
  <c r="I73" i="11" s="1"/>
  <c r="J73" i="11" s="1"/>
  <c r="K73" i="11" s="1"/>
  <c r="L73" i="11" s="1"/>
  <c r="M73" i="11" s="1"/>
  <c r="N73" i="11" s="1"/>
  <c r="O73" i="11" s="1"/>
  <c r="P73" i="11" s="1"/>
  <c r="Q73" i="11" s="1"/>
  <c r="R73" i="11" s="1"/>
  <c r="D81" i="11"/>
  <c r="D60" i="11"/>
  <c r="I60" i="11" s="1"/>
  <c r="J60" i="11" s="1"/>
  <c r="K60" i="11" s="1"/>
  <c r="L60" i="11" s="1"/>
  <c r="M60" i="11" s="1"/>
  <c r="N60" i="11" s="1"/>
  <c r="O60" i="11" s="1"/>
  <c r="P60" i="11" s="1"/>
  <c r="Q60" i="11" s="1"/>
  <c r="R60" i="11" s="1"/>
  <c r="D58" i="11"/>
  <c r="I58" i="11" s="1"/>
  <c r="J58" i="11" s="1"/>
  <c r="K58" i="11" s="1"/>
  <c r="L58" i="11" s="1"/>
  <c r="M58" i="11" s="1"/>
  <c r="N58" i="11" s="1"/>
  <c r="O58" i="11" s="1"/>
  <c r="P58" i="11" s="1"/>
  <c r="Q58" i="11" s="1"/>
  <c r="R58" i="11" s="1"/>
  <c r="D52" i="11"/>
  <c r="I52" i="11" s="1"/>
  <c r="J52" i="11" s="1"/>
  <c r="K52" i="11" s="1"/>
  <c r="L52" i="11" s="1"/>
  <c r="M52" i="11" s="1"/>
  <c r="N52" i="11" s="1"/>
  <c r="O52" i="11" s="1"/>
  <c r="P52" i="11" s="1"/>
  <c r="Q52" i="11" s="1"/>
  <c r="R52" i="11" s="1"/>
  <c r="I53" i="11"/>
  <c r="J53" i="11" s="1"/>
  <c r="K53" i="11" s="1"/>
  <c r="L53" i="11" s="1"/>
  <c r="M53" i="11" s="1"/>
  <c r="N53" i="11" s="1"/>
  <c r="O53" i="11" s="1"/>
  <c r="P53" i="11" s="1"/>
  <c r="Q53" i="11" s="1"/>
  <c r="R53" i="11" s="1"/>
  <c r="U51" i="11"/>
  <c r="U65" i="11"/>
  <c r="D56" i="11"/>
  <c r="D50" i="11"/>
  <c r="U35" i="11"/>
  <c r="D35" i="11"/>
  <c r="D48" i="11"/>
  <c r="D44" i="11"/>
  <c r="U44" i="11"/>
  <c r="D28" i="11"/>
  <c r="U28" i="11"/>
  <c r="D24" i="11"/>
  <c r="U24" i="11"/>
  <c r="D33" i="11"/>
  <c r="K49" i="3"/>
  <c r="L49" i="3" s="1"/>
  <c r="E49" i="3"/>
  <c r="K48" i="3"/>
  <c r="L48" i="3" s="1"/>
  <c r="E48" i="3"/>
  <c r="H29" i="5" l="1"/>
  <c r="H32" i="5"/>
  <c r="H26" i="5"/>
  <c r="H24" i="5"/>
  <c r="I25" i="5"/>
  <c r="H26" i="11"/>
  <c r="I26" i="11" s="1"/>
  <c r="J26" i="11" s="1"/>
  <c r="H25" i="11"/>
  <c r="G23" i="7" s="1"/>
  <c r="F23" i="7"/>
  <c r="G27" i="11"/>
  <c r="H33" i="5"/>
  <c r="I30" i="5"/>
  <c r="H27" i="5"/>
  <c r="J28" i="5"/>
  <c r="I31" i="5"/>
  <c r="I30" i="11"/>
  <c r="J30" i="11" s="1"/>
  <c r="H30" i="7"/>
  <c r="J29" i="11"/>
  <c r="H27" i="7"/>
  <c r="J38" i="11"/>
  <c r="H36" i="7"/>
  <c r="J39" i="11"/>
  <c r="H37" i="7"/>
  <c r="J31" i="11"/>
  <c r="H29" i="7"/>
  <c r="I85" i="11"/>
  <c r="J85" i="11" s="1"/>
  <c r="K85" i="11" s="1"/>
  <c r="L85" i="11" s="1"/>
  <c r="M85" i="11" s="1"/>
  <c r="N85" i="11" s="1"/>
  <c r="O85" i="11" s="1"/>
  <c r="P85" i="11" s="1"/>
  <c r="Q85" i="11" s="1"/>
  <c r="R85" i="11" s="1"/>
  <c r="K32" i="11"/>
  <c r="I30" i="7"/>
  <c r="K34" i="11"/>
  <c r="I32" i="7"/>
  <c r="J37" i="11"/>
  <c r="H35" i="7"/>
  <c r="J36" i="11"/>
  <c r="H34" i="7"/>
  <c r="I35" i="11"/>
  <c r="I48" i="11"/>
  <c r="J48" i="11" s="1"/>
  <c r="K48" i="11" s="1"/>
  <c r="L48" i="11" s="1"/>
  <c r="M48" i="11" s="1"/>
  <c r="N48" i="11" s="1"/>
  <c r="O48" i="11" s="1"/>
  <c r="P48" i="11" s="1"/>
  <c r="Q48" i="11" s="1"/>
  <c r="R48" i="11" s="1"/>
  <c r="I81" i="11"/>
  <c r="J81" i="11" s="1"/>
  <c r="K81" i="11" s="1"/>
  <c r="L81" i="11" s="1"/>
  <c r="M81" i="11" s="1"/>
  <c r="N81" i="11" s="1"/>
  <c r="O81" i="11" s="1"/>
  <c r="P81" i="11" s="1"/>
  <c r="Q81" i="11" s="1"/>
  <c r="R81" i="11" s="1"/>
  <c r="I83" i="11"/>
  <c r="J83" i="11" s="1"/>
  <c r="K83" i="11" s="1"/>
  <c r="L83" i="11" s="1"/>
  <c r="M83" i="11" s="1"/>
  <c r="N83" i="11" s="1"/>
  <c r="O83" i="11" s="1"/>
  <c r="P83" i="11" s="1"/>
  <c r="Q83" i="11" s="1"/>
  <c r="R83" i="11" s="1"/>
  <c r="I33" i="11"/>
  <c r="I56" i="11"/>
  <c r="J56" i="11" s="1"/>
  <c r="K56" i="11" s="1"/>
  <c r="L56" i="11" s="1"/>
  <c r="M56" i="11" s="1"/>
  <c r="N56" i="11" s="1"/>
  <c r="O56" i="11" s="1"/>
  <c r="P56" i="11" s="1"/>
  <c r="Q56" i="11" s="1"/>
  <c r="R56" i="11" s="1"/>
  <c r="I28" i="11"/>
  <c r="I44" i="11"/>
  <c r="J44" i="11" s="1"/>
  <c r="K44" i="11" s="1"/>
  <c r="L44" i="11" s="1"/>
  <c r="M44" i="11" s="1"/>
  <c r="N44" i="11" s="1"/>
  <c r="O44" i="11" s="1"/>
  <c r="P44" i="11" s="1"/>
  <c r="Q44" i="11" s="1"/>
  <c r="R44" i="11" s="1"/>
  <c r="I50" i="11"/>
  <c r="J50" i="11" s="1"/>
  <c r="K50" i="11" s="1"/>
  <c r="L50" i="11" s="1"/>
  <c r="M50" i="11" s="1"/>
  <c r="N50" i="11" s="1"/>
  <c r="O50" i="11" s="1"/>
  <c r="P50" i="11" s="1"/>
  <c r="Q50" i="11" s="1"/>
  <c r="R50" i="11" s="1"/>
  <c r="F26" i="4"/>
  <c r="F27" i="4"/>
  <c r="F28" i="4"/>
  <c r="F29" i="4"/>
  <c r="F30" i="4"/>
  <c r="D31" i="4"/>
  <c r="F31" i="4"/>
  <c r="U31" i="4"/>
  <c r="D32" i="4"/>
  <c r="F32" i="4"/>
  <c r="U32" i="4"/>
  <c r="D33" i="4"/>
  <c r="F33" i="4"/>
  <c r="U33" i="4"/>
  <c r="D34" i="4"/>
  <c r="F34" i="4"/>
  <c r="U34" i="4"/>
  <c r="D35" i="4"/>
  <c r="F35" i="4"/>
  <c r="G35" i="4" s="1"/>
  <c r="H35" i="4" s="1"/>
  <c r="U35" i="4"/>
  <c r="D36" i="4"/>
  <c r="F36" i="4"/>
  <c r="G36" i="4" s="1"/>
  <c r="H36" i="4" s="1"/>
  <c r="G34" i="6" s="1"/>
  <c r="U36" i="4"/>
  <c r="C37" i="4"/>
  <c r="D37" i="4"/>
  <c r="F37" i="4"/>
  <c r="G37" i="4"/>
  <c r="H37" i="4" s="1"/>
  <c r="U37" i="4"/>
  <c r="C38" i="4"/>
  <c r="D38" i="4"/>
  <c r="F38" i="4"/>
  <c r="G38" i="4" s="1"/>
  <c r="H38" i="4" s="1"/>
  <c r="U38" i="4"/>
  <c r="C39" i="4"/>
  <c r="D39" i="4"/>
  <c r="F39" i="4"/>
  <c r="G39" i="4" s="1"/>
  <c r="H39" i="4" s="1"/>
  <c r="U39" i="4"/>
  <c r="C40" i="4"/>
  <c r="D40" i="4"/>
  <c r="F40" i="4"/>
  <c r="G40" i="4" s="1"/>
  <c r="H40" i="4" s="1"/>
  <c r="U40" i="4"/>
  <c r="C41" i="4"/>
  <c r="D41" i="4"/>
  <c r="F41" i="4"/>
  <c r="G41" i="4" s="1"/>
  <c r="H41" i="4" s="1"/>
  <c r="U41" i="4"/>
  <c r="C42" i="4"/>
  <c r="D42" i="4"/>
  <c r="F42" i="4"/>
  <c r="G42" i="4" s="1"/>
  <c r="H42" i="4" s="1"/>
  <c r="U42" i="4"/>
  <c r="C43" i="4"/>
  <c r="D43" i="4"/>
  <c r="F43" i="4"/>
  <c r="G43" i="4" s="1"/>
  <c r="H43" i="4" s="1"/>
  <c r="U43" i="4"/>
  <c r="C44" i="4"/>
  <c r="D44" i="4"/>
  <c r="F44" i="4"/>
  <c r="G44" i="4"/>
  <c r="H44" i="4" s="1"/>
  <c r="U44" i="4"/>
  <c r="C45" i="4"/>
  <c r="D45" i="4"/>
  <c r="F45" i="4"/>
  <c r="G45" i="4" s="1"/>
  <c r="H45" i="4" s="1"/>
  <c r="U45" i="4"/>
  <c r="C46" i="4"/>
  <c r="D46" i="4"/>
  <c r="F46" i="4"/>
  <c r="G46" i="4" s="1"/>
  <c r="H46" i="4" s="1"/>
  <c r="U46" i="4"/>
  <c r="C47" i="4"/>
  <c r="D47" i="4"/>
  <c r="F47" i="4"/>
  <c r="G47" i="4" s="1"/>
  <c r="H47" i="4" s="1"/>
  <c r="U47" i="4"/>
  <c r="C48" i="4"/>
  <c r="D48" i="4"/>
  <c r="F48" i="4"/>
  <c r="G48" i="4" s="1"/>
  <c r="H48" i="4" s="1"/>
  <c r="U48" i="4"/>
  <c r="C49" i="4"/>
  <c r="D49" i="4"/>
  <c r="F49" i="4"/>
  <c r="G49" i="4" s="1"/>
  <c r="H49" i="4" s="1"/>
  <c r="U49" i="4"/>
  <c r="C50" i="4"/>
  <c r="D50" i="4"/>
  <c r="F50" i="4"/>
  <c r="G50" i="4" s="1"/>
  <c r="H50" i="4" s="1"/>
  <c r="U50" i="4"/>
  <c r="C51" i="4"/>
  <c r="D51" i="4"/>
  <c r="F51" i="4"/>
  <c r="G51" i="4" s="1"/>
  <c r="H51" i="4" s="1"/>
  <c r="U51" i="4"/>
  <c r="C52" i="4"/>
  <c r="D52" i="4"/>
  <c r="F52" i="4"/>
  <c r="G52" i="4" s="1"/>
  <c r="H52" i="4" s="1"/>
  <c r="U52" i="4"/>
  <c r="C53" i="4"/>
  <c r="D53" i="4"/>
  <c r="F53" i="4"/>
  <c r="G53" i="4" s="1"/>
  <c r="H53" i="4" s="1"/>
  <c r="U53" i="4"/>
  <c r="C54" i="4"/>
  <c r="D54" i="4"/>
  <c r="F54" i="4"/>
  <c r="G54" i="4" s="1"/>
  <c r="H54" i="4" s="1"/>
  <c r="U54" i="4"/>
  <c r="C55" i="4"/>
  <c r="D55" i="4"/>
  <c r="F55" i="4"/>
  <c r="G55" i="4"/>
  <c r="H55" i="4" s="1"/>
  <c r="U55" i="4"/>
  <c r="C56" i="4"/>
  <c r="D56" i="4"/>
  <c r="F56" i="4"/>
  <c r="G56" i="4" s="1"/>
  <c r="H56" i="4" s="1"/>
  <c r="U56" i="4"/>
  <c r="C57" i="4"/>
  <c r="D57" i="4"/>
  <c r="F57" i="4"/>
  <c r="G57" i="4" s="1"/>
  <c r="H57" i="4" s="1"/>
  <c r="U57" i="4"/>
  <c r="C58" i="4"/>
  <c r="D58" i="4"/>
  <c r="F58" i="4"/>
  <c r="G58" i="4" s="1"/>
  <c r="H58" i="4" s="1"/>
  <c r="U58" i="4"/>
  <c r="C59" i="4"/>
  <c r="D59" i="4"/>
  <c r="F59" i="4"/>
  <c r="G59" i="4" s="1"/>
  <c r="H59" i="4" s="1"/>
  <c r="U59" i="4"/>
  <c r="C60" i="4"/>
  <c r="D60" i="4"/>
  <c r="F60" i="4"/>
  <c r="G60" i="4" s="1"/>
  <c r="H60" i="4" s="1"/>
  <c r="U60" i="4"/>
  <c r="C61" i="4"/>
  <c r="D61" i="4"/>
  <c r="F61" i="4"/>
  <c r="G61" i="4" s="1"/>
  <c r="H61" i="4" s="1"/>
  <c r="U61" i="4"/>
  <c r="C62" i="4"/>
  <c r="D62" i="4"/>
  <c r="F62" i="4"/>
  <c r="G62" i="4" s="1"/>
  <c r="H62" i="4" s="1"/>
  <c r="U62" i="4"/>
  <c r="C63" i="4"/>
  <c r="D63" i="4"/>
  <c r="F63" i="4"/>
  <c r="G63" i="4" s="1"/>
  <c r="H63" i="4" s="1"/>
  <c r="U63" i="4"/>
  <c r="C64" i="4"/>
  <c r="D64" i="4"/>
  <c r="F64" i="4"/>
  <c r="G64" i="4"/>
  <c r="H64" i="4" s="1"/>
  <c r="U64" i="4"/>
  <c r="C65" i="4"/>
  <c r="D65" i="4"/>
  <c r="F65" i="4"/>
  <c r="G65" i="4" s="1"/>
  <c r="H65" i="4" s="1"/>
  <c r="U65" i="4"/>
  <c r="C66" i="4"/>
  <c r="D66" i="4"/>
  <c r="F66" i="4"/>
  <c r="G66" i="4" s="1"/>
  <c r="H66" i="4" s="1"/>
  <c r="U66" i="4"/>
  <c r="C67" i="4"/>
  <c r="D67" i="4"/>
  <c r="F67" i="4"/>
  <c r="G67" i="4" s="1"/>
  <c r="H67" i="4" s="1"/>
  <c r="U67" i="4"/>
  <c r="C68" i="4"/>
  <c r="D68" i="4"/>
  <c r="F68" i="4"/>
  <c r="G68" i="4" s="1"/>
  <c r="H68" i="4" s="1"/>
  <c r="U68" i="4"/>
  <c r="C69" i="4"/>
  <c r="D69" i="4"/>
  <c r="F69" i="4"/>
  <c r="G69" i="4"/>
  <c r="H69" i="4" s="1"/>
  <c r="U69" i="4"/>
  <c r="C70" i="4"/>
  <c r="D70" i="4"/>
  <c r="F70" i="4"/>
  <c r="G70" i="4" s="1"/>
  <c r="H70" i="4" s="1"/>
  <c r="U70" i="4"/>
  <c r="C71" i="4"/>
  <c r="D71" i="4"/>
  <c r="F71" i="4"/>
  <c r="G71" i="4" s="1"/>
  <c r="H71" i="4" s="1"/>
  <c r="U71" i="4"/>
  <c r="C72" i="4"/>
  <c r="D72" i="4"/>
  <c r="F72" i="4"/>
  <c r="G72" i="4" s="1"/>
  <c r="H72" i="4" s="1"/>
  <c r="U72" i="4"/>
  <c r="C73" i="4"/>
  <c r="D73" i="4"/>
  <c r="F73" i="4"/>
  <c r="G73" i="4" s="1"/>
  <c r="H73" i="4" s="1"/>
  <c r="U73" i="4"/>
  <c r="C74" i="4"/>
  <c r="D74" i="4"/>
  <c r="F74" i="4"/>
  <c r="G74" i="4"/>
  <c r="H74" i="4" s="1"/>
  <c r="U74" i="4"/>
  <c r="C75" i="4"/>
  <c r="D75" i="4"/>
  <c r="F75" i="4"/>
  <c r="G75" i="4" s="1"/>
  <c r="H75" i="4" s="1"/>
  <c r="U75" i="4"/>
  <c r="C76" i="4"/>
  <c r="D76" i="4"/>
  <c r="F76" i="4"/>
  <c r="G76" i="4" s="1"/>
  <c r="H76" i="4" s="1"/>
  <c r="U76" i="4"/>
  <c r="C33" i="6"/>
  <c r="C35" i="4" s="1"/>
  <c r="C34" i="6"/>
  <c r="C36" i="4" s="1"/>
  <c r="G24" i="7" l="1"/>
  <c r="J25" i="5"/>
  <c r="I59" i="4"/>
  <c r="J59" i="4" s="1"/>
  <c r="K59" i="4" s="1"/>
  <c r="L59" i="4" s="1"/>
  <c r="M59" i="4" s="1"/>
  <c r="N59" i="4" s="1"/>
  <c r="O59" i="4" s="1"/>
  <c r="P59" i="4" s="1"/>
  <c r="Q59" i="4" s="1"/>
  <c r="R59" i="4" s="1"/>
  <c r="I24" i="5"/>
  <c r="I29" i="5"/>
  <c r="I32" i="5"/>
  <c r="I26" i="5"/>
  <c r="I76" i="4"/>
  <c r="J76" i="4" s="1"/>
  <c r="K76" i="4" s="1"/>
  <c r="L76" i="4" s="1"/>
  <c r="M76" i="4" s="1"/>
  <c r="N76" i="4" s="1"/>
  <c r="O76" i="4" s="1"/>
  <c r="P76" i="4" s="1"/>
  <c r="Q76" i="4" s="1"/>
  <c r="R76" i="4" s="1"/>
  <c r="I75" i="4"/>
  <c r="J75" i="4" s="1"/>
  <c r="K75" i="4" s="1"/>
  <c r="L75" i="4" s="1"/>
  <c r="M75" i="4" s="1"/>
  <c r="N75" i="4" s="1"/>
  <c r="O75" i="4" s="1"/>
  <c r="P75" i="4" s="1"/>
  <c r="Q75" i="4" s="1"/>
  <c r="R75" i="4" s="1"/>
  <c r="I47" i="4"/>
  <c r="J47" i="4" s="1"/>
  <c r="K47" i="4" s="1"/>
  <c r="L47" i="4" s="1"/>
  <c r="M47" i="4" s="1"/>
  <c r="N47" i="4" s="1"/>
  <c r="O47" i="4" s="1"/>
  <c r="P47" i="4" s="1"/>
  <c r="Q47" i="4" s="1"/>
  <c r="R47" i="4" s="1"/>
  <c r="I46" i="4"/>
  <c r="J46" i="4" s="1"/>
  <c r="K46" i="4" s="1"/>
  <c r="L46" i="4" s="1"/>
  <c r="M46" i="4" s="1"/>
  <c r="N46" i="4" s="1"/>
  <c r="O46" i="4" s="1"/>
  <c r="P46" i="4" s="1"/>
  <c r="Q46" i="4" s="1"/>
  <c r="R46" i="4" s="1"/>
  <c r="H24" i="7"/>
  <c r="I25" i="11"/>
  <c r="H27" i="11"/>
  <c r="F25" i="7"/>
  <c r="F34" i="6"/>
  <c r="I27" i="5"/>
  <c r="I33" i="5"/>
  <c r="J30" i="5"/>
  <c r="K28" i="5"/>
  <c r="J31" i="5"/>
  <c r="I61" i="4"/>
  <c r="J61" i="4" s="1"/>
  <c r="K61" i="4" s="1"/>
  <c r="L61" i="4" s="1"/>
  <c r="M61" i="4" s="1"/>
  <c r="N61" i="4" s="1"/>
  <c r="O61" i="4" s="1"/>
  <c r="P61" i="4" s="1"/>
  <c r="Q61" i="4" s="1"/>
  <c r="R61" i="4" s="1"/>
  <c r="H28" i="7"/>
  <c r="K29" i="11"/>
  <c r="I27" i="7"/>
  <c r="K37" i="11"/>
  <c r="I35" i="7"/>
  <c r="K26" i="11"/>
  <c r="I24" i="7"/>
  <c r="K39" i="11"/>
  <c r="I37" i="7"/>
  <c r="J33" i="11"/>
  <c r="H31" i="7"/>
  <c r="J35" i="11"/>
  <c r="H33" i="7"/>
  <c r="J28" i="11"/>
  <c r="H26" i="7"/>
  <c r="K30" i="11"/>
  <c r="I28" i="7"/>
  <c r="K36" i="11"/>
  <c r="I34" i="7"/>
  <c r="L34" i="11"/>
  <c r="J32" i="7"/>
  <c r="L32" i="11"/>
  <c r="J30" i="7"/>
  <c r="K31" i="11"/>
  <c r="I29" i="7"/>
  <c r="K38" i="11"/>
  <c r="I36" i="7"/>
  <c r="I69" i="4"/>
  <c r="J69" i="4" s="1"/>
  <c r="K69" i="4" s="1"/>
  <c r="L69" i="4" s="1"/>
  <c r="M69" i="4" s="1"/>
  <c r="N69" i="4" s="1"/>
  <c r="O69" i="4" s="1"/>
  <c r="P69" i="4" s="1"/>
  <c r="Q69" i="4" s="1"/>
  <c r="R69" i="4" s="1"/>
  <c r="I58" i="4"/>
  <c r="J58" i="4" s="1"/>
  <c r="K58" i="4" s="1"/>
  <c r="L58" i="4" s="1"/>
  <c r="M58" i="4" s="1"/>
  <c r="N58" i="4" s="1"/>
  <c r="O58" i="4" s="1"/>
  <c r="P58" i="4" s="1"/>
  <c r="Q58" i="4" s="1"/>
  <c r="R58" i="4" s="1"/>
  <c r="I57" i="4"/>
  <c r="J57" i="4" s="1"/>
  <c r="K57" i="4" s="1"/>
  <c r="L57" i="4" s="1"/>
  <c r="M57" i="4" s="1"/>
  <c r="N57" i="4" s="1"/>
  <c r="O57" i="4" s="1"/>
  <c r="P57" i="4" s="1"/>
  <c r="Q57" i="4" s="1"/>
  <c r="R57" i="4" s="1"/>
  <c r="I56" i="4"/>
  <c r="J56" i="4" s="1"/>
  <c r="K56" i="4" s="1"/>
  <c r="L56" i="4" s="1"/>
  <c r="M56" i="4" s="1"/>
  <c r="N56" i="4" s="1"/>
  <c r="O56" i="4" s="1"/>
  <c r="P56" i="4" s="1"/>
  <c r="Q56" i="4" s="1"/>
  <c r="R56" i="4" s="1"/>
  <c r="I72" i="4"/>
  <c r="J72" i="4" s="1"/>
  <c r="K72" i="4" s="1"/>
  <c r="L72" i="4" s="1"/>
  <c r="M72" i="4" s="1"/>
  <c r="N72" i="4" s="1"/>
  <c r="O72" i="4" s="1"/>
  <c r="P72" i="4" s="1"/>
  <c r="Q72" i="4" s="1"/>
  <c r="R72" i="4" s="1"/>
  <c r="I74" i="4"/>
  <c r="J74" i="4" s="1"/>
  <c r="K74" i="4" s="1"/>
  <c r="L74" i="4" s="1"/>
  <c r="M74" i="4" s="1"/>
  <c r="N74" i="4" s="1"/>
  <c r="O74" i="4" s="1"/>
  <c r="P74" i="4" s="1"/>
  <c r="Q74" i="4" s="1"/>
  <c r="R74" i="4" s="1"/>
  <c r="I37" i="4"/>
  <c r="J37" i="4" s="1"/>
  <c r="K37" i="4" s="1"/>
  <c r="L37" i="4" s="1"/>
  <c r="M37" i="4" s="1"/>
  <c r="N37" i="4" s="1"/>
  <c r="O37" i="4" s="1"/>
  <c r="P37" i="4" s="1"/>
  <c r="Q37" i="4" s="1"/>
  <c r="R37" i="4" s="1"/>
  <c r="I43" i="4"/>
  <c r="J43" i="4" s="1"/>
  <c r="K43" i="4" s="1"/>
  <c r="L43" i="4" s="1"/>
  <c r="M43" i="4" s="1"/>
  <c r="N43" i="4" s="1"/>
  <c r="O43" i="4" s="1"/>
  <c r="P43" i="4" s="1"/>
  <c r="Q43" i="4" s="1"/>
  <c r="R43" i="4" s="1"/>
  <c r="I49" i="4"/>
  <c r="J49" i="4" s="1"/>
  <c r="K49" i="4" s="1"/>
  <c r="L49" i="4" s="1"/>
  <c r="M49" i="4" s="1"/>
  <c r="N49" i="4" s="1"/>
  <c r="O49" i="4" s="1"/>
  <c r="P49" i="4" s="1"/>
  <c r="Q49" i="4" s="1"/>
  <c r="R49" i="4" s="1"/>
  <c r="I41" i="4"/>
  <c r="J41" i="4" s="1"/>
  <c r="K41" i="4" s="1"/>
  <c r="L41" i="4" s="1"/>
  <c r="M41" i="4" s="1"/>
  <c r="N41" i="4" s="1"/>
  <c r="O41" i="4" s="1"/>
  <c r="P41" i="4" s="1"/>
  <c r="Q41" i="4" s="1"/>
  <c r="R41" i="4" s="1"/>
  <c r="I40" i="4"/>
  <c r="J40" i="4" s="1"/>
  <c r="K40" i="4" s="1"/>
  <c r="L40" i="4" s="1"/>
  <c r="M40" i="4" s="1"/>
  <c r="N40" i="4" s="1"/>
  <c r="O40" i="4" s="1"/>
  <c r="P40" i="4" s="1"/>
  <c r="Q40" i="4" s="1"/>
  <c r="R40" i="4" s="1"/>
  <c r="I36" i="4"/>
  <c r="F33" i="6"/>
  <c r="I68" i="4"/>
  <c r="J68" i="4" s="1"/>
  <c r="K68" i="4" s="1"/>
  <c r="L68" i="4" s="1"/>
  <c r="M68" i="4" s="1"/>
  <c r="N68" i="4" s="1"/>
  <c r="O68" i="4" s="1"/>
  <c r="P68" i="4" s="1"/>
  <c r="Q68" i="4" s="1"/>
  <c r="R68" i="4" s="1"/>
  <c r="I55" i="4"/>
  <c r="J55" i="4" s="1"/>
  <c r="K55" i="4" s="1"/>
  <c r="L55" i="4" s="1"/>
  <c r="M55" i="4" s="1"/>
  <c r="N55" i="4" s="1"/>
  <c r="O55" i="4" s="1"/>
  <c r="P55" i="4" s="1"/>
  <c r="Q55" i="4" s="1"/>
  <c r="R55" i="4" s="1"/>
  <c r="I62" i="4"/>
  <c r="J62" i="4" s="1"/>
  <c r="K62" i="4" s="1"/>
  <c r="L62" i="4" s="1"/>
  <c r="M62" i="4" s="1"/>
  <c r="N62" i="4" s="1"/>
  <c r="O62" i="4" s="1"/>
  <c r="P62" i="4" s="1"/>
  <c r="Q62" i="4" s="1"/>
  <c r="R62" i="4" s="1"/>
  <c r="I65" i="4"/>
  <c r="J65" i="4" s="1"/>
  <c r="K65" i="4" s="1"/>
  <c r="L65" i="4" s="1"/>
  <c r="M65" i="4" s="1"/>
  <c r="N65" i="4" s="1"/>
  <c r="O65" i="4" s="1"/>
  <c r="P65" i="4" s="1"/>
  <c r="Q65" i="4" s="1"/>
  <c r="R65" i="4" s="1"/>
  <c r="I63" i="4"/>
  <c r="J63" i="4" s="1"/>
  <c r="K63" i="4" s="1"/>
  <c r="L63" i="4" s="1"/>
  <c r="M63" i="4" s="1"/>
  <c r="N63" i="4" s="1"/>
  <c r="O63" i="4" s="1"/>
  <c r="P63" i="4" s="1"/>
  <c r="Q63" i="4" s="1"/>
  <c r="R63" i="4" s="1"/>
  <c r="I54" i="4"/>
  <c r="J54" i="4" s="1"/>
  <c r="K54" i="4" s="1"/>
  <c r="L54" i="4" s="1"/>
  <c r="M54" i="4" s="1"/>
  <c r="N54" i="4" s="1"/>
  <c r="O54" i="4" s="1"/>
  <c r="P54" i="4" s="1"/>
  <c r="Q54" i="4" s="1"/>
  <c r="R54" i="4" s="1"/>
  <c r="I53" i="4"/>
  <c r="J53" i="4" s="1"/>
  <c r="K53" i="4" s="1"/>
  <c r="L53" i="4" s="1"/>
  <c r="M53" i="4" s="1"/>
  <c r="N53" i="4" s="1"/>
  <c r="O53" i="4" s="1"/>
  <c r="P53" i="4" s="1"/>
  <c r="Q53" i="4" s="1"/>
  <c r="R53" i="4" s="1"/>
  <c r="I52" i="4"/>
  <c r="J52" i="4" s="1"/>
  <c r="K52" i="4" s="1"/>
  <c r="L52" i="4" s="1"/>
  <c r="M52" i="4" s="1"/>
  <c r="N52" i="4" s="1"/>
  <c r="O52" i="4" s="1"/>
  <c r="P52" i="4" s="1"/>
  <c r="Q52" i="4" s="1"/>
  <c r="R52" i="4" s="1"/>
  <c r="I45" i="4"/>
  <c r="J45" i="4" s="1"/>
  <c r="K45" i="4" s="1"/>
  <c r="L45" i="4" s="1"/>
  <c r="M45" i="4" s="1"/>
  <c r="N45" i="4" s="1"/>
  <c r="O45" i="4" s="1"/>
  <c r="P45" i="4" s="1"/>
  <c r="Q45" i="4" s="1"/>
  <c r="R45" i="4" s="1"/>
  <c r="I38" i="4"/>
  <c r="J38" i="4" s="1"/>
  <c r="K38" i="4" s="1"/>
  <c r="L38" i="4" s="1"/>
  <c r="M38" i="4" s="1"/>
  <c r="N38" i="4" s="1"/>
  <c r="O38" i="4" s="1"/>
  <c r="P38" i="4" s="1"/>
  <c r="Q38" i="4" s="1"/>
  <c r="R38" i="4" s="1"/>
  <c r="G33" i="6"/>
  <c r="I35" i="4"/>
  <c r="I67" i="4"/>
  <c r="J67" i="4" s="1"/>
  <c r="K67" i="4" s="1"/>
  <c r="L67" i="4" s="1"/>
  <c r="M67" i="4" s="1"/>
  <c r="N67" i="4" s="1"/>
  <c r="O67" i="4" s="1"/>
  <c r="P67" i="4" s="1"/>
  <c r="Q67" i="4" s="1"/>
  <c r="R67" i="4" s="1"/>
  <c r="I73" i="4"/>
  <c r="J73" i="4" s="1"/>
  <c r="K73" i="4" s="1"/>
  <c r="L73" i="4" s="1"/>
  <c r="M73" i="4" s="1"/>
  <c r="N73" i="4" s="1"/>
  <c r="O73" i="4" s="1"/>
  <c r="P73" i="4" s="1"/>
  <c r="Q73" i="4" s="1"/>
  <c r="R73" i="4" s="1"/>
  <c r="I60" i="4"/>
  <c r="J60" i="4" s="1"/>
  <c r="K60" i="4" s="1"/>
  <c r="L60" i="4" s="1"/>
  <c r="M60" i="4" s="1"/>
  <c r="N60" i="4" s="1"/>
  <c r="O60" i="4" s="1"/>
  <c r="P60" i="4" s="1"/>
  <c r="Q60" i="4" s="1"/>
  <c r="R60" i="4" s="1"/>
  <c r="I50" i="4"/>
  <c r="J50" i="4" s="1"/>
  <c r="K50" i="4" s="1"/>
  <c r="L50" i="4" s="1"/>
  <c r="M50" i="4" s="1"/>
  <c r="N50" i="4" s="1"/>
  <c r="O50" i="4" s="1"/>
  <c r="P50" i="4" s="1"/>
  <c r="Q50" i="4" s="1"/>
  <c r="R50" i="4" s="1"/>
  <c r="I44" i="4"/>
  <c r="J44" i="4" s="1"/>
  <c r="K44" i="4" s="1"/>
  <c r="L44" i="4" s="1"/>
  <c r="M44" i="4" s="1"/>
  <c r="N44" i="4" s="1"/>
  <c r="O44" i="4" s="1"/>
  <c r="P44" i="4" s="1"/>
  <c r="Q44" i="4" s="1"/>
  <c r="R44" i="4" s="1"/>
  <c r="I39" i="4"/>
  <c r="J39" i="4" s="1"/>
  <c r="K39" i="4" s="1"/>
  <c r="L39" i="4" s="1"/>
  <c r="M39" i="4" s="1"/>
  <c r="N39" i="4" s="1"/>
  <c r="O39" i="4" s="1"/>
  <c r="P39" i="4" s="1"/>
  <c r="Q39" i="4" s="1"/>
  <c r="R39" i="4" s="1"/>
  <c r="I71" i="4"/>
  <c r="J71" i="4" s="1"/>
  <c r="K71" i="4" s="1"/>
  <c r="L71" i="4" s="1"/>
  <c r="M71" i="4" s="1"/>
  <c r="N71" i="4" s="1"/>
  <c r="O71" i="4" s="1"/>
  <c r="P71" i="4" s="1"/>
  <c r="Q71" i="4" s="1"/>
  <c r="R71" i="4" s="1"/>
  <c r="I70" i="4"/>
  <c r="J70" i="4" s="1"/>
  <c r="K70" i="4" s="1"/>
  <c r="L70" i="4" s="1"/>
  <c r="M70" i="4" s="1"/>
  <c r="N70" i="4" s="1"/>
  <c r="O70" i="4" s="1"/>
  <c r="P70" i="4" s="1"/>
  <c r="Q70" i="4" s="1"/>
  <c r="R70" i="4" s="1"/>
  <c r="I64" i="4"/>
  <c r="J64" i="4" s="1"/>
  <c r="K64" i="4" s="1"/>
  <c r="L64" i="4" s="1"/>
  <c r="M64" i="4" s="1"/>
  <c r="N64" i="4" s="1"/>
  <c r="O64" i="4" s="1"/>
  <c r="P64" i="4" s="1"/>
  <c r="Q64" i="4" s="1"/>
  <c r="R64" i="4" s="1"/>
  <c r="I48" i="4"/>
  <c r="J48" i="4" s="1"/>
  <c r="K48" i="4" s="1"/>
  <c r="L48" i="4" s="1"/>
  <c r="M48" i="4" s="1"/>
  <c r="N48" i="4" s="1"/>
  <c r="O48" i="4" s="1"/>
  <c r="P48" i="4" s="1"/>
  <c r="Q48" i="4" s="1"/>
  <c r="R48" i="4" s="1"/>
  <c r="I66" i="4"/>
  <c r="J66" i="4" s="1"/>
  <c r="K66" i="4" s="1"/>
  <c r="L66" i="4" s="1"/>
  <c r="M66" i="4" s="1"/>
  <c r="N66" i="4" s="1"/>
  <c r="O66" i="4" s="1"/>
  <c r="P66" i="4" s="1"/>
  <c r="Q66" i="4" s="1"/>
  <c r="R66" i="4" s="1"/>
  <c r="I51" i="4"/>
  <c r="J51" i="4" s="1"/>
  <c r="K51" i="4" s="1"/>
  <c r="L51" i="4" s="1"/>
  <c r="M51" i="4" s="1"/>
  <c r="N51" i="4" s="1"/>
  <c r="O51" i="4" s="1"/>
  <c r="P51" i="4" s="1"/>
  <c r="Q51" i="4" s="1"/>
  <c r="R51" i="4" s="1"/>
  <c r="I42" i="4"/>
  <c r="J42" i="4" s="1"/>
  <c r="K42" i="4" s="1"/>
  <c r="L42" i="4" s="1"/>
  <c r="M42" i="4" s="1"/>
  <c r="N42" i="4" s="1"/>
  <c r="O42" i="4" s="1"/>
  <c r="P42" i="4" s="1"/>
  <c r="Q42" i="4" s="1"/>
  <c r="R42" i="4" s="1"/>
  <c r="T8" i="7"/>
  <c r="U8" i="7" s="1"/>
  <c r="C28" i="10"/>
  <c r="C29" i="10"/>
  <c r="J29" i="5" l="1"/>
  <c r="J32" i="5"/>
  <c r="J26" i="5"/>
  <c r="K25" i="5"/>
  <c r="J24" i="5"/>
  <c r="J25" i="11"/>
  <c r="H23" i="7"/>
  <c r="G25" i="7"/>
  <c r="I27" i="11"/>
  <c r="K30" i="5"/>
  <c r="J33" i="5"/>
  <c r="J27" i="5"/>
  <c r="K31" i="5"/>
  <c r="M32" i="11"/>
  <c r="K30" i="7"/>
  <c r="K35" i="11"/>
  <c r="I33" i="7"/>
  <c r="L39" i="11"/>
  <c r="J37" i="7"/>
  <c r="L37" i="11"/>
  <c r="J35" i="7"/>
  <c r="L36" i="11"/>
  <c r="J34" i="7"/>
  <c r="L38" i="11"/>
  <c r="J36" i="7"/>
  <c r="L31" i="11"/>
  <c r="J29" i="7"/>
  <c r="M34" i="11"/>
  <c r="K32" i="7"/>
  <c r="L30" i="11"/>
  <c r="J28" i="7"/>
  <c r="K28" i="11"/>
  <c r="I26" i="7"/>
  <c r="K33" i="11"/>
  <c r="I31" i="7"/>
  <c r="L26" i="11"/>
  <c r="J24" i="7"/>
  <c r="L29" i="11"/>
  <c r="J27" i="7"/>
  <c r="J36" i="4"/>
  <c r="H34" i="6"/>
  <c r="J35" i="4"/>
  <c r="H33" i="6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2" i="2"/>
  <c r="K24" i="5" l="1"/>
  <c r="M28" i="5"/>
  <c r="L28" i="5"/>
  <c r="L25" i="5"/>
  <c r="K29" i="5"/>
  <c r="K32" i="5"/>
  <c r="K26" i="5"/>
  <c r="K25" i="11"/>
  <c r="I23" i="7"/>
  <c r="J27" i="11"/>
  <c r="H25" i="7"/>
  <c r="G39" i="16"/>
  <c r="G35" i="16"/>
  <c r="G38" i="16"/>
  <c r="G34" i="16"/>
  <c r="G37" i="16"/>
  <c r="G36" i="16"/>
  <c r="K27" i="5"/>
  <c r="K33" i="5"/>
  <c r="L31" i="5"/>
  <c r="M26" i="11"/>
  <c r="K24" i="7"/>
  <c r="L28" i="11"/>
  <c r="J26" i="7"/>
  <c r="M31" i="11"/>
  <c r="K29" i="7"/>
  <c r="M36" i="11"/>
  <c r="K34" i="7"/>
  <c r="K37" i="7"/>
  <c r="M39" i="11"/>
  <c r="N32" i="11"/>
  <c r="L30" i="7"/>
  <c r="M29" i="11"/>
  <c r="K27" i="7"/>
  <c r="L33" i="11"/>
  <c r="J31" i="7"/>
  <c r="M30" i="11"/>
  <c r="K28" i="7"/>
  <c r="N34" i="11"/>
  <c r="L32" i="7"/>
  <c r="M38" i="11"/>
  <c r="K36" i="7"/>
  <c r="M37" i="11"/>
  <c r="K35" i="7"/>
  <c r="L35" i="11"/>
  <c r="J33" i="7"/>
  <c r="K36" i="4"/>
  <c r="I34" i="6"/>
  <c r="I33" i="6"/>
  <c r="K35" i="4"/>
  <c r="A27" i="15"/>
  <c r="A28" i="15"/>
  <c r="A29" i="15"/>
  <c r="A30" i="15"/>
  <c r="A31" i="15"/>
  <c r="A32" i="15"/>
  <c r="A33" i="15"/>
  <c r="A34" i="15"/>
  <c r="B31" i="15"/>
  <c r="D31" i="15" s="1"/>
  <c r="B32" i="15"/>
  <c r="D32" i="15" s="1"/>
  <c r="B33" i="15"/>
  <c r="B34" i="15"/>
  <c r="D34" i="15" s="1"/>
  <c r="F31" i="15"/>
  <c r="F32" i="15"/>
  <c r="G32" i="15" s="1"/>
  <c r="H32" i="15" s="1"/>
  <c r="D33" i="15"/>
  <c r="F33" i="15"/>
  <c r="G33" i="15" s="1"/>
  <c r="H33" i="15" s="1"/>
  <c r="U33" i="15"/>
  <c r="F34" i="15"/>
  <c r="G34" i="15"/>
  <c r="H34" i="15" s="1"/>
  <c r="U34" i="15"/>
  <c r="C28" i="15"/>
  <c r="C29" i="15"/>
  <c r="C30" i="15"/>
  <c r="C31" i="15"/>
  <c r="C30" i="10"/>
  <c r="C32" i="15" s="1"/>
  <c r="C31" i="10"/>
  <c r="C33" i="15" s="1"/>
  <c r="C34" i="15"/>
  <c r="F22" i="15"/>
  <c r="F23" i="15"/>
  <c r="F24" i="15"/>
  <c r="F25" i="15"/>
  <c r="F26" i="15"/>
  <c r="F27" i="15"/>
  <c r="F28" i="15"/>
  <c r="F29" i="15"/>
  <c r="F30" i="15"/>
  <c r="C23" i="15"/>
  <c r="K47" i="3"/>
  <c r="L47" i="3" s="1"/>
  <c r="E47" i="3"/>
  <c r="L29" i="5" l="1"/>
  <c r="L32" i="5"/>
  <c r="L26" i="5"/>
  <c r="M30" i="5"/>
  <c r="L30" i="5"/>
  <c r="M25" i="5"/>
  <c r="L24" i="5"/>
  <c r="L25" i="11"/>
  <c r="J23" i="7"/>
  <c r="I25" i="7"/>
  <c r="K27" i="11"/>
  <c r="G40" i="16"/>
  <c r="L33" i="5"/>
  <c r="N28" i="5"/>
  <c r="M31" i="5"/>
  <c r="O34" i="11"/>
  <c r="M32" i="7"/>
  <c r="O32" i="11"/>
  <c r="M30" i="7"/>
  <c r="N31" i="11"/>
  <c r="L29" i="7"/>
  <c r="M28" i="11"/>
  <c r="K26" i="7"/>
  <c r="N39" i="11"/>
  <c r="L37" i="7"/>
  <c r="N37" i="11"/>
  <c r="L35" i="7"/>
  <c r="M33" i="11"/>
  <c r="K31" i="7"/>
  <c r="M35" i="11"/>
  <c r="K33" i="7"/>
  <c r="N38" i="11"/>
  <c r="L36" i="7"/>
  <c r="N30" i="11"/>
  <c r="L28" i="7"/>
  <c r="N29" i="11"/>
  <c r="L27" i="7"/>
  <c r="N36" i="11"/>
  <c r="L34" i="7"/>
  <c r="N26" i="11"/>
  <c r="L24" i="7"/>
  <c r="L36" i="4"/>
  <c r="J34" i="6"/>
  <c r="L35" i="4"/>
  <c r="J33" i="6"/>
  <c r="G31" i="15"/>
  <c r="H31" i="15" s="1"/>
  <c r="U31" i="15"/>
  <c r="I34" i="15"/>
  <c r="J34" i="15" s="1"/>
  <c r="K34" i="15" s="1"/>
  <c r="L34" i="15" s="1"/>
  <c r="M34" i="15" s="1"/>
  <c r="N34" i="15" s="1"/>
  <c r="O34" i="15" s="1"/>
  <c r="P34" i="15" s="1"/>
  <c r="Q34" i="15" s="1"/>
  <c r="R34" i="15" s="1"/>
  <c r="U32" i="15"/>
  <c r="I33" i="15"/>
  <c r="J33" i="15" s="1"/>
  <c r="K33" i="15" s="1"/>
  <c r="L33" i="15" s="1"/>
  <c r="M33" i="15" s="1"/>
  <c r="N33" i="15" s="1"/>
  <c r="O33" i="15" s="1"/>
  <c r="P33" i="15" s="1"/>
  <c r="Q33" i="15" s="1"/>
  <c r="R33" i="15" s="1"/>
  <c r="I32" i="15"/>
  <c r="J32" i="15" s="1"/>
  <c r="K32" i="15" s="1"/>
  <c r="L32" i="15" s="1"/>
  <c r="M32" i="15" s="1"/>
  <c r="N32" i="15" s="1"/>
  <c r="O32" i="15" s="1"/>
  <c r="P32" i="15" s="1"/>
  <c r="Q32" i="15" s="1"/>
  <c r="R32" i="15" s="1"/>
  <c r="F31" i="10"/>
  <c r="G30" i="10"/>
  <c r="F30" i="10"/>
  <c r="N25" i="5" l="1"/>
  <c r="M26" i="5"/>
  <c r="M27" i="5"/>
  <c r="L27" i="5"/>
  <c r="M24" i="5"/>
  <c r="M29" i="5"/>
  <c r="M32" i="5"/>
  <c r="M25" i="11"/>
  <c r="K23" i="7"/>
  <c r="L27" i="11"/>
  <c r="J25" i="7"/>
  <c r="N30" i="5"/>
  <c r="M33" i="5"/>
  <c r="O28" i="5"/>
  <c r="N31" i="5"/>
  <c r="O36" i="11"/>
  <c r="M34" i="7"/>
  <c r="N35" i="11"/>
  <c r="L33" i="7"/>
  <c r="O39" i="11"/>
  <c r="M37" i="7"/>
  <c r="P34" i="11"/>
  <c r="N32" i="7"/>
  <c r="O29" i="11"/>
  <c r="M27" i="7"/>
  <c r="O30" i="11"/>
  <c r="M28" i="7"/>
  <c r="N33" i="11"/>
  <c r="L31" i="7"/>
  <c r="O31" i="11"/>
  <c r="M29" i="7"/>
  <c r="O26" i="11"/>
  <c r="M24" i="7"/>
  <c r="O38" i="11"/>
  <c r="M36" i="7"/>
  <c r="O37" i="11"/>
  <c r="M35" i="7"/>
  <c r="N28" i="11"/>
  <c r="L26" i="7"/>
  <c r="P32" i="11"/>
  <c r="N30" i="7"/>
  <c r="M36" i="4"/>
  <c r="K34" i="6"/>
  <c r="M35" i="4"/>
  <c r="K33" i="6"/>
  <c r="I31" i="15"/>
  <c r="J31" i="15" s="1"/>
  <c r="K31" i="15" s="1"/>
  <c r="L31" i="15" s="1"/>
  <c r="M31" i="15" s="1"/>
  <c r="N31" i="15" s="1"/>
  <c r="O31" i="15" s="1"/>
  <c r="P31" i="15" s="1"/>
  <c r="Q31" i="15" s="1"/>
  <c r="R31" i="15" s="1"/>
  <c r="Q29" i="10" s="1"/>
  <c r="G29" i="10"/>
  <c r="F29" i="10"/>
  <c r="G31" i="10"/>
  <c r="H30" i="10"/>
  <c r="C17" i="15"/>
  <c r="C18" i="15"/>
  <c r="C19" i="15"/>
  <c r="B19" i="14"/>
  <c r="A19" i="14"/>
  <c r="A20" i="14"/>
  <c r="C22" i="8"/>
  <c r="C23" i="8"/>
  <c r="C24" i="8"/>
  <c r="C25" i="8"/>
  <c r="N26" i="5" l="1"/>
  <c r="N24" i="5"/>
  <c r="N29" i="5"/>
  <c r="N32" i="5"/>
  <c r="O25" i="5"/>
  <c r="L23" i="7"/>
  <c r="N25" i="11"/>
  <c r="M27" i="11"/>
  <c r="K25" i="7"/>
  <c r="N27" i="5"/>
  <c r="O30" i="5"/>
  <c r="N33" i="5"/>
  <c r="P28" i="5"/>
  <c r="O31" i="5"/>
  <c r="Q32" i="11"/>
  <c r="O30" i="7"/>
  <c r="P38" i="11"/>
  <c r="N36" i="7"/>
  <c r="P30" i="11"/>
  <c r="N28" i="7"/>
  <c r="P39" i="11"/>
  <c r="N37" i="7"/>
  <c r="P37" i="11"/>
  <c r="N35" i="7"/>
  <c r="P31" i="11"/>
  <c r="N29" i="7"/>
  <c r="P29" i="11"/>
  <c r="N27" i="7"/>
  <c r="O28" i="11"/>
  <c r="M26" i="7"/>
  <c r="P26" i="11"/>
  <c r="N24" i="7"/>
  <c r="O33" i="11"/>
  <c r="M31" i="7"/>
  <c r="Q34" i="11"/>
  <c r="O32" i="7"/>
  <c r="O35" i="11"/>
  <c r="M33" i="7"/>
  <c r="P36" i="11"/>
  <c r="N34" i="7"/>
  <c r="N36" i="4"/>
  <c r="L34" i="6"/>
  <c r="N35" i="4"/>
  <c r="L33" i="6"/>
  <c r="N29" i="10"/>
  <c r="K29" i="10"/>
  <c r="I29" i="10"/>
  <c r="L29" i="10"/>
  <c r="P29" i="10"/>
  <c r="M29" i="10"/>
  <c r="J29" i="10"/>
  <c r="H29" i="10"/>
  <c r="O29" i="10"/>
  <c r="H31" i="10"/>
  <c r="I30" i="10"/>
  <c r="Q25" i="5" l="1"/>
  <c r="P25" i="5"/>
  <c r="O29" i="5"/>
  <c r="O32" i="5"/>
  <c r="O24" i="5"/>
  <c r="O26" i="5"/>
  <c r="O25" i="11"/>
  <c r="M23" i="7"/>
  <c r="N27" i="11"/>
  <c r="L25" i="7"/>
  <c r="O27" i="5"/>
  <c r="O33" i="5"/>
  <c r="P30" i="5"/>
  <c r="P31" i="5"/>
  <c r="P28" i="11"/>
  <c r="N26" i="7"/>
  <c r="Q37" i="11"/>
  <c r="O35" i="7"/>
  <c r="Q39" i="11"/>
  <c r="O37" i="7"/>
  <c r="Q38" i="11"/>
  <c r="O36" i="7"/>
  <c r="P35" i="11"/>
  <c r="N33" i="7"/>
  <c r="Q26" i="11"/>
  <c r="O24" i="7"/>
  <c r="Q29" i="11"/>
  <c r="O27" i="7"/>
  <c r="Q36" i="11"/>
  <c r="O34" i="7"/>
  <c r="R34" i="11"/>
  <c r="Q32" i="7" s="1"/>
  <c r="P32" i="7"/>
  <c r="P33" i="11"/>
  <c r="N31" i="7"/>
  <c r="Q31" i="11"/>
  <c r="O29" i="7"/>
  <c r="Q30" i="11"/>
  <c r="O28" i="7"/>
  <c r="R32" i="11"/>
  <c r="Q30" i="7" s="1"/>
  <c r="P30" i="7"/>
  <c r="O36" i="4"/>
  <c r="M34" i="6"/>
  <c r="O35" i="4"/>
  <c r="M33" i="6"/>
  <c r="I31" i="10"/>
  <c r="J30" i="10"/>
  <c r="E7" i="9"/>
  <c r="A28" i="13"/>
  <c r="P29" i="5" l="1"/>
  <c r="P32" i="5"/>
  <c r="Q24" i="5"/>
  <c r="P24" i="5"/>
  <c r="Q31" i="5"/>
  <c r="Q28" i="5"/>
  <c r="P26" i="5"/>
  <c r="Q26" i="5"/>
  <c r="P25" i="11"/>
  <c r="N23" i="7"/>
  <c r="O27" i="11"/>
  <c r="M25" i="7"/>
  <c r="P27" i="5"/>
  <c r="P33" i="5"/>
  <c r="R30" i="11"/>
  <c r="Q28" i="7" s="1"/>
  <c r="P28" i="7"/>
  <c r="R29" i="11"/>
  <c r="Q27" i="7" s="1"/>
  <c r="P27" i="7"/>
  <c r="Q35" i="11"/>
  <c r="O33" i="7"/>
  <c r="Q28" i="11"/>
  <c r="O26" i="7"/>
  <c r="R31" i="11"/>
  <c r="Q29" i="7" s="1"/>
  <c r="P29" i="7"/>
  <c r="R39" i="11"/>
  <c r="Q37" i="7" s="1"/>
  <c r="P37" i="7"/>
  <c r="Q33" i="11"/>
  <c r="O31" i="7"/>
  <c r="R36" i="11"/>
  <c r="Q34" i="7" s="1"/>
  <c r="P34" i="7"/>
  <c r="R26" i="11"/>
  <c r="Q24" i="7" s="1"/>
  <c r="P24" i="7"/>
  <c r="R38" i="11"/>
  <c r="Q36" i="7" s="1"/>
  <c r="P36" i="7"/>
  <c r="R37" i="11"/>
  <c r="Q35" i="7" s="1"/>
  <c r="P35" i="7"/>
  <c r="P36" i="4"/>
  <c r="N34" i="6"/>
  <c r="P35" i="4"/>
  <c r="N33" i="6"/>
  <c r="J31" i="10"/>
  <c r="K30" i="10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G29" i="13"/>
  <c r="G30" i="13"/>
  <c r="F31" i="13"/>
  <c r="G31" i="13" s="1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U31" i="13"/>
  <c r="F32" i="13"/>
  <c r="G32" i="13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U32" i="13"/>
  <c r="G33" i="13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U33" i="13"/>
  <c r="K46" i="3"/>
  <c r="L46" i="3" s="1"/>
  <c r="E46" i="3"/>
  <c r="Q33" i="5" l="1"/>
  <c r="Q30" i="5"/>
  <c r="Q32" i="5"/>
  <c r="Q29" i="5"/>
  <c r="Q25" i="11"/>
  <c r="O23" i="7"/>
  <c r="P27" i="11"/>
  <c r="N25" i="7"/>
  <c r="Q27" i="5"/>
  <c r="H29" i="13"/>
  <c r="G25" i="9" s="1"/>
  <c r="F25" i="9"/>
  <c r="H30" i="13"/>
  <c r="G26" i="9" s="1"/>
  <c r="F26" i="9"/>
  <c r="R33" i="11"/>
  <c r="Q31" i="7" s="1"/>
  <c r="P31" i="7"/>
  <c r="R28" i="11"/>
  <c r="Q26" i="7" s="1"/>
  <c r="P26" i="7"/>
  <c r="R35" i="11"/>
  <c r="Q33" i="7" s="1"/>
  <c r="P33" i="7"/>
  <c r="Q36" i="4"/>
  <c r="O34" i="6"/>
  <c r="Q35" i="4"/>
  <c r="O33" i="6"/>
  <c r="K31" i="10"/>
  <c r="L30" i="10"/>
  <c r="A25" i="12"/>
  <c r="A26" i="12"/>
  <c r="A27" i="12"/>
  <c r="A28" i="12"/>
  <c r="R25" i="11" l="1"/>
  <c r="Q23" i="7" s="1"/>
  <c r="P23" i="7"/>
  <c r="Q27" i="11"/>
  <c r="O25" i="7"/>
  <c r="R36" i="4"/>
  <c r="Q34" i="6" s="1"/>
  <c r="P34" i="6"/>
  <c r="R35" i="4"/>
  <c r="Q33" i="6" s="1"/>
  <c r="P33" i="6"/>
  <c r="L31" i="10"/>
  <c r="M30" i="10"/>
  <c r="F27" i="12"/>
  <c r="F28" i="12"/>
  <c r="L45" i="3"/>
  <c r="K45" i="3"/>
  <c r="E45" i="3"/>
  <c r="R27" i="11" l="1"/>
  <c r="Q25" i="7" s="1"/>
  <c r="P25" i="7"/>
  <c r="M31" i="10"/>
  <c r="N30" i="10"/>
  <c r="N31" i="10" l="1"/>
  <c r="O30" i="10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10" i="14"/>
  <c r="A11" i="14"/>
  <c r="A12" i="14"/>
  <c r="A13" i="14"/>
  <c r="A14" i="14"/>
  <c r="A15" i="14"/>
  <c r="A16" i="14"/>
  <c r="A17" i="14"/>
  <c r="A18" i="14"/>
  <c r="A21" i="14"/>
  <c r="A22" i="14"/>
  <c r="A23" i="14"/>
  <c r="A24" i="14"/>
  <c r="A25" i="14"/>
  <c r="A26" i="14"/>
  <c r="A27" i="14"/>
  <c r="A28" i="14"/>
  <c r="A10" i="13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F19" i="12"/>
  <c r="F20" i="12"/>
  <c r="F21" i="12"/>
  <c r="F22" i="12"/>
  <c r="F23" i="12"/>
  <c r="F24" i="12"/>
  <c r="F25" i="12"/>
  <c r="F26" i="12"/>
  <c r="F12" i="12"/>
  <c r="F10" i="13"/>
  <c r="F13" i="12"/>
  <c r="F11" i="12"/>
  <c r="F10" i="12"/>
  <c r="F12" i="11"/>
  <c r="F11" i="11"/>
  <c r="F10" i="11"/>
  <c r="F12" i="4"/>
  <c r="F11" i="4"/>
  <c r="F10" i="4"/>
  <c r="A8" i="16"/>
  <c r="A9" i="16" s="1"/>
  <c r="A10" i="16" s="1"/>
  <c r="A11" i="16" s="1"/>
  <c r="A12" i="16" s="1"/>
  <c r="O31" i="10" l="1"/>
  <c r="Q30" i="10"/>
  <c r="P30" i="10"/>
  <c r="F14" i="12"/>
  <c r="F13" i="11"/>
  <c r="F13" i="4"/>
  <c r="Q31" i="10" l="1"/>
  <c r="P31" i="10"/>
  <c r="F15" i="12"/>
  <c r="F14" i="11"/>
  <c r="F14" i="4"/>
  <c r="F16" i="12" l="1"/>
  <c r="F15" i="11"/>
  <c r="F15" i="4"/>
  <c r="F17" i="12" l="1"/>
  <c r="F16" i="11"/>
  <c r="F16" i="4"/>
  <c r="F18" i="12" l="1"/>
  <c r="F17" i="11"/>
  <c r="F17" i="4"/>
  <c r="F18" i="4" l="1"/>
  <c r="F19" i="11" l="1"/>
  <c r="F19" i="4"/>
  <c r="F20" i="11" l="1"/>
  <c r="F20" i="4"/>
  <c r="F22" i="11" l="1"/>
  <c r="F21" i="11"/>
  <c r="F21" i="4"/>
  <c r="F22" i="4" l="1"/>
  <c r="F23" i="4" l="1"/>
  <c r="F24" i="4" l="1"/>
  <c r="F25" i="4"/>
  <c r="F21" i="15" l="1"/>
  <c r="F20" i="15"/>
  <c r="F19" i="15"/>
  <c r="F18" i="15"/>
  <c r="F17" i="15"/>
  <c r="F16" i="15"/>
  <c r="F15" i="15"/>
  <c r="F14" i="15"/>
  <c r="F13" i="15"/>
  <c r="F12" i="15"/>
  <c r="F11" i="15"/>
  <c r="F10" i="15"/>
  <c r="B10" i="13" l="1"/>
  <c r="U10" i="13" s="1"/>
  <c r="K2" i="2"/>
  <c r="L2" i="2"/>
  <c r="K3" i="2"/>
  <c r="L3" i="2"/>
  <c r="K4" i="2"/>
  <c r="L4" i="2"/>
  <c r="K5" i="2"/>
  <c r="L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K13" i="2"/>
  <c r="L13" i="2"/>
  <c r="K14" i="2"/>
  <c r="L14" i="2"/>
  <c r="K15" i="2"/>
  <c r="L15" i="2"/>
  <c r="K16" i="2"/>
  <c r="L16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48" i="2"/>
  <c r="L48" i="2"/>
  <c r="K49" i="2"/>
  <c r="L49" i="2"/>
  <c r="K50" i="2"/>
  <c r="L50" i="2"/>
  <c r="K51" i="2"/>
  <c r="L51" i="2"/>
  <c r="K52" i="2"/>
  <c r="L52" i="2"/>
  <c r="C9" i="6" s="1"/>
  <c r="K53" i="2"/>
  <c r="L53" i="2"/>
  <c r="C11" i="6" s="1"/>
  <c r="K54" i="2"/>
  <c r="L54" i="2"/>
  <c r="K55" i="2"/>
  <c r="L55" i="2"/>
  <c r="K56" i="2"/>
  <c r="L56" i="2"/>
  <c r="K57" i="2"/>
  <c r="L57" i="2"/>
  <c r="K58" i="2"/>
  <c r="L58" i="2"/>
  <c r="K59" i="2"/>
  <c r="L59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B10" i="14"/>
  <c r="U10" i="14" s="1"/>
  <c r="B11" i="14"/>
  <c r="D11" i="14" s="1"/>
  <c r="B12" i="14"/>
  <c r="U12" i="14" s="1"/>
  <c r="B13" i="14"/>
  <c r="D13" i="14" s="1"/>
  <c r="B14" i="14"/>
  <c r="U14" i="14" s="1"/>
  <c r="B15" i="14"/>
  <c r="U15" i="14" s="1"/>
  <c r="B16" i="14"/>
  <c r="U16" i="14" s="1"/>
  <c r="B17" i="14"/>
  <c r="D17" i="14" s="1"/>
  <c r="B18" i="14"/>
  <c r="U18" i="14" s="1"/>
  <c r="U13" i="14"/>
  <c r="U19" i="14"/>
  <c r="C22" i="15"/>
  <c r="Q7" i="7"/>
  <c r="P7" i="7"/>
  <c r="O7" i="7"/>
  <c r="N7" i="7"/>
  <c r="M7" i="7"/>
  <c r="L7" i="7"/>
  <c r="K7" i="7"/>
  <c r="J7" i="7"/>
  <c r="I7" i="7"/>
  <c r="H7" i="7"/>
  <c r="G7" i="7"/>
  <c r="E7" i="7"/>
  <c r="D7" i="7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10" i="15"/>
  <c r="U10" i="15" s="1"/>
  <c r="A8" i="15"/>
  <c r="D19" i="14"/>
  <c r="F19" i="14"/>
  <c r="F18" i="14"/>
  <c r="F17" i="14"/>
  <c r="F16" i="14"/>
  <c r="F15" i="14"/>
  <c r="F14" i="14"/>
  <c r="F13" i="14"/>
  <c r="F12" i="14"/>
  <c r="F11" i="14"/>
  <c r="F10" i="14"/>
  <c r="A8" i="14"/>
  <c r="U22" i="13"/>
  <c r="B11" i="12"/>
  <c r="B12" i="12"/>
  <c r="B13" i="12"/>
  <c r="B14" i="12"/>
  <c r="B15" i="12"/>
  <c r="D15" i="12" s="1"/>
  <c r="B16" i="12"/>
  <c r="B17" i="12"/>
  <c r="B18" i="12"/>
  <c r="B19" i="12"/>
  <c r="B20" i="12"/>
  <c r="B21" i="12"/>
  <c r="B22" i="12"/>
  <c r="U22" i="12" s="1"/>
  <c r="B23" i="12"/>
  <c r="B24" i="12"/>
  <c r="B25" i="12"/>
  <c r="U25" i="12" s="1"/>
  <c r="B26" i="12"/>
  <c r="B27" i="12"/>
  <c r="B28" i="12"/>
  <c r="U28" i="12" s="1"/>
  <c r="D29" i="12"/>
  <c r="G29" i="12" s="1"/>
  <c r="F27" i="8" s="1"/>
  <c r="D30" i="12"/>
  <c r="B10" i="12"/>
  <c r="A8" i="13"/>
  <c r="D25" i="12"/>
  <c r="A8" i="12"/>
  <c r="B11" i="11"/>
  <c r="B12" i="11"/>
  <c r="B13" i="11"/>
  <c r="U13" i="11" s="1"/>
  <c r="B14" i="11"/>
  <c r="U14" i="11" s="1"/>
  <c r="B15" i="11"/>
  <c r="B16" i="11"/>
  <c r="B17" i="11"/>
  <c r="B18" i="11"/>
  <c r="B19" i="11"/>
  <c r="B20" i="11"/>
  <c r="B21" i="11"/>
  <c r="B22" i="11"/>
  <c r="U22" i="11" s="1"/>
  <c r="B10" i="11"/>
  <c r="B11" i="4"/>
  <c r="U11" i="4" s="1"/>
  <c r="B12" i="4"/>
  <c r="U12" i="4" s="1"/>
  <c r="B13" i="4"/>
  <c r="U13" i="4" s="1"/>
  <c r="B14" i="4"/>
  <c r="U14" i="4" s="1"/>
  <c r="B15" i="4"/>
  <c r="U15" i="4" s="1"/>
  <c r="B16" i="4"/>
  <c r="U16" i="4" s="1"/>
  <c r="B17" i="4"/>
  <c r="U17" i="4" s="1"/>
  <c r="B18" i="4"/>
  <c r="U18" i="4" s="1"/>
  <c r="B19" i="4"/>
  <c r="U19" i="4" s="1"/>
  <c r="B20" i="4"/>
  <c r="U20" i="4" s="1"/>
  <c r="B21" i="4"/>
  <c r="U21" i="4" s="1"/>
  <c r="B22" i="4"/>
  <c r="B23" i="4"/>
  <c r="U23" i="4" s="1"/>
  <c r="B24" i="4"/>
  <c r="B25" i="4"/>
  <c r="B26" i="4"/>
  <c r="B27" i="4"/>
  <c r="B28" i="4"/>
  <c r="B29" i="4"/>
  <c r="B30" i="4"/>
  <c r="B10" i="4"/>
  <c r="U10" i="4" s="1"/>
  <c r="T8" i="10"/>
  <c r="U8" i="10" s="1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T8" i="9"/>
  <c r="U8" i="9" s="1"/>
  <c r="Q7" i="9"/>
  <c r="P7" i="9"/>
  <c r="O7" i="9"/>
  <c r="N7" i="9"/>
  <c r="M7" i="9"/>
  <c r="L7" i="9"/>
  <c r="K7" i="9"/>
  <c r="J7" i="9"/>
  <c r="I7" i="9"/>
  <c r="H7" i="9"/>
  <c r="G7" i="9"/>
  <c r="D7" i="9"/>
  <c r="T8" i="8"/>
  <c r="U8" i="8" s="1"/>
  <c r="Q7" i="8"/>
  <c r="P7" i="8"/>
  <c r="O7" i="8"/>
  <c r="N7" i="8"/>
  <c r="M7" i="8"/>
  <c r="L7" i="8"/>
  <c r="K7" i="8"/>
  <c r="J7" i="8"/>
  <c r="I7" i="8"/>
  <c r="H7" i="8"/>
  <c r="G7" i="8"/>
  <c r="E7" i="8"/>
  <c r="D7" i="8"/>
  <c r="T8" i="6"/>
  <c r="Q7" i="6"/>
  <c r="P7" i="6"/>
  <c r="O7" i="6"/>
  <c r="N7" i="6"/>
  <c r="M7" i="6"/>
  <c r="L7" i="6"/>
  <c r="K7" i="6"/>
  <c r="J7" i="6"/>
  <c r="I7" i="6"/>
  <c r="H7" i="6"/>
  <c r="G7" i="6"/>
  <c r="E7" i="6"/>
  <c r="D7" i="6"/>
  <c r="C23" i="7" l="1"/>
  <c r="C25" i="11" s="1"/>
  <c r="C23" i="6"/>
  <c r="C8" i="6"/>
  <c r="C10" i="4" s="1"/>
  <c r="C14" i="6"/>
  <c r="C13" i="6"/>
  <c r="C10" i="6"/>
  <c r="C12" i="4" s="1"/>
  <c r="C21" i="7"/>
  <c r="C23" i="11" s="1"/>
  <c r="C21" i="6"/>
  <c r="C16" i="6"/>
  <c r="C18" i="6"/>
  <c r="C20" i="4" s="1"/>
  <c r="C12" i="6"/>
  <c r="C14" i="4" s="1"/>
  <c r="C25" i="6"/>
  <c r="C27" i="4" s="1"/>
  <c r="C15" i="6"/>
  <c r="C20" i="6"/>
  <c r="C22" i="4" s="1"/>
  <c r="C19" i="6"/>
  <c r="C21" i="4" s="1"/>
  <c r="C22" i="6"/>
  <c r="C24" i="4" s="1"/>
  <c r="C24" i="6"/>
  <c r="C25" i="7"/>
  <c r="C27" i="11" s="1"/>
  <c r="C22" i="7"/>
  <c r="C24" i="11" s="1"/>
  <c r="C24" i="7"/>
  <c r="C26" i="11" s="1"/>
  <c r="U8" i="6"/>
  <c r="C30" i="6"/>
  <c r="C32" i="4" s="1"/>
  <c r="E39" i="16"/>
  <c r="E38" i="16"/>
  <c r="E37" i="16"/>
  <c r="E36" i="16"/>
  <c r="E35" i="16"/>
  <c r="E34" i="16"/>
  <c r="D39" i="16"/>
  <c r="D38" i="16"/>
  <c r="D37" i="16"/>
  <c r="D36" i="16"/>
  <c r="D35" i="16"/>
  <c r="D34" i="16"/>
  <c r="F39" i="16"/>
  <c r="F38" i="16"/>
  <c r="F37" i="16"/>
  <c r="F36" i="16"/>
  <c r="F35" i="16"/>
  <c r="F34" i="16"/>
  <c r="L37" i="16"/>
  <c r="L38" i="16"/>
  <c r="L39" i="16"/>
  <c r="L36" i="16"/>
  <c r="L35" i="16"/>
  <c r="L34" i="16"/>
  <c r="C16" i="5"/>
  <c r="C15" i="9"/>
  <c r="C17" i="13" s="1"/>
  <c r="C20" i="5"/>
  <c r="C15" i="5"/>
  <c r="C17" i="5"/>
  <c r="C10" i="5"/>
  <c r="C19" i="5"/>
  <c r="C12" i="5"/>
  <c r="C13" i="5"/>
  <c r="C18" i="9"/>
  <c r="C20" i="13" s="1"/>
  <c r="C16" i="9"/>
  <c r="C18" i="13" s="1"/>
  <c r="C13" i="9"/>
  <c r="C15" i="13" s="1"/>
  <c r="C17" i="9"/>
  <c r="C19" i="13" s="1"/>
  <c r="C14" i="9"/>
  <c r="C16" i="13" s="1"/>
  <c r="C12" i="9"/>
  <c r="C14" i="13" s="1"/>
  <c r="C10" i="9"/>
  <c r="C12" i="13" s="1"/>
  <c r="C11" i="9"/>
  <c r="C13" i="13" s="1"/>
  <c r="C19" i="9"/>
  <c r="C21" i="13" s="1"/>
  <c r="C23" i="9"/>
  <c r="C25" i="13" s="1"/>
  <c r="C16" i="4"/>
  <c r="C31" i="6"/>
  <c r="C33" i="4" s="1"/>
  <c r="C26" i="6"/>
  <c r="C28" i="4" s="1"/>
  <c r="C20" i="7"/>
  <c r="C22" i="11" s="1"/>
  <c r="C13" i="8"/>
  <c r="C14" i="8"/>
  <c r="C15" i="8"/>
  <c r="C16" i="8"/>
  <c r="C17" i="8"/>
  <c r="C19" i="12" s="1"/>
  <c r="C12" i="8"/>
  <c r="C29" i="6"/>
  <c r="C31" i="4" s="1"/>
  <c r="C27" i="6"/>
  <c r="C29" i="4" s="1"/>
  <c r="C28" i="6"/>
  <c r="C30" i="4" s="1"/>
  <c r="C13" i="4"/>
  <c r="C21" i="11"/>
  <c r="C32" i="6"/>
  <c r="C34" i="4" s="1"/>
  <c r="C26" i="4"/>
  <c r="D30" i="4"/>
  <c r="U30" i="4"/>
  <c r="D27" i="4"/>
  <c r="U27" i="4"/>
  <c r="D26" i="4"/>
  <c r="U26" i="4"/>
  <c r="D29" i="4"/>
  <c r="U29" i="4"/>
  <c r="D28" i="4"/>
  <c r="U28" i="4"/>
  <c r="C18" i="11"/>
  <c r="C17" i="4"/>
  <c r="C13" i="7"/>
  <c r="C15" i="11" s="1"/>
  <c r="C23" i="4"/>
  <c r="C19" i="11"/>
  <c r="C19" i="4"/>
  <c r="C12" i="7"/>
  <c r="C14" i="11" s="1"/>
  <c r="C18" i="4"/>
  <c r="C17" i="11"/>
  <c r="C14" i="7"/>
  <c r="C16" i="11" s="1"/>
  <c r="C11" i="7"/>
  <c r="C13" i="11" s="1"/>
  <c r="D22" i="15"/>
  <c r="U22" i="15"/>
  <c r="D23" i="15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U23" i="15"/>
  <c r="U24" i="15"/>
  <c r="D24" i="15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U17" i="14"/>
  <c r="C13" i="15"/>
  <c r="C25" i="15"/>
  <c r="C24" i="15"/>
  <c r="C14" i="5"/>
  <c r="C12" i="15"/>
  <c r="C8" i="10"/>
  <c r="C10" i="15" s="1"/>
  <c r="C27" i="15"/>
  <c r="C26" i="15"/>
  <c r="U30" i="15"/>
  <c r="D30" i="15"/>
  <c r="G30" i="15" s="1"/>
  <c r="U29" i="15"/>
  <c r="D29" i="15"/>
  <c r="G29" i="15" s="1"/>
  <c r="D28" i="15"/>
  <c r="G28" i="15" s="1"/>
  <c r="U28" i="15"/>
  <c r="D27" i="15"/>
  <c r="G27" i="15" s="1"/>
  <c r="U27" i="15"/>
  <c r="D26" i="15"/>
  <c r="G26" i="15" s="1"/>
  <c r="U26" i="15"/>
  <c r="D25" i="15"/>
  <c r="G25" i="15" s="1"/>
  <c r="U25" i="15"/>
  <c r="C15" i="4"/>
  <c r="C18" i="5"/>
  <c r="C26" i="9"/>
  <c r="D16" i="14"/>
  <c r="D15" i="14"/>
  <c r="D12" i="14"/>
  <c r="G12" i="14" s="1"/>
  <c r="U11" i="14"/>
  <c r="C24" i="9"/>
  <c r="C26" i="13" s="1"/>
  <c r="C8" i="9"/>
  <c r="C10" i="13" s="1"/>
  <c r="C24" i="13"/>
  <c r="C9" i="9"/>
  <c r="C11" i="13" s="1"/>
  <c r="C20" i="9"/>
  <c r="C22" i="13" s="1"/>
  <c r="C21" i="9"/>
  <c r="C23" i="13" s="1"/>
  <c r="D30" i="13"/>
  <c r="D29" i="13"/>
  <c r="D26" i="13"/>
  <c r="U26" i="13"/>
  <c r="D25" i="13"/>
  <c r="U25" i="13"/>
  <c r="D27" i="13"/>
  <c r="D23" i="13"/>
  <c r="U23" i="13"/>
  <c r="D28" i="13"/>
  <c r="G28" i="13" s="1"/>
  <c r="D24" i="13"/>
  <c r="U24" i="13"/>
  <c r="D10" i="13"/>
  <c r="E10" i="13" s="1"/>
  <c r="D22" i="13"/>
  <c r="C10" i="8"/>
  <c r="C26" i="8"/>
  <c r="C28" i="12" s="1"/>
  <c r="D28" i="12"/>
  <c r="G28" i="12" s="1"/>
  <c r="D27" i="12"/>
  <c r="U27" i="12"/>
  <c r="G25" i="12"/>
  <c r="H29" i="12"/>
  <c r="G27" i="8" s="1"/>
  <c r="U16" i="12"/>
  <c r="D16" i="12"/>
  <c r="G30" i="12"/>
  <c r="F28" i="8" s="1"/>
  <c r="D26" i="12"/>
  <c r="U26" i="12"/>
  <c r="D14" i="11"/>
  <c r="D13" i="11"/>
  <c r="D22" i="11"/>
  <c r="L11" i="16"/>
  <c r="L7" i="16"/>
  <c r="L10" i="16"/>
  <c r="L8" i="16"/>
  <c r="L9" i="16"/>
  <c r="L12" i="16"/>
  <c r="C11" i="4"/>
  <c r="D23" i="4"/>
  <c r="D16" i="15"/>
  <c r="G16" i="15" s="1"/>
  <c r="U16" i="15"/>
  <c r="D19" i="15"/>
  <c r="G19" i="15" s="1"/>
  <c r="U19" i="15"/>
  <c r="D15" i="15"/>
  <c r="G15" i="15" s="1"/>
  <c r="U15" i="15"/>
  <c r="D21" i="15"/>
  <c r="G21" i="15" s="1"/>
  <c r="U21" i="15"/>
  <c r="D17" i="15"/>
  <c r="G17" i="15" s="1"/>
  <c r="U17" i="15"/>
  <c r="D13" i="15"/>
  <c r="G13" i="15" s="1"/>
  <c r="U13" i="15"/>
  <c r="D20" i="15"/>
  <c r="U20" i="15"/>
  <c r="D12" i="15"/>
  <c r="G12" i="15" s="1"/>
  <c r="U12" i="15"/>
  <c r="D11" i="15"/>
  <c r="U11" i="15"/>
  <c r="D18" i="15"/>
  <c r="G18" i="15" s="1"/>
  <c r="U18" i="15"/>
  <c r="D14" i="15"/>
  <c r="U14" i="15"/>
  <c r="D19" i="13"/>
  <c r="U19" i="13"/>
  <c r="D15" i="13"/>
  <c r="U15" i="13"/>
  <c r="D11" i="13"/>
  <c r="U11" i="13"/>
  <c r="D20" i="13"/>
  <c r="U20" i="13"/>
  <c r="D16" i="13"/>
  <c r="U16" i="13"/>
  <c r="D12" i="13"/>
  <c r="U12" i="13"/>
  <c r="D18" i="13"/>
  <c r="U18" i="13"/>
  <c r="D14" i="13"/>
  <c r="U14" i="13"/>
  <c r="D21" i="13"/>
  <c r="U21" i="13"/>
  <c r="D17" i="13"/>
  <c r="U17" i="13"/>
  <c r="D13" i="13"/>
  <c r="U13" i="13"/>
  <c r="D18" i="12"/>
  <c r="U18" i="12"/>
  <c r="D17" i="12"/>
  <c r="U17" i="12"/>
  <c r="D24" i="12"/>
  <c r="G24" i="12" s="1"/>
  <c r="F22" i="8" s="1"/>
  <c r="U24" i="12"/>
  <c r="D20" i="12"/>
  <c r="U20" i="12"/>
  <c r="D12" i="12"/>
  <c r="U12" i="12"/>
  <c r="D14" i="12"/>
  <c r="U14" i="12"/>
  <c r="D21" i="12"/>
  <c r="U21" i="12"/>
  <c r="D13" i="12"/>
  <c r="U13" i="12"/>
  <c r="D22" i="12"/>
  <c r="D10" i="12"/>
  <c r="U10" i="12"/>
  <c r="D23" i="12"/>
  <c r="G23" i="12" s="1"/>
  <c r="U23" i="12"/>
  <c r="D19" i="12"/>
  <c r="U19" i="12"/>
  <c r="U15" i="12"/>
  <c r="D11" i="12"/>
  <c r="U11" i="12"/>
  <c r="D10" i="11"/>
  <c r="U10" i="11"/>
  <c r="D19" i="11"/>
  <c r="U19" i="11"/>
  <c r="D15" i="11"/>
  <c r="U15" i="11"/>
  <c r="D11" i="11"/>
  <c r="U11" i="11"/>
  <c r="D18" i="11"/>
  <c r="U18" i="11"/>
  <c r="D21" i="11"/>
  <c r="U21" i="11"/>
  <c r="D17" i="11"/>
  <c r="U17" i="11"/>
  <c r="D20" i="11"/>
  <c r="U20" i="11"/>
  <c r="D16" i="11"/>
  <c r="U16" i="11"/>
  <c r="D12" i="11"/>
  <c r="U12" i="11"/>
  <c r="C24" i="5"/>
  <c r="D25" i="4"/>
  <c r="U25" i="4"/>
  <c r="D22" i="4"/>
  <c r="U22" i="4"/>
  <c r="D24" i="4"/>
  <c r="U24" i="4"/>
  <c r="C9" i="7"/>
  <c r="C11" i="11" s="1"/>
  <c r="C11" i="8"/>
  <c r="C9" i="8"/>
  <c r="C10" i="7"/>
  <c r="C12" i="11" s="1"/>
  <c r="C8" i="7"/>
  <c r="C10" i="11" s="1"/>
  <c r="C8" i="8"/>
  <c r="C25" i="4"/>
  <c r="C11" i="15"/>
  <c r="C16" i="15"/>
  <c r="C15" i="15"/>
  <c r="C21" i="15"/>
  <c r="C14" i="15"/>
  <c r="C20" i="15"/>
  <c r="D12" i="16"/>
  <c r="F12" i="16"/>
  <c r="E12" i="16"/>
  <c r="C11" i="5"/>
  <c r="G12" i="16"/>
  <c r="D14" i="14"/>
  <c r="G14" i="14" s="1"/>
  <c r="D18" i="14"/>
  <c r="G18" i="14" s="1"/>
  <c r="D10" i="14"/>
  <c r="E10" i="14" s="1"/>
  <c r="C9" i="5"/>
  <c r="C22" i="5"/>
  <c r="C23" i="5"/>
  <c r="C21" i="5"/>
  <c r="F7" i="16"/>
  <c r="C8" i="5"/>
  <c r="E9" i="16"/>
  <c r="D10" i="16"/>
  <c r="E11" i="16"/>
  <c r="G9" i="16"/>
  <c r="F8" i="16"/>
  <c r="E7" i="16"/>
  <c r="D7" i="16"/>
  <c r="D11" i="16"/>
  <c r="G10" i="16"/>
  <c r="F9" i="16"/>
  <c r="E8" i="16"/>
  <c r="G7" i="16"/>
  <c r="D8" i="16"/>
  <c r="G11" i="16"/>
  <c r="F10" i="16"/>
  <c r="D9" i="16"/>
  <c r="F11" i="16"/>
  <c r="E10" i="16"/>
  <c r="G8" i="16"/>
  <c r="D10" i="15"/>
  <c r="E10" i="15" s="1"/>
  <c r="G13" i="14"/>
  <c r="G19" i="14"/>
  <c r="G11" i="15"/>
  <c r="G20" i="15"/>
  <c r="G14" i="15"/>
  <c r="G11" i="14"/>
  <c r="G15" i="14"/>
  <c r="G17" i="14"/>
  <c r="G16" i="14"/>
  <c r="C18" i="14" l="1"/>
  <c r="H39" i="16"/>
  <c r="C17" i="14"/>
  <c r="E40" i="16"/>
  <c r="F40" i="16"/>
  <c r="H37" i="16"/>
  <c r="L40" i="16"/>
  <c r="H38" i="16"/>
  <c r="H36" i="16"/>
  <c r="H35" i="16"/>
  <c r="H34" i="16"/>
  <c r="D40" i="16"/>
  <c r="C13" i="14"/>
  <c r="C19" i="14"/>
  <c r="C12" i="14"/>
  <c r="C10" i="14"/>
  <c r="C16" i="14"/>
  <c r="C11" i="14"/>
  <c r="C15" i="14"/>
  <c r="C14" i="14"/>
  <c r="E11" i="13"/>
  <c r="E12" i="13" s="1"/>
  <c r="E13" i="13" s="1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F23" i="5"/>
  <c r="C25" i="9"/>
  <c r="C27" i="13" s="1"/>
  <c r="S27" i="13" s="1"/>
  <c r="S39" i="4"/>
  <c r="S63" i="4"/>
  <c r="S70" i="4"/>
  <c r="S28" i="4"/>
  <c r="S29" i="4"/>
  <c r="S44" i="4"/>
  <c r="S50" i="4"/>
  <c r="S55" i="4"/>
  <c r="S57" i="4"/>
  <c r="S46" i="4"/>
  <c r="S56" i="4"/>
  <c r="S60" i="4"/>
  <c r="S65" i="4"/>
  <c r="S33" i="4"/>
  <c r="S35" i="4"/>
  <c r="S37" i="4"/>
  <c r="S40" i="4"/>
  <c r="S41" i="4"/>
  <c r="S45" i="4"/>
  <c r="S48" i="4"/>
  <c r="S52" i="4"/>
  <c r="S59" i="4"/>
  <c r="S61" i="4"/>
  <c r="S74" i="4"/>
  <c r="S72" i="4"/>
  <c r="S62" i="4"/>
  <c r="S36" i="4"/>
  <c r="S73" i="4"/>
  <c r="S49" i="4"/>
  <c r="S47" i="4"/>
  <c r="S30" i="4"/>
  <c r="S64" i="4"/>
  <c r="S51" i="4"/>
  <c r="S32" i="4"/>
  <c r="S71" i="4"/>
  <c r="S53" i="4"/>
  <c r="S67" i="4"/>
  <c r="S42" i="4"/>
  <c r="S26" i="4"/>
  <c r="S27" i="4"/>
  <c r="S69" i="4"/>
  <c r="S76" i="4"/>
  <c r="S38" i="4"/>
  <c r="S58" i="4"/>
  <c r="S43" i="4"/>
  <c r="S75" i="4"/>
  <c r="S66" i="4"/>
  <c r="S54" i="4"/>
  <c r="S31" i="4"/>
  <c r="S68" i="4"/>
  <c r="S34" i="4"/>
  <c r="S23" i="15"/>
  <c r="T23" i="15" s="1"/>
  <c r="H26" i="15"/>
  <c r="G24" i="10" s="1"/>
  <c r="F24" i="10"/>
  <c r="H28" i="15"/>
  <c r="G26" i="10" s="1"/>
  <c r="F26" i="10"/>
  <c r="S24" i="15"/>
  <c r="T24" i="15" s="1"/>
  <c r="H29" i="15"/>
  <c r="G27" i="10" s="1"/>
  <c r="F27" i="10"/>
  <c r="S33" i="15"/>
  <c r="S32" i="15"/>
  <c r="S34" i="15"/>
  <c r="S31" i="15"/>
  <c r="H25" i="15"/>
  <c r="G23" i="10" s="1"/>
  <c r="F23" i="10"/>
  <c r="H27" i="15"/>
  <c r="G25" i="10" s="1"/>
  <c r="F25" i="10"/>
  <c r="S22" i="15"/>
  <c r="T22" i="15" s="1"/>
  <c r="H30" i="15"/>
  <c r="G28" i="10" s="1"/>
  <c r="F28" i="10"/>
  <c r="G22" i="15"/>
  <c r="C20" i="11"/>
  <c r="S22" i="11" s="1"/>
  <c r="S30" i="15"/>
  <c r="T30" i="15" s="1"/>
  <c r="S29" i="15"/>
  <c r="T29" i="15" s="1"/>
  <c r="I28" i="15"/>
  <c r="S28" i="15"/>
  <c r="T28" i="15" s="1"/>
  <c r="S27" i="15"/>
  <c r="T27" i="15" s="1"/>
  <c r="S26" i="15"/>
  <c r="T26" i="15" s="1"/>
  <c r="S25" i="15"/>
  <c r="T25" i="15" s="1"/>
  <c r="I25" i="15"/>
  <c r="F22" i="10"/>
  <c r="F21" i="10"/>
  <c r="H23" i="12"/>
  <c r="G21" i="8" s="1"/>
  <c r="F21" i="8"/>
  <c r="H28" i="12"/>
  <c r="F26" i="8"/>
  <c r="H25" i="12"/>
  <c r="G23" i="8" s="1"/>
  <c r="F23" i="8"/>
  <c r="S33" i="13"/>
  <c r="F22" i="5"/>
  <c r="I29" i="13"/>
  <c r="I30" i="13"/>
  <c r="H28" i="13"/>
  <c r="I28" i="13" s="1"/>
  <c r="S24" i="13"/>
  <c r="T24" i="13" s="1"/>
  <c r="S23" i="13"/>
  <c r="T23" i="13" s="1"/>
  <c r="S25" i="13"/>
  <c r="T25" i="13" s="1"/>
  <c r="S22" i="13"/>
  <c r="G27" i="13"/>
  <c r="H27" i="13" s="1"/>
  <c r="I27" i="13" s="1"/>
  <c r="J27" i="13" s="1"/>
  <c r="K27" i="13" s="1"/>
  <c r="L27" i="13" s="1"/>
  <c r="M27" i="13" s="1"/>
  <c r="N27" i="13" s="1"/>
  <c r="O27" i="13" s="1"/>
  <c r="P27" i="13" s="1"/>
  <c r="Q27" i="13" s="1"/>
  <c r="R27" i="13" s="1"/>
  <c r="S26" i="13"/>
  <c r="T26" i="13" s="1"/>
  <c r="C23" i="12"/>
  <c r="C17" i="12"/>
  <c r="C11" i="12"/>
  <c r="C13" i="12"/>
  <c r="C27" i="12"/>
  <c r="C10" i="12"/>
  <c r="C18" i="12"/>
  <c r="C14" i="12"/>
  <c r="C22" i="12"/>
  <c r="C21" i="12"/>
  <c r="C12" i="12"/>
  <c r="G26" i="12"/>
  <c r="F24" i="8" s="1"/>
  <c r="C20" i="12"/>
  <c r="C25" i="12"/>
  <c r="H30" i="12"/>
  <c r="G28" i="8" s="1"/>
  <c r="C24" i="12"/>
  <c r="C26" i="12"/>
  <c r="C15" i="12"/>
  <c r="C16" i="12"/>
  <c r="I29" i="12"/>
  <c r="H27" i="8" s="1"/>
  <c r="G27" i="12"/>
  <c r="F25" i="8" s="1"/>
  <c r="H24" i="12"/>
  <c r="G22" i="8" s="1"/>
  <c r="S23" i="4"/>
  <c r="T23" i="4" s="1"/>
  <c r="S20" i="13"/>
  <c r="V20" i="13" s="1"/>
  <c r="W20" i="13" s="1"/>
  <c r="S18" i="15"/>
  <c r="V18" i="15" s="1"/>
  <c r="W18" i="15" s="1"/>
  <c r="S14" i="15"/>
  <c r="V14" i="15" s="1"/>
  <c r="W14" i="15" s="1"/>
  <c r="S12" i="15"/>
  <c r="V12" i="15" s="1"/>
  <c r="W12" i="15" s="1"/>
  <c r="S10" i="15"/>
  <c r="V10" i="15" s="1"/>
  <c r="W10" i="15" s="1"/>
  <c r="S21" i="15"/>
  <c r="V21" i="15" s="1"/>
  <c r="W21" i="15" s="1"/>
  <c r="S13" i="15"/>
  <c r="V13" i="15" s="1"/>
  <c r="W13" i="15" s="1"/>
  <c r="S15" i="15"/>
  <c r="V15" i="15" s="1"/>
  <c r="W15" i="15" s="1"/>
  <c r="S11" i="15"/>
  <c r="V11" i="15" s="1"/>
  <c r="W11" i="15" s="1"/>
  <c r="S13" i="13"/>
  <c r="V13" i="13" s="1"/>
  <c r="W13" i="13" s="1"/>
  <c r="S16" i="13"/>
  <c r="T16" i="13" s="1"/>
  <c r="S12" i="13"/>
  <c r="T12" i="13" s="1"/>
  <c r="S14" i="13"/>
  <c r="V14" i="13" s="1"/>
  <c r="W14" i="13" s="1"/>
  <c r="S18" i="13"/>
  <c r="T18" i="13" s="1"/>
  <c r="S15" i="13"/>
  <c r="V15" i="13" s="1"/>
  <c r="W15" i="13" s="1"/>
  <c r="S17" i="13"/>
  <c r="V17" i="13" s="1"/>
  <c r="W17" i="13" s="1"/>
  <c r="S10" i="13"/>
  <c r="S11" i="13"/>
  <c r="S19" i="13"/>
  <c r="T19" i="13" s="1"/>
  <c r="S21" i="13"/>
  <c r="V21" i="13" s="1"/>
  <c r="W21" i="13" s="1"/>
  <c r="S25" i="4"/>
  <c r="V25" i="4" s="1"/>
  <c r="W25" i="4" s="1"/>
  <c r="S24" i="4"/>
  <c r="T24" i="4" s="1"/>
  <c r="S22" i="4"/>
  <c r="T22" i="4" s="1"/>
  <c r="I25" i="12"/>
  <c r="H23" i="8" s="1"/>
  <c r="S20" i="15"/>
  <c r="V20" i="15" s="1"/>
  <c r="W20" i="15" s="1"/>
  <c r="S19" i="15"/>
  <c r="V19" i="15" s="1"/>
  <c r="W19" i="15" s="1"/>
  <c r="S16" i="15"/>
  <c r="V16" i="15" s="1"/>
  <c r="W16" i="15" s="1"/>
  <c r="S17" i="15"/>
  <c r="V17" i="15" s="1"/>
  <c r="W17" i="15" s="1"/>
  <c r="L13" i="16"/>
  <c r="D13" i="16"/>
  <c r="E13" i="16"/>
  <c r="F13" i="16"/>
  <c r="G13" i="16"/>
  <c r="G10" i="15"/>
  <c r="H10" i="15" s="1"/>
  <c r="G10" i="14"/>
  <c r="E11" i="14"/>
  <c r="E12" i="14" s="1"/>
  <c r="H9" i="16"/>
  <c r="H7" i="16"/>
  <c r="H8" i="16"/>
  <c r="H11" i="16"/>
  <c r="H10" i="16"/>
  <c r="H12" i="16"/>
  <c r="D8" i="10"/>
  <c r="E11" i="15"/>
  <c r="E12" i="15" s="1"/>
  <c r="H16" i="14"/>
  <c r="H12" i="14"/>
  <c r="H17" i="14"/>
  <c r="H14" i="15"/>
  <c r="F12" i="10"/>
  <c r="H20" i="15"/>
  <c r="F18" i="10"/>
  <c r="H13" i="15"/>
  <c r="F11" i="10"/>
  <c r="H18" i="15"/>
  <c r="F16" i="10"/>
  <c r="H16" i="15"/>
  <c r="F14" i="10"/>
  <c r="H11" i="15"/>
  <c r="F9" i="10"/>
  <c r="H15" i="14"/>
  <c r="H17" i="15"/>
  <c r="F15" i="10"/>
  <c r="H19" i="15"/>
  <c r="F17" i="10"/>
  <c r="H21" i="15"/>
  <c r="F19" i="10"/>
  <c r="H19" i="14"/>
  <c r="H14" i="14"/>
  <c r="H18" i="14"/>
  <c r="H11" i="14"/>
  <c r="H15" i="15"/>
  <c r="F13" i="10"/>
  <c r="H12" i="15"/>
  <c r="F10" i="10"/>
  <c r="H13" i="14"/>
  <c r="S15" i="11" l="1"/>
  <c r="S13" i="11"/>
  <c r="S15" i="14"/>
  <c r="T15" i="14" s="1"/>
  <c r="S14" i="11"/>
  <c r="V14" i="11" s="1"/>
  <c r="W14" i="11" s="1"/>
  <c r="S12" i="11"/>
  <c r="S18" i="11"/>
  <c r="S16" i="11"/>
  <c r="V16" i="11" s="1"/>
  <c r="W16" i="11" s="1"/>
  <c r="S129" i="14"/>
  <c r="S123" i="14"/>
  <c r="S116" i="14"/>
  <c r="S56" i="14"/>
  <c r="S90" i="14"/>
  <c r="S107" i="14"/>
  <c r="S94" i="14"/>
  <c r="S78" i="14"/>
  <c r="S102" i="14"/>
  <c r="S127" i="14"/>
  <c r="S71" i="14"/>
  <c r="S61" i="14"/>
  <c r="S85" i="14"/>
  <c r="S132" i="14"/>
  <c r="S122" i="14"/>
  <c r="S66" i="14"/>
  <c r="S100" i="14"/>
  <c r="S96" i="14"/>
  <c r="S67" i="14"/>
  <c r="S84" i="14"/>
  <c r="S74" i="14"/>
  <c r="S124" i="14"/>
  <c r="S110" i="14"/>
  <c r="S83" i="14"/>
  <c r="S58" i="14"/>
  <c r="S89" i="14"/>
  <c r="S99" i="14"/>
  <c r="S64" i="14"/>
  <c r="S92" i="14"/>
  <c r="S101" i="14"/>
  <c r="S105" i="14"/>
  <c r="S106" i="14"/>
  <c r="S130" i="14"/>
  <c r="S80" i="14"/>
  <c r="S98" i="14"/>
  <c r="S65" i="14"/>
  <c r="S133" i="14"/>
  <c r="S77" i="14"/>
  <c r="S52" i="14"/>
  <c r="S91" i="14"/>
  <c r="S109" i="14"/>
  <c r="S73" i="14"/>
  <c r="S62" i="14"/>
  <c r="S55" i="14"/>
  <c r="S126" i="14"/>
  <c r="S76" i="14"/>
  <c r="S111" i="14"/>
  <c r="S131" i="14"/>
  <c r="S118" i="14"/>
  <c r="S97" i="14"/>
  <c r="S72" i="14"/>
  <c r="S69" i="14"/>
  <c r="S125" i="14"/>
  <c r="S95" i="14"/>
  <c r="S86" i="14"/>
  <c r="S70" i="14"/>
  <c r="S87" i="14"/>
  <c r="S93" i="14"/>
  <c r="S104" i="14"/>
  <c r="S121" i="14"/>
  <c r="S117" i="14"/>
  <c r="S79" i="14"/>
  <c r="S112" i="14"/>
  <c r="S81" i="14"/>
  <c r="S63" i="14"/>
  <c r="S114" i="14"/>
  <c r="S120" i="14"/>
  <c r="S115" i="14"/>
  <c r="S60" i="14"/>
  <c r="S128" i="14"/>
  <c r="S119" i="14"/>
  <c r="S103" i="14"/>
  <c r="S88" i="14"/>
  <c r="S54" i="14"/>
  <c r="S75" i="14"/>
  <c r="S82" i="14"/>
  <c r="S68" i="14"/>
  <c r="S59" i="14"/>
  <c r="S108" i="14"/>
  <c r="S113" i="14"/>
  <c r="S57" i="14"/>
  <c r="S53" i="14"/>
  <c r="I14" i="14"/>
  <c r="S10" i="11"/>
  <c r="T10" i="11" s="1"/>
  <c r="S60" i="11"/>
  <c r="S79" i="11"/>
  <c r="S76" i="11"/>
  <c r="S80" i="11"/>
  <c r="S41" i="11"/>
  <c r="S61" i="11"/>
  <c r="S39" i="11"/>
  <c r="S27" i="11"/>
  <c r="S50" i="11"/>
  <c r="S78" i="11"/>
  <c r="S68" i="11"/>
  <c r="S85" i="11"/>
  <c r="S28" i="11"/>
  <c r="S66" i="11"/>
  <c r="S31" i="11"/>
  <c r="S69" i="11"/>
  <c r="S25" i="11"/>
  <c r="S70" i="11"/>
  <c r="S54" i="11"/>
  <c r="S48" i="11"/>
  <c r="S32" i="11"/>
  <c r="S86" i="11"/>
  <c r="S36" i="11"/>
  <c r="S24" i="11"/>
  <c r="S38" i="11"/>
  <c r="S62" i="11"/>
  <c r="S29" i="11"/>
  <c r="S35" i="11"/>
  <c r="S45" i="11"/>
  <c r="S49" i="11"/>
  <c r="S40" i="11"/>
  <c r="S44" i="11"/>
  <c r="S77" i="11"/>
  <c r="S53" i="11"/>
  <c r="S43" i="11"/>
  <c r="S81" i="11"/>
  <c r="S47" i="11"/>
  <c r="S84" i="11"/>
  <c r="S51" i="11"/>
  <c r="S33" i="11"/>
  <c r="S26" i="11"/>
  <c r="S37" i="11"/>
  <c r="S46" i="11"/>
  <c r="S73" i="11"/>
  <c r="S34" i="11"/>
  <c r="S65" i="11"/>
  <c r="S67" i="11"/>
  <c r="S56" i="11"/>
  <c r="S42" i="11"/>
  <c r="S57" i="11"/>
  <c r="S75" i="11"/>
  <c r="S83" i="11"/>
  <c r="S30" i="11"/>
  <c r="S55" i="11"/>
  <c r="S59" i="11"/>
  <c r="S58" i="11"/>
  <c r="S64" i="11"/>
  <c r="S71" i="11"/>
  <c r="S72" i="11"/>
  <c r="S52" i="11"/>
  <c r="S63" i="11"/>
  <c r="S74" i="11"/>
  <c r="S82" i="11"/>
  <c r="H40" i="16"/>
  <c r="S31" i="13"/>
  <c r="T31" i="13" s="1"/>
  <c r="S32" i="13"/>
  <c r="V32" i="13" s="1"/>
  <c r="W32" i="13" s="1"/>
  <c r="S29" i="13"/>
  <c r="T29" i="13" s="1"/>
  <c r="S30" i="13"/>
  <c r="T30" i="13" s="1"/>
  <c r="S28" i="13"/>
  <c r="T28" i="13" s="1"/>
  <c r="G23" i="5"/>
  <c r="T27" i="13"/>
  <c r="V27" i="13"/>
  <c r="W27" i="13" s="1"/>
  <c r="I26" i="15"/>
  <c r="H24" i="10" s="1"/>
  <c r="I23" i="12"/>
  <c r="H21" i="8" s="1"/>
  <c r="I30" i="15"/>
  <c r="H28" i="10" s="1"/>
  <c r="J30" i="13"/>
  <c r="H26" i="9"/>
  <c r="J29" i="13"/>
  <c r="H25" i="9"/>
  <c r="S20" i="11"/>
  <c r="T20" i="11" s="1"/>
  <c r="S23" i="11"/>
  <c r="S13" i="14"/>
  <c r="T13" i="14" s="1"/>
  <c r="V23" i="15"/>
  <c r="W23" i="15" s="1"/>
  <c r="V24" i="15"/>
  <c r="W24" i="15" s="1"/>
  <c r="I27" i="15"/>
  <c r="J27" i="15" s="1"/>
  <c r="I29" i="15"/>
  <c r="H27" i="10" s="1"/>
  <c r="S18" i="14"/>
  <c r="T18" i="14" s="1"/>
  <c r="S11" i="14"/>
  <c r="T11" i="14" s="1"/>
  <c r="S16" i="14"/>
  <c r="T16" i="14" s="1"/>
  <c r="S12" i="14"/>
  <c r="T12" i="14" s="1"/>
  <c r="S19" i="14"/>
  <c r="V19" i="14" s="1"/>
  <c r="W19" i="14" s="1"/>
  <c r="S17" i="14"/>
  <c r="T17" i="14" s="1"/>
  <c r="S10" i="14"/>
  <c r="T10" i="14" s="1"/>
  <c r="S14" i="14"/>
  <c r="T14" i="14" s="1"/>
  <c r="T54" i="4"/>
  <c r="V54" i="4"/>
  <c r="W54" i="4" s="1"/>
  <c r="T58" i="4"/>
  <c r="V58" i="4"/>
  <c r="W58" i="4" s="1"/>
  <c r="T27" i="4"/>
  <c r="V27" i="4"/>
  <c r="W27" i="4" s="1"/>
  <c r="T53" i="4"/>
  <c r="V53" i="4"/>
  <c r="W53" i="4" s="1"/>
  <c r="T64" i="4"/>
  <c r="V64" i="4"/>
  <c r="W64" i="4" s="1"/>
  <c r="T73" i="4"/>
  <c r="V73" i="4"/>
  <c r="W73" i="4" s="1"/>
  <c r="T74" i="4"/>
  <c r="V74" i="4"/>
  <c r="W74" i="4" s="1"/>
  <c r="T48" i="4"/>
  <c r="V48" i="4"/>
  <c r="W48" i="4" s="1"/>
  <c r="V37" i="4"/>
  <c r="W37" i="4" s="1"/>
  <c r="T37" i="4"/>
  <c r="T60" i="4"/>
  <c r="V60" i="4"/>
  <c r="W60" i="4" s="1"/>
  <c r="T55" i="4"/>
  <c r="V55" i="4"/>
  <c r="W55" i="4" s="1"/>
  <c r="V28" i="4"/>
  <c r="W28" i="4" s="1"/>
  <c r="T28" i="4"/>
  <c r="T34" i="4"/>
  <c r="V34" i="4"/>
  <c r="W34" i="4" s="1"/>
  <c r="V66" i="4"/>
  <c r="W66" i="4" s="1"/>
  <c r="T66" i="4"/>
  <c r="T38" i="4"/>
  <c r="V38" i="4"/>
  <c r="W38" i="4" s="1"/>
  <c r="T26" i="4"/>
  <c r="V26" i="4"/>
  <c r="W26" i="4" s="1"/>
  <c r="T71" i="4"/>
  <c r="V71" i="4"/>
  <c r="W71" i="4" s="1"/>
  <c r="T30" i="4"/>
  <c r="V30" i="4"/>
  <c r="W30" i="4" s="1"/>
  <c r="V36" i="4"/>
  <c r="W36" i="4" s="1"/>
  <c r="T36" i="4"/>
  <c r="T61" i="4"/>
  <c r="V61" i="4"/>
  <c r="W61" i="4" s="1"/>
  <c r="T45" i="4"/>
  <c r="V45" i="4"/>
  <c r="W45" i="4" s="1"/>
  <c r="T35" i="4"/>
  <c r="V35" i="4"/>
  <c r="W35" i="4" s="1"/>
  <c r="T56" i="4"/>
  <c r="V56" i="4"/>
  <c r="W56" i="4" s="1"/>
  <c r="T50" i="4"/>
  <c r="V50" i="4"/>
  <c r="W50" i="4" s="1"/>
  <c r="T70" i="4"/>
  <c r="V70" i="4"/>
  <c r="W70" i="4" s="1"/>
  <c r="T68" i="4"/>
  <c r="V68" i="4"/>
  <c r="W68" i="4" s="1"/>
  <c r="T75" i="4"/>
  <c r="V75" i="4"/>
  <c r="W75" i="4" s="1"/>
  <c r="T76" i="4"/>
  <c r="V76" i="4"/>
  <c r="W76" i="4" s="1"/>
  <c r="T42" i="4"/>
  <c r="V42" i="4"/>
  <c r="W42" i="4" s="1"/>
  <c r="V32" i="4"/>
  <c r="W32" i="4" s="1"/>
  <c r="T32" i="4"/>
  <c r="V47" i="4"/>
  <c r="W47" i="4" s="1"/>
  <c r="T47" i="4"/>
  <c r="T62" i="4"/>
  <c r="V62" i="4"/>
  <c r="W62" i="4" s="1"/>
  <c r="T59" i="4"/>
  <c r="V59" i="4"/>
  <c r="W59" i="4" s="1"/>
  <c r="T41" i="4"/>
  <c r="V41" i="4"/>
  <c r="W41" i="4" s="1"/>
  <c r="V33" i="4"/>
  <c r="W33" i="4" s="1"/>
  <c r="T33" i="4"/>
  <c r="T46" i="4"/>
  <c r="V46" i="4"/>
  <c r="W46" i="4" s="1"/>
  <c r="T44" i="4"/>
  <c r="V44" i="4"/>
  <c r="W44" i="4" s="1"/>
  <c r="V63" i="4"/>
  <c r="W63" i="4" s="1"/>
  <c r="T63" i="4"/>
  <c r="T31" i="4"/>
  <c r="V31" i="4"/>
  <c r="W31" i="4" s="1"/>
  <c r="T43" i="4"/>
  <c r="V43" i="4"/>
  <c r="W43" i="4" s="1"/>
  <c r="V69" i="4"/>
  <c r="W69" i="4" s="1"/>
  <c r="T69" i="4"/>
  <c r="T67" i="4"/>
  <c r="V67" i="4"/>
  <c r="W67" i="4" s="1"/>
  <c r="T51" i="4"/>
  <c r="V51" i="4"/>
  <c r="W51" i="4" s="1"/>
  <c r="V49" i="4"/>
  <c r="W49" i="4" s="1"/>
  <c r="T49" i="4"/>
  <c r="T72" i="4"/>
  <c r="V72" i="4"/>
  <c r="W72" i="4" s="1"/>
  <c r="V52" i="4"/>
  <c r="W52" i="4" s="1"/>
  <c r="T52" i="4"/>
  <c r="T40" i="4"/>
  <c r="V40" i="4"/>
  <c r="W40" i="4" s="1"/>
  <c r="T65" i="4"/>
  <c r="V65" i="4"/>
  <c r="W65" i="4" s="1"/>
  <c r="T57" i="4"/>
  <c r="V57" i="4"/>
  <c r="W57" i="4" s="1"/>
  <c r="V29" i="4"/>
  <c r="W29" i="4" s="1"/>
  <c r="T29" i="4"/>
  <c r="T39" i="4"/>
  <c r="V39" i="4"/>
  <c r="W39" i="4" s="1"/>
  <c r="S17" i="11"/>
  <c r="T17" i="11" s="1"/>
  <c r="S21" i="11"/>
  <c r="V21" i="11" s="1"/>
  <c r="W21" i="11" s="1"/>
  <c r="S19" i="11"/>
  <c r="T19" i="11" s="1"/>
  <c r="S11" i="11"/>
  <c r="V11" i="11" s="1"/>
  <c r="W11" i="11" s="1"/>
  <c r="V22" i="15"/>
  <c r="W22" i="15" s="1"/>
  <c r="H22" i="15"/>
  <c r="F20" i="10"/>
  <c r="T33" i="15"/>
  <c r="V33" i="15"/>
  <c r="W33" i="15" s="1"/>
  <c r="T31" i="15"/>
  <c r="V31" i="15"/>
  <c r="W31" i="15" s="1"/>
  <c r="T34" i="15"/>
  <c r="V34" i="15"/>
  <c r="W34" i="15" s="1"/>
  <c r="T32" i="15"/>
  <c r="V32" i="15"/>
  <c r="W32" i="15" s="1"/>
  <c r="V30" i="15"/>
  <c r="W30" i="15" s="1"/>
  <c r="V29" i="15"/>
  <c r="W29" i="15" s="1"/>
  <c r="J29" i="15"/>
  <c r="J28" i="15"/>
  <c r="H26" i="10"/>
  <c r="V28" i="15"/>
  <c r="W28" i="15" s="1"/>
  <c r="V27" i="15"/>
  <c r="W27" i="15" s="1"/>
  <c r="J26" i="15"/>
  <c r="V26" i="15"/>
  <c r="W26" i="15" s="1"/>
  <c r="H23" i="10"/>
  <c r="J25" i="15"/>
  <c r="V25" i="15"/>
  <c r="W25" i="15" s="1"/>
  <c r="G22" i="10"/>
  <c r="G21" i="10"/>
  <c r="I28" i="12"/>
  <c r="G26" i="8"/>
  <c r="S23" i="12"/>
  <c r="T23" i="12" s="1"/>
  <c r="S17" i="12"/>
  <c r="T17" i="12" s="1"/>
  <c r="S19" i="12"/>
  <c r="V19" i="12" s="1"/>
  <c r="W19" i="12" s="1"/>
  <c r="T33" i="13"/>
  <c r="V33" i="13"/>
  <c r="W33" i="13" s="1"/>
  <c r="S10" i="12"/>
  <c r="T10" i="12" s="1"/>
  <c r="S26" i="12"/>
  <c r="T26" i="12" s="1"/>
  <c r="S20" i="12"/>
  <c r="T20" i="12" s="1"/>
  <c r="S24" i="12"/>
  <c r="V24" i="12" s="1"/>
  <c r="W24" i="12" s="1"/>
  <c r="S25" i="12"/>
  <c r="T25" i="12" s="1"/>
  <c r="S18" i="12"/>
  <c r="T18" i="12" s="1"/>
  <c r="S21" i="12"/>
  <c r="T21" i="12" s="1"/>
  <c r="G22" i="5"/>
  <c r="S12" i="12"/>
  <c r="V12" i="12" s="1"/>
  <c r="W12" i="12" s="1"/>
  <c r="J28" i="13"/>
  <c r="V26" i="13"/>
  <c r="W26" i="13" s="1"/>
  <c r="V25" i="13"/>
  <c r="W25" i="13" s="1"/>
  <c r="V22" i="13"/>
  <c r="W22" i="13" s="1"/>
  <c r="T22" i="13"/>
  <c r="V23" i="13"/>
  <c r="W23" i="13" s="1"/>
  <c r="V24" i="13"/>
  <c r="W24" i="13" s="1"/>
  <c r="T14" i="15"/>
  <c r="S22" i="12"/>
  <c r="V22" i="12" s="1"/>
  <c r="W22" i="12" s="1"/>
  <c r="S14" i="12"/>
  <c r="T14" i="12" s="1"/>
  <c r="S27" i="12"/>
  <c r="T27" i="12" s="1"/>
  <c r="T11" i="15"/>
  <c r="S11" i="12"/>
  <c r="T11" i="12" s="1"/>
  <c r="S28" i="12"/>
  <c r="S15" i="12"/>
  <c r="T15" i="12" s="1"/>
  <c r="S13" i="12"/>
  <c r="V13" i="12" s="1"/>
  <c r="W13" i="12" s="1"/>
  <c r="I24" i="12"/>
  <c r="H22" i="8" s="1"/>
  <c r="S16" i="12"/>
  <c r="V16" i="12" s="1"/>
  <c r="W16" i="12" s="1"/>
  <c r="H26" i="12"/>
  <c r="G24" i="8" s="1"/>
  <c r="H27" i="12"/>
  <c r="G25" i="8" s="1"/>
  <c r="J29" i="12"/>
  <c r="I27" i="8" s="1"/>
  <c r="I30" i="12"/>
  <c r="H28" i="8" s="1"/>
  <c r="T14" i="13"/>
  <c r="T20" i="13"/>
  <c r="T21" i="13"/>
  <c r="V16" i="13"/>
  <c r="W16" i="13" s="1"/>
  <c r="T15" i="13"/>
  <c r="T13" i="15"/>
  <c r="V10" i="11"/>
  <c r="W10" i="11" s="1"/>
  <c r="T13" i="13"/>
  <c r="T10" i="15"/>
  <c r="V12" i="13"/>
  <c r="W12" i="13" s="1"/>
  <c r="T15" i="15"/>
  <c r="T18" i="15"/>
  <c r="V23" i="4"/>
  <c r="W23" i="4" s="1"/>
  <c r="T12" i="15"/>
  <c r="T17" i="13"/>
  <c r="T21" i="15"/>
  <c r="V18" i="13"/>
  <c r="W18" i="13" s="1"/>
  <c r="V19" i="13"/>
  <c r="W19" i="13" s="1"/>
  <c r="V11" i="13"/>
  <c r="W11" i="13" s="1"/>
  <c r="T11" i="13"/>
  <c r="V10" i="13"/>
  <c r="W10" i="13" s="1"/>
  <c r="T10" i="13"/>
  <c r="T14" i="11"/>
  <c r="V18" i="11"/>
  <c r="W18" i="11" s="1"/>
  <c r="T18" i="11"/>
  <c r="T12" i="11"/>
  <c r="V12" i="11"/>
  <c r="W12" i="11" s="1"/>
  <c r="T15" i="11"/>
  <c r="V15" i="11"/>
  <c r="W15" i="11" s="1"/>
  <c r="T13" i="11"/>
  <c r="V13" i="11"/>
  <c r="W13" i="11" s="1"/>
  <c r="T22" i="11"/>
  <c r="V22" i="11"/>
  <c r="W22" i="11" s="1"/>
  <c r="T25" i="4"/>
  <c r="V22" i="4"/>
  <c r="W22" i="4" s="1"/>
  <c r="V24" i="4"/>
  <c r="W24" i="4" s="1"/>
  <c r="T20" i="15"/>
  <c r="J25" i="12"/>
  <c r="I23" i="8" s="1"/>
  <c r="T19" i="15"/>
  <c r="T16" i="15"/>
  <c r="T17" i="15"/>
  <c r="H13" i="16"/>
  <c r="F8" i="10"/>
  <c r="D9" i="10"/>
  <c r="R9" i="10" s="1"/>
  <c r="H10" i="14"/>
  <c r="V15" i="14"/>
  <c r="W15" i="14" s="1"/>
  <c r="I13" i="14"/>
  <c r="I12" i="15"/>
  <c r="G10" i="10"/>
  <c r="I11" i="14"/>
  <c r="I21" i="15"/>
  <c r="G19" i="10"/>
  <c r="I17" i="15"/>
  <c r="G15" i="10"/>
  <c r="I15" i="14"/>
  <c r="I16" i="15"/>
  <c r="G14" i="10"/>
  <c r="G16" i="10"/>
  <c r="I18" i="15"/>
  <c r="I13" i="15"/>
  <c r="G11" i="10"/>
  <c r="I14" i="15"/>
  <c r="G12" i="10"/>
  <c r="I17" i="14"/>
  <c r="E13" i="15"/>
  <c r="D10" i="10"/>
  <c r="I10" i="15"/>
  <c r="G8" i="10"/>
  <c r="I15" i="15"/>
  <c r="G13" i="10"/>
  <c r="I18" i="14"/>
  <c r="I19" i="14"/>
  <c r="I19" i="15"/>
  <c r="G17" i="10"/>
  <c r="E13" i="14"/>
  <c r="I11" i="15"/>
  <c r="G9" i="10"/>
  <c r="I20" i="15"/>
  <c r="G18" i="10"/>
  <c r="I12" i="14"/>
  <c r="I16" i="14"/>
  <c r="H25" i="10" l="1"/>
  <c r="R10" i="10"/>
  <c r="T32" i="13"/>
  <c r="T16" i="11"/>
  <c r="T53" i="14"/>
  <c r="V53" i="14"/>
  <c r="W53" i="14" s="1"/>
  <c r="V75" i="14"/>
  <c r="W75" i="14" s="1"/>
  <c r="T75" i="14"/>
  <c r="T103" i="14"/>
  <c r="V103" i="14"/>
  <c r="W103" i="14" s="1"/>
  <c r="T115" i="14"/>
  <c r="V115" i="14"/>
  <c r="W115" i="14" s="1"/>
  <c r="T81" i="14"/>
  <c r="V81" i="14"/>
  <c r="W81" i="14" s="1"/>
  <c r="T117" i="14"/>
  <c r="V117" i="14"/>
  <c r="W117" i="14" s="1"/>
  <c r="T87" i="14"/>
  <c r="V87" i="14"/>
  <c r="W87" i="14" s="1"/>
  <c r="T95" i="14"/>
  <c r="V95" i="14"/>
  <c r="W95" i="14" s="1"/>
  <c r="T72" i="14"/>
  <c r="V72" i="14"/>
  <c r="W72" i="14" s="1"/>
  <c r="T55" i="14"/>
  <c r="V55" i="14"/>
  <c r="W55" i="14" s="1"/>
  <c r="T91" i="14"/>
  <c r="V91" i="14"/>
  <c r="W91" i="14" s="1"/>
  <c r="T98" i="14"/>
  <c r="V98" i="14"/>
  <c r="W98" i="14" s="1"/>
  <c r="T92" i="14"/>
  <c r="V92" i="14"/>
  <c r="W92" i="14" s="1"/>
  <c r="T124" i="14"/>
  <c r="V124" i="14"/>
  <c r="W124" i="14" s="1"/>
  <c r="T96" i="14"/>
  <c r="V96" i="14"/>
  <c r="W96" i="14" s="1"/>
  <c r="T66" i="14"/>
  <c r="V66" i="14"/>
  <c r="W66" i="14" s="1"/>
  <c r="T61" i="14"/>
  <c r="V61" i="14"/>
  <c r="W61" i="14" s="1"/>
  <c r="T78" i="14"/>
  <c r="V78" i="14"/>
  <c r="W78" i="14" s="1"/>
  <c r="T90" i="14"/>
  <c r="V90" i="14"/>
  <c r="W90" i="14" s="1"/>
  <c r="T123" i="14"/>
  <c r="V123" i="14"/>
  <c r="W123" i="14" s="1"/>
  <c r="T57" i="14"/>
  <c r="V57" i="14"/>
  <c r="W57" i="14" s="1"/>
  <c r="V59" i="14"/>
  <c r="W59" i="14" s="1"/>
  <c r="T59" i="14"/>
  <c r="T119" i="14"/>
  <c r="V119" i="14"/>
  <c r="W119" i="14" s="1"/>
  <c r="T120" i="14"/>
  <c r="V120" i="14"/>
  <c r="W120" i="14" s="1"/>
  <c r="T112" i="14"/>
  <c r="V112" i="14"/>
  <c r="W112" i="14" s="1"/>
  <c r="T121" i="14"/>
  <c r="V121" i="14"/>
  <c r="W121" i="14" s="1"/>
  <c r="V125" i="14"/>
  <c r="W125" i="14" s="1"/>
  <c r="T125" i="14"/>
  <c r="T97" i="14"/>
  <c r="V97" i="14"/>
  <c r="W97" i="14" s="1"/>
  <c r="T111" i="14"/>
  <c r="V111" i="14"/>
  <c r="W111" i="14" s="1"/>
  <c r="T62" i="14"/>
  <c r="V62" i="14"/>
  <c r="W62" i="14" s="1"/>
  <c r="T52" i="14"/>
  <c r="V52" i="14"/>
  <c r="W52" i="14" s="1"/>
  <c r="T133" i="14"/>
  <c r="V133" i="14"/>
  <c r="W133" i="14" s="1"/>
  <c r="T80" i="14"/>
  <c r="V80" i="14"/>
  <c r="W80" i="14" s="1"/>
  <c r="T106" i="14"/>
  <c r="V106" i="14"/>
  <c r="W106" i="14" s="1"/>
  <c r="T64" i="14"/>
  <c r="V64" i="14"/>
  <c r="W64" i="14" s="1"/>
  <c r="T58" i="14"/>
  <c r="V58" i="14"/>
  <c r="W58" i="14" s="1"/>
  <c r="T74" i="14"/>
  <c r="V74" i="14"/>
  <c r="W74" i="14" s="1"/>
  <c r="T122" i="14"/>
  <c r="V122" i="14"/>
  <c r="W122" i="14" s="1"/>
  <c r="T71" i="14"/>
  <c r="V71" i="14"/>
  <c r="W71" i="14" s="1"/>
  <c r="T129" i="14"/>
  <c r="V129" i="14"/>
  <c r="W129" i="14" s="1"/>
  <c r="T113" i="14"/>
  <c r="V113" i="14"/>
  <c r="W113" i="14" s="1"/>
  <c r="T68" i="14"/>
  <c r="V68" i="14"/>
  <c r="W68" i="14" s="1"/>
  <c r="T54" i="14"/>
  <c r="V54" i="14"/>
  <c r="W54" i="14" s="1"/>
  <c r="T128" i="14"/>
  <c r="V128" i="14"/>
  <c r="W128" i="14" s="1"/>
  <c r="T114" i="14"/>
  <c r="V114" i="14"/>
  <c r="W114" i="14" s="1"/>
  <c r="T79" i="14"/>
  <c r="V79" i="14"/>
  <c r="W79" i="14" s="1"/>
  <c r="T104" i="14"/>
  <c r="V104" i="14"/>
  <c r="W104" i="14" s="1"/>
  <c r="T70" i="14"/>
  <c r="V70" i="14"/>
  <c r="W70" i="14" s="1"/>
  <c r="T118" i="14"/>
  <c r="V118" i="14"/>
  <c r="W118" i="14" s="1"/>
  <c r="V76" i="14"/>
  <c r="W76" i="14" s="1"/>
  <c r="T76" i="14"/>
  <c r="T73" i="14"/>
  <c r="V73" i="14"/>
  <c r="W73" i="14" s="1"/>
  <c r="T77" i="14"/>
  <c r="V77" i="14"/>
  <c r="W77" i="14" s="1"/>
  <c r="T130" i="14"/>
  <c r="V130" i="14"/>
  <c r="W130" i="14" s="1"/>
  <c r="T105" i="14"/>
  <c r="V105" i="14"/>
  <c r="W105" i="14" s="1"/>
  <c r="T99" i="14"/>
  <c r="V99" i="14"/>
  <c r="W99" i="14" s="1"/>
  <c r="T83" i="14"/>
  <c r="V83" i="14"/>
  <c r="W83" i="14" s="1"/>
  <c r="T84" i="14"/>
  <c r="V84" i="14"/>
  <c r="W84" i="14" s="1"/>
  <c r="T100" i="14"/>
  <c r="V100" i="14"/>
  <c r="W100" i="14" s="1"/>
  <c r="T132" i="14"/>
  <c r="V132" i="14"/>
  <c r="W132" i="14" s="1"/>
  <c r="T127" i="14"/>
  <c r="V127" i="14"/>
  <c r="W127" i="14" s="1"/>
  <c r="T94" i="14"/>
  <c r="V94" i="14"/>
  <c r="W94" i="14" s="1"/>
  <c r="T56" i="14"/>
  <c r="V56" i="14"/>
  <c r="W56" i="14" s="1"/>
  <c r="T108" i="14"/>
  <c r="V108" i="14"/>
  <c r="W108" i="14" s="1"/>
  <c r="T82" i="14"/>
  <c r="V82" i="14"/>
  <c r="W82" i="14" s="1"/>
  <c r="T88" i="14"/>
  <c r="V88" i="14"/>
  <c r="W88" i="14" s="1"/>
  <c r="T60" i="14"/>
  <c r="V60" i="14"/>
  <c r="W60" i="14" s="1"/>
  <c r="T63" i="14"/>
  <c r="V63" i="14"/>
  <c r="W63" i="14" s="1"/>
  <c r="T93" i="14"/>
  <c r="V93" i="14"/>
  <c r="W93" i="14" s="1"/>
  <c r="T86" i="14"/>
  <c r="V86" i="14"/>
  <c r="W86" i="14" s="1"/>
  <c r="T69" i="14"/>
  <c r="V69" i="14"/>
  <c r="W69" i="14" s="1"/>
  <c r="T131" i="14"/>
  <c r="V131" i="14"/>
  <c r="W131" i="14" s="1"/>
  <c r="T126" i="14"/>
  <c r="V126" i="14"/>
  <c r="W126" i="14" s="1"/>
  <c r="T109" i="14"/>
  <c r="V109" i="14"/>
  <c r="W109" i="14" s="1"/>
  <c r="T65" i="14"/>
  <c r="V65" i="14"/>
  <c r="W65" i="14" s="1"/>
  <c r="T101" i="14"/>
  <c r="V101" i="14"/>
  <c r="W101" i="14" s="1"/>
  <c r="T89" i="14"/>
  <c r="V89" i="14"/>
  <c r="W89" i="14" s="1"/>
  <c r="T110" i="14"/>
  <c r="V110" i="14"/>
  <c r="W110" i="14" s="1"/>
  <c r="T67" i="14"/>
  <c r="V67" i="14"/>
  <c r="W67" i="14" s="1"/>
  <c r="T85" i="14"/>
  <c r="V85" i="14"/>
  <c r="W85" i="14" s="1"/>
  <c r="T102" i="14"/>
  <c r="V102" i="14"/>
  <c r="W102" i="14" s="1"/>
  <c r="T107" i="14"/>
  <c r="V107" i="14"/>
  <c r="W107" i="14" s="1"/>
  <c r="T116" i="14"/>
  <c r="V116" i="14"/>
  <c r="W116" i="14" s="1"/>
  <c r="J23" i="12"/>
  <c r="I21" i="8" s="1"/>
  <c r="T74" i="11"/>
  <c r="V74" i="11"/>
  <c r="W74" i="11" s="1"/>
  <c r="T71" i="11"/>
  <c r="V71" i="11"/>
  <c r="W71" i="11" s="1"/>
  <c r="T55" i="11"/>
  <c r="V55" i="11"/>
  <c r="W55" i="11" s="1"/>
  <c r="T57" i="11"/>
  <c r="V57" i="11"/>
  <c r="W57" i="11" s="1"/>
  <c r="T65" i="11"/>
  <c r="V65" i="11"/>
  <c r="W65" i="11" s="1"/>
  <c r="V37" i="11"/>
  <c r="W37" i="11" s="1"/>
  <c r="T37" i="11"/>
  <c r="T84" i="11"/>
  <c r="V84" i="11"/>
  <c r="W84" i="11" s="1"/>
  <c r="T53" i="11"/>
  <c r="V53" i="11"/>
  <c r="W53" i="11" s="1"/>
  <c r="T40" i="11"/>
  <c r="V40" i="11"/>
  <c r="W40" i="11" s="1"/>
  <c r="T29" i="11"/>
  <c r="V29" i="11"/>
  <c r="W29" i="11" s="1"/>
  <c r="T36" i="11"/>
  <c r="V36" i="11"/>
  <c r="W36" i="11" s="1"/>
  <c r="V54" i="11"/>
  <c r="W54" i="11" s="1"/>
  <c r="T54" i="11"/>
  <c r="T31" i="11"/>
  <c r="V31" i="11"/>
  <c r="W31" i="11" s="1"/>
  <c r="T68" i="11"/>
  <c r="V68" i="11"/>
  <c r="W68" i="11" s="1"/>
  <c r="T39" i="11"/>
  <c r="V39" i="11"/>
  <c r="W39" i="11" s="1"/>
  <c r="T76" i="11"/>
  <c r="V76" i="11"/>
  <c r="W76" i="11" s="1"/>
  <c r="T63" i="11"/>
  <c r="V63" i="11"/>
  <c r="W63" i="11" s="1"/>
  <c r="T64" i="11"/>
  <c r="V64" i="11"/>
  <c r="W64" i="11" s="1"/>
  <c r="V30" i="11"/>
  <c r="W30" i="11" s="1"/>
  <c r="T30" i="11"/>
  <c r="T42" i="11"/>
  <c r="V42" i="11"/>
  <c r="W42" i="11" s="1"/>
  <c r="T34" i="11"/>
  <c r="V34" i="11"/>
  <c r="W34" i="11" s="1"/>
  <c r="T26" i="11"/>
  <c r="V26" i="11"/>
  <c r="W26" i="11" s="1"/>
  <c r="T47" i="11"/>
  <c r="V47" i="11"/>
  <c r="W47" i="11" s="1"/>
  <c r="V77" i="11"/>
  <c r="W77" i="11" s="1"/>
  <c r="T77" i="11"/>
  <c r="T49" i="11"/>
  <c r="V49" i="11"/>
  <c r="W49" i="11" s="1"/>
  <c r="V62" i="11"/>
  <c r="W62" i="11" s="1"/>
  <c r="T62" i="11"/>
  <c r="V86" i="11"/>
  <c r="W86" i="11" s="1"/>
  <c r="T86" i="11"/>
  <c r="T70" i="11"/>
  <c r="V70" i="11"/>
  <c r="W70" i="11" s="1"/>
  <c r="T66" i="11"/>
  <c r="V66" i="11"/>
  <c r="W66" i="11" s="1"/>
  <c r="T78" i="11"/>
  <c r="V78" i="11"/>
  <c r="W78" i="11" s="1"/>
  <c r="T61" i="11"/>
  <c r="V61" i="11"/>
  <c r="W61" i="11" s="1"/>
  <c r="V79" i="11"/>
  <c r="W79" i="11" s="1"/>
  <c r="T79" i="11"/>
  <c r="T52" i="11"/>
  <c r="V52" i="11"/>
  <c r="W52" i="11" s="1"/>
  <c r="T58" i="11"/>
  <c r="V58" i="11"/>
  <c r="W58" i="11" s="1"/>
  <c r="T83" i="11"/>
  <c r="V83" i="11"/>
  <c r="W83" i="11" s="1"/>
  <c r="T56" i="11"/>
  <c r="V56" i="11"/>
  <c r="W56" i="11" s="1"/>
  <c r="T73" i="11"/>
  <c r="V73" i="11"/>
  <c r="W73" i="11" s="1"/>
  <c r="V33" i="11"/>
  <c r="W33" i="11" s="1"/>
  <c r="T33" i="11"/>
  <c r="T81" i="11"/>
  <c r="V81" i="11"/>
  <c r="W81" i="11" s="1"/>
  <c r="T44" i="11"/>
  <c r="V44" i="11"/>
  <c r="W44" i="11" s="1"/>
  <c r="T45" i="11"/>
  <c r="V45" i="11"/>
  <c r="W45" i="11" s="1"/>
  <c r="T38" i="11"/>
  <c r="V38" i="11"/>
  <c r="W38" i="11" s="1"/>
  <c r="T32" i="11"/>
  <c r="V32" i="11"/>
  <c r="W32" i="11" s="1"/>
  <c r="T25" i="11"/>
  <c r="V25" i="11"/>
  <c r="W25" i="11" s="1"/>
  <c r="T28" i="11"/>
  <c r="V28" i="11"/>
  <c r="W28" i="11" s="1"/>
  <c r="T50" i="11"/>
  <c r="V50" i="11"/>
  <c r="W50" i="11" s="1"/>
  <c r="V41" i="11"/>
  <c r="W41" i="11" s="1"/>
  <c r="T41" i="11"/>
  <c r="T60" i="11"/>
  <c r="V60" i="11"/>
  <c r="W60" i="11" s="1"/>
  <c r="T82" i="11"/>
  <c r="V82" i="11"/>
  <c r="W82" i="11" s="1"/>
  <c r="T72" i="11"/>
  <c r="V72" i="11"/>
  <c r="W72" i="11" s="1"/>
  <c r="V59" i="11"/>
  <c r="W59" i="11" s="1"/>
  <c r="T59" i="11"/>
  <c r="T75" i="11"/>
  <c r="V75" i="11"/>
  <c r="W75" i="11" s="1"/>
  <c r="T67" i="11"/>
  <c r="V67" i="11"/>
  <c r="W67" i="11" s="1"/>
  <c r="T46" i="11"/>
  <c r="V46" i="11"/>
  <c r="W46" i="11" s="1"/>
  <c r="T51" i="11"/>
  <c r="V51" i="11"/>
  <c r="W51" i="11" s="1"/>
  <c r="T43" i="11"/>
  <c r="V43" i="11"/>
  <c r="W43" i="11" s="1"/>
  <c r="T35" i="11"/>
  <c r="V35" i="11"/>
  <c r="W35" i="11" s="1"/>
  <c r="T24" i="11"/>
  <c r="V24" i="11"/>
  <c r="W24" i="11" s="1"/>
  <c r="V48" i="11"/>
  <c r="W48" i="11" s="1"/>
  <c r="T48" i="11"/>
  <c r="T69" i="11"/>
  <c r="V69" i="11"/>
  <c r="W69" i="11" s="1"/>
  <c r="T85" i="11"/>
  <c r="V85" i="11"/>
  <c r="W85" i="11" s="1"/>
  <c r="T27" i="11"/>
  <c r="V27" i="11"/>
  <c r="W27" i="11" s="1"/>
  <c r="T80" i="11"/>
  <c r="V80" i="11"/>
  <c r="W80" i="11" s="1"/>
  <c r="F71" i="16"/>
  <c r="G71" i="16"/>
  <c r="V31" i="13"/>
  <c r="W31" i="13" s="1"/>
  <c r="V29" i="13"/>
  <c r="W29" i="13" s="1"/>
  <c r="J39" i="16"/>
  <c r="V28" i="13"/>
  <c r="W28" i="13" s="1"/>
  <c r="V20" i="11"/>
  <c r="W20" i="11" s="1"/>
  <c r="V30" i="13"/>
  <c r="W30" i="13" s="1"/>
  <c r="H23" i="5"/>
  <c r="V12" i="14"/>
  <c r="W12" i="14" s="1"/>
  <c r="V13" i="14"/>
  <c r="W13" i="14" s="1"/>
  <c r="J30" i="15"/>
  <c r="K30" i="15" s="1"/>
  <c r="K30" i="13"/>
  <c r="I26" i="9"/>
  <c r="K29" i="13"/>
  <c r="I25" i="9"/>
  <c r="T23" i="11"/>
  <c r="V23" i="11"/>
  <c r="W23" i="11" s="1"/>
  <c r="T21" i="11"/>
  <c r="V18" i="14"/>
  <c r="W18" i="14" s="1"/>
  <c r="V17" i="14"/>
  <c r="W17" i="14" s="1"/>
  <c r="V16" i="14"/>
  <c r="W16" i="14" s="1"/>
  <c r="V14" i="14"/>
  <c r="W14" i="14" s="1"/>
  <c r="V10" i="14"/>
  <c r="W10" i="14" s="1"/>
  <c r="V11" i="14"/>
  <c r="W11" i="14" s="1"/>
  <c r="T19" i="14"/>
  <c r="V17" i="11"/>
  <c r="W17" i="11" s="1"/>
  <c r="V19" i="11"/>
  <c r="W19" i="11" s="1"/>
  <c r="T11" i="11"/>
  <c r="I22" i="15"/>
  <c r="G20" i="10"/>
  <c r="V17" i="12"/>
  <c r="W17" i="12" s="1"/>
  <c r="V10" i="12"/>
  <c r="W10" i="12" s="1"/>
  <c r="J12" i="16"/>
  <c r="N12" i="16" s="1"/>
  <c r="O12" i="16" s="1"/>
  <c r="K29" i="15"/>
  <c r="I27" i="10"/>
  <c r="K28" i="15"/>
  <c r="I26" i="10"/>
  <c r="K27" i="15"/>
  <c r="I25" i="10"/>
  <c r="I24" i="10"/>
  <c r="K26" i="15"/>
  <c r="I23" i="10"/>
  <c r="K25" i="15"/>
  <c r="H22" i="10"/>
  <c r="H21" i="10"/>
  <c r="J28" i="12"/>
  <c r="H26" i="8"/>
  <c r="I10" i="14"/>
  <c r="V23" i="12"/>
  <c r="W23" i="12" s="1"/>
  <c r="V21" i="12"/>
  <c r="W21" i="12" s="1"/>
  <c r="T24" i="12"/>
  <c r="V26" i="12"/>
  <c r="W26" i="12" s="1"/>
  <c r="V18" i="12"/>
  <c r="W18" i="12" s="1"/>
  <c r="T19" i="12"/>
  <c r="V20" i="12"/>
  <c r="W20" i="12" s="1"/>
  <c r="T12" i="12"/>
  <c r="V25" i="12"/>
  <c r="W25" i="12" s="1"/>
  <c r="H22" i="5"/>
  <c r="T22" i="12"/>
  <c r="V27" i="12"/>
  <c r="W27" i="12" s="1"/>
  <c r="K28" i="13"/>
  <c r="L28" i="13" s="1"/>
  <c r="M28" i="13" s="1"/>
  <c r="N28" i="13" s="1"/>
  <c r="O28" i="13" s="1"/>
  <c r="P28" i="13" s="1"/>
  <c r="Q28" i="13" s="1"/>
  <c r="R28" i="13" s="1"/>
  <c r="J24" i="12"/>
  <c r="I22" i="8" s="1"/>
  <c r="V14" i="12"/>
  <c r="W14" i="12" s="1"/>
  <c r="V15" i="12"/>
  <c r="W15" i="12" s="1"/>
  <c r="V11" i="12"/>
  <c r="W11" i="12" s="1"/>
  <c r="T28" i="12"/>
  <c r="V28" i="12"/>
  <c r="W28" i="12" s="1"/>
  <c r="T13" i="12"/>
  <c r="T16" i="12"/>
  <c r="J30" i="12"/>
  <c r="I28" i="8" s="1"/>
  <c r="I26" i="12"/>
  <c r="H24" i="8" s="1"/>
  <c r="I27" i="12"/>
  <c r="H25" i="8" s="1"/>
  <c r="K29" i="12"/>
  <c r="J27" i="8" s="1"/>
  <c r="K25" i="12"/>
  <c r="J23" i="8" s="1"/>
  <c r="J16" i="14"/>
  <c r="J20" i="15"/>
  <c r="H18" i="10"/>
  <c r="J19" i="15"/>
  <c r="H17" i="10"/>
  <c r="J10" i="15"/>
  <c r="H8" i="10"/>
  <c r="J14" i="14"/>
  <c r="J18" i="15"/>
  <c r="H16" i="10"/>
  <c r="J11" i="15"/>
  <c r="H9" i="10"/>
  <c r="E14" i="14"/>
  <c r="J15" i="15"/>
  <c r="H13" i="10"/>
  <c r="J14" i="15"/>
  <c r="H12" i="10"/>
  <c r="J17" i="15"/>
  <c r="H15" i="10"/>
  <c r="J11" i="14"/>
  <c r="J19" i="14"/>
  <c r="J12" i="14"/>
  <c r="J18" i="14"/>
  <c r="E14" i="15"/>
  <c r="D11" i="10"/>
  <c r="R11" i="10" s="1"/>
  <c r="J17" i="14"/>
  <c r="J13" i="15"/>
  <c r="H11" i="10"/>
  <c r="J16" i="15"/>
  <c r="H14" i="10"/>
  <c r="J15" i="14"/>
  <c r="J21" i="15"/>
  <c r="H19" i="10"/>
  <c r="J12" i="15"/>
  <c r="H10" i="10"/>
  <c r="J13" i="14"/>
  <c r="I28" i="10" l="1"/>
  <c r="K23" i="12"/>
  <c r="J21" i="8" s="1"/>
  <c r="F72" i="16"/>
  <c r="J37" i="16"/>
  <c r="J35" i="16"/>
  <c r="J36" i="16"/>
  <c r="J38" i="16"/>
  <c r="I23" i="5"/>
  <c r="J25" i="9"/>
  <c r="L29" i="13"/>
  <c r="J26" i="9"/>
  <c r="L30" i="13"/>
  <c r="J11" i="16"/>
  <c r="N11" i="16" s="1"/>
  <c r="O11" i="16" s="1"/>
  <c r="J22" i="15"/>
  <c r="H20" i="10"/>
  <c r="H71" i="16" s="1"/>
  <c r="L30" i="15"/>
  <c r="J28" i="10"/>
  <c r="L29" i="15"/>
  <c r="J27" i="10"/>
  <c r="L28" i="15"/>
  <c r="J26" i="10"/>
  <c r="J25" i="10"/>
  <c r="L27" i="15"/>
  <c r="J24" i="10"/>
  <c r="L26" i="15"/>
  <c r="J23" i="10"/>
  <c r="L25" i="15"/>
  <c r="I22" i="10"/>
  <c r="I21" i="10"/>
  <c r="K28" i="12"/>
  <c r="I26" i="8"/>
  <c r="J10" i="14"/>
  <c r="I22" i="5"/>
  <c r="K24" i="12"/>
  <c r="L29" i="12"/>
  <c r="K27" i="8" s="1"/>
  <c r="J26" i="12"/>
  <c r="I24" i="8" s="1"/>
  <c r="J27" i="12"/>
  <c r="I25" i="8" s="1"/>
  <c r="K30" i="12"/>
  <c r="J28" i="8" s="1"/>
  <c r="L25" i="12"/>
  <c r="K23" i="8" s="1"/>
  <c r="L23" i="12"/>
  <c r="K21" i="8" s="1"/>
  <c r="K15" i="14"/>
  <c r="K19" i="14"/>
  <c r="K11" i="14"/>
  <c r="K14" i="15"/>
  <c r="I12" i="10"/>
  <c r="K15" i="15"/>
  <c r="I13" i="10"/>
  <c r="E15" i="14"/>
  <c r="K11" i="15"/>
  <c r="I9" i="10"/>
  <c r="K18" i="15"/>
  <c r="I16" i="10"/>
  <c r="K20" i="15"/>
  <c r="I18" i="10"/>
  <c r="K16" i="14"/>
  <c r="K13" i="14"/>
  <c r="K21" i="15"/>
  <c r="I19" i="10"/>
  <c r="K16" i="15"/>
  <c r="I14" i="10"/>
  <c r="K13" i="15"/>
  <c r="I11" i="10"/>
  <c r="E15" i="15"/>
  <c r="D12" i="10"/>
  <c r="R12" i="10" s="1"/>
  <c r="K18" i="14"/>
  <c r="K17" i="15"/>
  <c r="I15" i="10"/>
  <c r="K14" i="14"/>
  <c r="K10" i="15"/>
  <c r="I8" i="10"/>
  <c r="K19" i="15"/>
  <c r="I17" i="10"/>
  <c r="K12" i="15"/>
  <c r="I10" i="10"/>
  <c r="K17" i="14"/>
  <c r="K12" i="14"/>
  <c r="I71" i="16" l="1"/>
  <c r="H72" i="16" s="1"/>
  <c r="J23" i="5"/>
  <c r="M29" i="13"/>
  <c r="K25" i="9"/>
  <c r="M30" i="13"/>
  <c r="K26" i="9"/>
  <c r="K10" i="14"/>
  <c r="K22" i="15"/>
  <c r="I20" i="10"/>
  <c r="J71" i="16" s="1"/>
  <c r="M30" i="15"/>
  <c r="K28" i="10"/>
  <c r="M29" i="15"/>
  <c r="K27" i="10"/>
  <c r="M28" i="15"/>
  <c r="K26" i="10"/>
  <c r="K25" i="10"/>
  <c r="M27" i="15"/>
  <c r="M26" i="15"/>
  <c r="K24" i="10"/>
  <c r="M25" i="15"/>
  <c r="K23" i="10"/>
  <c r="J22" i="10"/>
  <c r="J21" i="10"/>
  <c r="L24" i="12"/>
  <c r="K22" i="8" s="1"/>
  <c r="J22" i="8"/>
  <c r="L28" i="12"/>
  <c r="J26" i="8"/>
  <c r="J22" i="5"/>
  <c r="L30" i="12"/>
  <c r="K28" i="8" s="1"/>
  <c r="K26" i="12"/>
  <c r="J24" i="8" s="1"/>
  <c r="K27" i="12"/>
  <c r="J25" i="8" s="1"/>
  <c r="M29" i="12"/>
  <c r="L27" i="8" s="1"/>
  <c r="M25" i="12"/>
  <c r="M23" i="12"/>
  <c r="L17" i="14"/>
  <c r="L10" i="15"/>
  <c r="J8" i="10"/>
  <c r="L18" i="14"/>
  <c r="L21" i="15"/>
  <c r="J19" i="10"/>
  <c r="L20" i="15"/>
  <c r="J18" i="10"/>
  <c r="L18" i="15"/>
  <c r="J16" i="10"/>
  <c r="L11" i="15"/>
  <c r="J9" i="10"/>
  <c r="L15" i="15"/>
  <c r="J13" i="10"/>
  <c r="L11" i="14"/>
  <c r="L19" i="14"/>
  <c r="E16" i="15"/>
  <c r="D13" i="10"/>
  <c r="R13" i="10" s="1"/>
  <c r="L19" i="15"/>
  <c r="J17" i="10"/>
  <c r="L14" i="14"/>
  <c r="L17" i="15"/>
  <c r="J15" i="10"/>
  <c r="L16" i="15"/>
  <c r="J14" i="10"/>
  <c r="L13" i="14"/>
  <c r="L16" i="14"/>
  <c r="E16" i="14"/>
  <c r="L14" i="15"/>
  <c r="J12" i="10"/>
  <c r="L15" i="14"/>
  <c r="L12" i="14"/>
  <c r="L12" i="15"/>
  <c r="J10" i="10"/>
  <c r="L13" i="15"/>
  <c r="J11" i="10"/>
  <c r="L10" i="14" l="1"/>
  <c r="K71" i="16"/>
  <c r="J72" i="16" s="1"/>
  <c r="K23" i="5"/>
  <c r="M24" i="12"/>
  <c r="L22" i="8" s="1"/>
  <c r="N30" i="13"/>
  <c r="L26" i="9"/>
  <c r="N29" i="13"/>
  <c r="L25" i="9"/>
  <c r="L22" i="15"/>
  <c r="J20" i="10"/>
  <c r="M71" i="16" s="1"/>
  <c r="N30" i="15"/>
  <c r="L28" i="10"/>
  <c r="N29" i="15"/>
  <c r="L27" i="10"/>
  <c r="N28" i="15"/>
  <c r="L26" i="10"/>
  <c r="N27" i="15"/>
  <c r="L25" i="10"/>
  <c r="N26" i="15"/>
  <c r="L24" i="10"/>
  <c r="N25" i="15"/>
  <c r="L23" i="10"/>
  <c r="K22" i="10"/>
  <c r="K21" i="10"/>
  <c r="N23" i="12"/>
  <c r="M21" i="8" s="1"/>
  <c r="L21" i="8"/>
  <c r="M28" i="12"/>
  <c r="K26" i="8"/>
  <c r="N25" i="12"/>
  <c r="M23" i="8" s="1"/>
  <c r="L23" i="8"/>
  <c r="K22" i="5"/>
  <c r="L27" i="12"/>
  <c r="K25" i="8" s="1"/>
  <c r="M30" i="12"/>
  <c r="L28" i="8" s="1"/>
  <c r="N29" i="12"/>
  <c r="M27" i="8" s="1"/>
  <c r="L26" i="12"/>
  <c r="K24" i="8" s="1"/>
  <c r="M12" i="14"/>
  <c r="N12" i="14" s="1"/>
  <c r="M14" i="15"/>
  <c r="K12" i="10"/>
  <c r="E17" i="14"/>
  <c r="M16" i="14"/>
  <c r="M16" i="15"/>
  <c r="K14" i="10"/>
  <c r="M19" i="15"/>
  <c r="K17" i="10"/>
  <c r="M15" i="15"/>
  <c r="K13" i="10"/>
  <c r="M18" i="15"/>
  <c r="K16" i="10"/>
  <c r="M20" i="15"/>
  <c r="K18" i="10"/>
  <c r="M21" i="15"/>
  <c r="K19" i="10"/>
  <c r="M10" i="14"/>
  <c r="N10" i="14" s="1"/>
  <c r="M10" i="15"/>
  <c r="K8" i="10"/>
  <c r="M17" i="14"/>
  <c r="M13" i="14"/>
  <c r="N13" i="14" s="1"/>
  <c r="M13" i="15"/>
  <c r="K11" i="10"/>
  <c r="M12" i="15"/>
  <c r="K10" i="10"/>
  <c r="M15" i="14"/>
  <c r="M17" i="15"/>
  <c r="K15" i="10"/>
  <c r="M14" i="14"/>
  <c r="E17" i="15"/>
  <c r="D14" i="10"/>
  <c r="R14" i="10" s="1"/>
  <c r="M19" i="14"/>
  <c r="M11" i="14"/>
  <c r="N11" i="14" s="1"/>
  <c r="M11" i="15"/>
  <c r="K9" i="10"/>
  <c r="M18" i="14"/>
  <c r="N17" i="14" l="1"/>
  <c r="N16" i="14"/>
  <c r="N19" i="14"/>
  <c r="N14" i="14"/>
  <c r="N15" i="14"/>
  <c r="N18" i="14"/>
  <c r="N24" i="12"/>
  <c r="M22" i="8" s="1"/>
  <c r="L71" i="16"/>
  <c r="L72" i="16" s="1"/>
  <c r="O30" i="13"/>
  <c r="M26" i="9"/>
  <c r="O29" i="13"/>
  <c r="M25" i="9"/>
  <c r="M22" i="15"/>
  <c r="K20" i="10"/>
  <c r="O71" i="16" s="1"/>
  <c r="O30" i="15"/>
  <c r="M28" i="10"/>
  <c r="O29" i="15"/>
  <c r="M27" i="10"/>
  <c r="O28" i="15"/>
  <c r="M26" i="10"/>
  <c r="O27" i="15"/>
  <c r="M25" i="10"/>
  <c r="O26" i="15"/>
  <c r="M24" i="10"/>
  <c r="M23" i="10"/>
  <c r="O25" i="15"/>
  <c r="L22" i="10"/>
  <c r="L21" i="10"/>
  <c r="L26" i="8"/>
  <c r="N28" i="12"/>
  <c r="M26" i="12"/>
  <c r="N30" i="12"/>
  <c r="M28" i="8" s="1"/>
  <c r="O29" i="12"/>
  <c r="N27" i="8" s="1"/>
  <c r="M27" i="12"/>
  <c r="O25" i="12"/>
  <c r="N23" i="8" s="1"/>
  <c r="O23" i="12"/>
  <c r="N21" i="8" s="1"/>
  <c r="N11" i="15"/>
  <c r="L9" i="10"/>
  <c r="N13" i="15"/>
  <c r="L11" i="10"/>
  <c r="N10" i="15"/>
  <c r="L8" i="10"/>
  <c r="N18" i="15"/>
  <c r="L16" i="10"/>
  <c r="N16" i="15"/>
  <c r="L14" i="10"/>
  <c r="N14" i="15"/>
  <c r="L12" i="10"/>
  <c r="E18" i="15"/>
  <c r="D15" i="10"/>
  <c r="R15" i="10" s="1"/>
  <c r="N17" i="15"/>
  <c r="L15" i="10"/>
  <c r="N12" i="15"/>
  <c r="L10" i="10"/>
  <c r="N21" i="15"/>
  <c r="L19" i="10"/>
  <c r="N20" i="15"/>
  <c r="L18" i="10"/>
  <c r="N15" i="15"/>
  <c r="L13" i="10"/>
  <c r="N19" i="15"/>
  <c r="L17" i="10"/>
  <c r="E18" i="14"/>
  <c r="O24" i="12" l="1"/>
  <c r="N22" i="8" s="1"/>
  <c r="M22" i="5"/>
  <c r="L22" i="5"/>
  <c r="M23" i="5"/>
  <c r="L23" i="5"/>
  <c r="N71" i="16"/>
  <c r="N72" i="16" s="1"/>
  <c r="P29" i="13"/>
  <c r="N25" i="9"/>
  <c r="P30" i="13"/>
  <c r="N26" i="9"/>
  <c r="N22" i="15"/>
  <c r="L20" i="10"/>
  <c r="P71" i="16" s="1"/>
  <c r="P30" i="15"/>
  <c r="N28" i="10"/>
  <c r="P29" i="15"/>
  <c r="N27" i="10"/>
  <c r="P28" i="15"/>
  <c r="N26" i="10"/>
  <c r="N25" i="10"/>
  <c r="P27" i="15"/>
  <c r="P26" i="15"/>
  <c r="N24" i="10"/>
  <c r="P25" i="15"/>
  <c r="N23" i="10"/>
  <c r="M22" i="10"/>
  <c r="M21" i="10"/>
  <c r="N26" i="12"/>
  <c r="M24" i="8" s="1"/>
  <c r="L24" i="8"/>
  <c r="M26" i="8"/>
  <c r="O28" i="12"/>
  <c r="N27" i="12"/>
  <c r="M25" i="8" s="1"/>
  <c r="L25" i="8"/>
  <c r="O19" i="14"/>
  <c r="O18" i="14"/>
  <c r="O17" i="14"/>
  <c r="O16" i="14"/>
  <c r="O15" i="14"/>
  <c r="O14" i="14"/>
  <c r="O13" i="14"/>
  <c r="O12" i="14"/>
  <c r="O11" i="14"/>
  <c r="O10" i="14"/>
  <c r="O30" i="12"/>
  <c r="N28" i="8" s="1"/>
  <c r="P29" i="12"/>
  <c r="O27" i="8" s="1"/>
  <c r="P25" i="12"/>
  <c r="O23" i="8" s="1"/>
  <c r="P24" i="12"/>
  <c r="O22" i="8" s="1"/>
  <c r="P23" i="12"/>
  <c r="O21" i="8" s="1"/>
  <c r="O20" i="15"/>
  <c r="M18" i="10"/>
  <c r="O12" i="15"/>
  <c r="M10" i="10"/>
  <c r="O17" i="15"/>
  <c r="M15" i="10"/>
  <c r="E19" i="15"/>
  <c r="D16" i="10"/>
  <c r="R16" i="10" s="1"/>
  <c r="O18" i="15"/>
  <c r="M16" i="10"/>
  <c r="O10" i="15"/>
  <c r="M8" i="10"/>
  <c r="O13" i="15"/>
  <c r="M11" i="10"/>
  <c r="O11" i="15"/>
  <c r="M9" i="10"/>
  <c r="O15" i="15"/>
  <c r="M13" i="10"/>
  <c r="E19" i="14"/>
  <c r="R9" i="5"/>
  <c r="O19" i="15"/>
  <c r="M17" i="10"/>
  <c r="O21" i="15"/>
  <c r="M19" i="10"/>
  <c r="O14" i="15"/>
  <c r="M12" i="10"/>
  <c r="O16" i="15"/>
  <c r="M14" i="10"/>
  <c r="Q71" i="16" l="1"/>
  <c r="P72" i="16" s="1"/>
  <c r="N23" i="5"/>
  <c r="Q29" i="13"/>
  <c r="O25" i="9"/>
  <c r="Q30" i="13"/>
  <c r="O26" i="9"/>
  <c r="O22" i="15"/>
  <c r="M20" i="10"/>
  <c r="S71" i="16" s="1"/>
  <c r="Q30" i="15"/>
  <c r="O28" i="10"/>
  <c r="Q29" i="15"/>
  <c r="O27" i="10"/>
  <c r="Q28" i="15"/>
  <c r="O26" i="10"/>
  <c r="O25" i="10"/>
  <c r="Q27" i="15"/>
  <c r="Q26" i="15"/>
  <c r="O24" i="10"/>
  <c r="Q25" i="15"/>
  <c r="O23" i="10"/>
  <c r="N22" i="10"/>
  <c r="N21" i="10"/>
  <c r="N22" i="5"/>
  <c r="N26" i="8"/>
  <c r="P28" i="12"/>
  <c r="O26" i="12"/>
  <c r="N24" i="8" s="1"/>
  <c r="P30" i="12"/>
  <c r="O28" i="8" s="1"/>
  <c r="Q29" i="12"/>
  <c r="P27" i="8" s="1"/>
  <c r="O27" i="12"/>
  <c r="N25" i="8" s="1"/>
  <c r="Q25" i="12"/>
  <c r="P23" i="8" s="1"/>
  <c r="Q23" i="12"/>
  <c r="P21" i="8" s="1"/>
  <c r="Q24" i="12"/>
  <c r="P22" i="8" s="1"/>
  <c r="P16" i="14"/>
  <c r="P15" i="14"/>
  <c r="P14" i="15"/>
  <c r="N12" i="10"/>
  <c r="P12" i="14"/>
  <c r="P11" i="15"/>
  <c r="N9" i="10"/>
  <c r="P10" i="15"/>
  <c r="N8" i="10"/>
  <c r="P18" i="15"/>
  <c r="N16" i="10"/>
  <c r="E20" i="15"/>
  <c r="D17" i="10"/>
  <c r="R17" i="10" s="1"/>
  <c r="P12" i="15"/>
  <c r="N10" i="10"/>
  <c r="P10" i="14"/>
  <c r="P16" i="15"/>
  <c r="N14" i="10"/>
  <c r="P13" i="14"/>
  <c r="P21" i="15"/>
  <c r="N19" i="10"/>
  <c r="P19" i="15"/>
  <c r="N17" i="10"/>
  <c r="P14" i="14"/>
  <c r="P15" i="15"/>
  <c r="N13" i="10"/>
  <c r="P18" i="14"/>
  <c r="P13" i="15"/>
  <c r="N11" i="10"/>
  <c r="P19" i="14"/>
  <c r="P17" i="15"/>
  <c r="N15" i="10"/>
  <c r="P17" i="14"/>
  <c r="P20" i="15"/>
  <c r="N18" i="10"/>
  <c r="P11" i="14"/>
  <c r="R71" i="16" l="1"/>
  <c r="R72" i="16" s="1"/>
  <c r="O23" i="5"/>
  <c r="R29" i="13"/>
  <c r="Q25" i="9" s="1"/>
  <c r="P25" i="9"/>
  <c r="R30" i="13"/>
  <c r="Q26" i="9" s="1"/>
  <c r="P26" i="9"/>
  <c r="P22" i="15"/>
  <c r="N20" i="10"/>
  <c r="T71" i="16" s="1"/>
  <c r="R30" i="15"/>
  <c r="Q28" i="10" s="1"/>
  <c r="P28" i="10"/>
  <c r="R29" i="15"/>
  <c r="Q27" i="10" s="1"/>
  <c r="P27" i="10"/>
  <c r="R28" i="15"/>
  <c r="Q26" i="10" s="1"/>
  <c r="P26" i="10"/>
  <c r="R27" i="15"/>
  <c r="Q25" i="10" s="1"/>
  <c r="P25" i="10"/>
  <c r="R26" i="15"/>
  <c r="Q24" i="10" s="1"/>
  <c r="P24" i="10"/>
  <c r="R25" i="15"/>
  <c r="Q23" i="10" s="1"/>
  <c r="P23" i="10"/>
  <c r="O22" i="10"/>
  <c r="O21" i="10"/>
  <c r="O26" i="8"/>
  <c r="Q28" i="12"/>
  <c r="O22" i="5"/>
  <c r="P27" i="12"/>
  <c r="O25" i="8" s="1"/>
  <c r="Q30" i="12"/>
  <c r="P28" i="8" s="1"/>
  <c r="R29" i="12"/>
  <c r="Q27" i="8" s="1"/>
  <c r="P26" i="12"/>
  <c r="O24" i="8" s="1"/>
  <c r="R25" i="12"/>
  <c r="Q23" i="8" s="1"/>
  <c r="R23" i="12"/>
  <c r="Q21" i="8" s="1"/>
  <c r="R24" i="12"/>
  <c r="Q22" i="8" s="1"/>
  <c r="Q17" i="14"/>
  <c r="Q13" i="15"/>
  <c r="O11" i="10"/>
  <c r="Q14" i="14"/>
  <c r="Q19" i="15"/>
  <c r="O17" i="10"/>
  <c r="Q13" i="14"/>
  <c r="Q10" i="14"/>
  <c r="E21" i="15"/>
  <c r="E22" i="15" s="1"/>
  <c r="E23" i="15" s="1"/>
  <c r="E24" i="15" s="1"/>
  <c r="E25" i="15" s="1"/>
  <c r="E26" i="15" s="1"/>
  <c r="E27" i="15" s="1"/>
  <c r="E28" i="15" s="1"/>
  <c r="D18" i="10"/>
  <c r="R18" i="10" s="1"/>
  <c r="Q10" i="15"/>
  <c r="O8" i="10"/>
  <c r="R15" i="5"/>
  <c r="Q16" i="14"/>
  <c r="Q16" i="15"/>
  <c r="O14" i="10"/>
  <c r="Q20" i="15"/>
  <c r="O18" i="10"/>
  <c r="Q17" i="15"/>
  <c r="O15" i="10"/>
  <c r="Q18" i="14"/>
  <c r="Q15" i="15"/>
  <c r="O13" i="10"/>
  <c r="Q21" i="15"/>
  <c r="O19" i="10"/>
  <c r="Q12" i="15"/>
  <c r="O10" i="10"/>
  <c r="Q18" i="15"/>
  <c r="O16" i="10"/>
  <c r="Q11" i="15"/>
  <c r="O9" i="10"/>
  <c r="Q12" i="14"/>
  <c r="Q14" i="15"/>
  <c r="O12" i="10"/>
  <c r="Q15" i="14"/>
  <c r="Q11" i="14"/>
  <c r="Q19" i="14"/>
  <c r="U71" i="16" l="1"/>
  <c r="T72" i="16" s="1"/>
  <c r="P23" i="5"/>
  <c r="E29" i="15"/>
  <c r="D26" i="10"/>
  <c r="Q22" i="15"/>
  <c r="O20" i="10"/>
  <c r="W71" i="16" s="1"/>
  <c r="Q22" i="10"/>
  <c r="P22" i="10"/>
  <c r="Q21" i="10"/>
  <c r="P21" i="10"/>
  <c r="P26" i="8"/>
  <c r="R28" i="12"/>
  <c r="Q26" i="8" s="1"/>
  <c r="P22" i="5"/>
  <c r="Q26" i="12"/>
  <c r="P24" i="8" s="1"/>
  <c r="R30" i="12"/>
  <c r="Q28" i="8" s="1"/>
  <c r="Q27" i="12"/>
  <c r="P25" i="8" s="1"/>
  <c r="J9" i="16"/>
  <c r="N9" i="16" s="1"/>
  <c r="O9" i="16" s="1"/>
  <c r="R11" i="14"/>
  <c r="R15" i="14"/>
  <c r="R14" i="15"/>
  <c r="P12" i="10"/>
  <c r="R12" i="15"/>
  <c r="P10" i="10"/>
  <c r="R21" i="15"/>
  <c r="P19" i="10"/>
  <c r="R15" i="15"/>
  <c r="P13" i="10"/>
  <c r="R17" i="15"/>
  <c r="P15" i="10"/>
  <c r="R16" i="14"/>
  <c r="D19" i="10"/>
  <c r="R19" i="10" s="1"/>
  <c r="R13" i="14"/>
  <c r="R14" i="14"/>
  <c r="R17" i="14"/>
  <c r="R11" i="15"/>
  <c r="P9" i="10"/>
  <c r="R19" i="14"/>
  <c r="R12" i="14"/>
  <c r="R18" i="15"/>
  <c r="P16" i="10"/>
  <c r="R18" i="14"/>
  <c r="R20" i="15"/>
  <c r="P18" i="10"/>
  <c r="R16" i="15"/>
  <c r="P14" i="10"/>
  <c r="R16" i="5"/>
  <c r="R10" i="15"/>
  <c r="P8" i="10"/>
  <c r="R10" i="14"/>
  <c r="R19" i="15"/>
  <c r="P17" i="10"/>
  <c r="R13" i="15"/>
  <c r="P11" i="10"/>
  <c r="V71" i="16" l="1"/>
  <c r="V72" i="16" s="1"/>
  <c r="Q23" i="5"/>
  <c r="R22" i="15"/>
  <c r="Q20" i="10" s="1"/>
  <c r="P20" i="10"/>
  <c r="X71" i="16" s="1"/>
  <c r="D27" i="10"/>
  <c r="R27" i="10" s="1"/>
  <c r="E30" i="15"/>
  <c r="R12" i="5"/>
  <c r="Q22" i="5"/>
  <c r="R26" i="12"/>
  <c r="Q24" i="8" s="1"/>
  <c r="R27" i="12"/>
  <c r="Q25" i="8" s="1"/>
  <c r="J8" i="16"/>
  <c r="N8" i="16" s="1"/>
  <c r="O8" i="16" s="1"/>
  <c r="Q18" i="10"/>
  <c r="Q19" i="10"/>
  <c r="Q8" i="10"/>
  <c r="Q9" i="10"/>
  <c r="Q15" i="10"/>
  <c r="Q13" i="10"/>
  <c r="Q11" i="10"/>
  <c r="Q17" i="10"/>
  <c r="Q14" i="10"/>
  <c r="Q16" i="10"/>
  <c r="D20" i="10"/>
  <c r="R20" i="10" s="1"/>
  <c r="Q10" i="10"/>
  <c r="Q12" i="10"/>
  <c r="R10" i="5" l="1"/>
  <c r="R11" i="5"/>
  <c r="Y71" i="16"/>
  <c r="X72" i="16" s="1"/>
  <c r="AA71" i="16"/>
  <c r="Z71" i="16"/>
  <c r="E31" i="15"/>
  <c r="D28" i="10"/>
  <c r="R28" i="10" s="1"/>
  <c r="D21" i="10"/>
  <c r="R21" i="10" s="1"/>
  <c r="R19" i="5"/>
  <c r="Z72" i="16" l="1"/>
  <c r="E32" i="15"/>
  <c r="D29" i="10"/>
  <c r="R29" i="10" s="1"/>
  <c r="D22" i="10"/>
  <c r="R22" i="10" s="1"/>
  <c r="R13" i="5" l="1"/>
  <c r="R14" i="5"/>
  <c r="E33" i="15"/>
  <c r="D30" i="10"/>
  <c r="R30" i="10" s="1"/>
  <c r="D23" i="10"/>
  <c r="R23" i="10" s="1"/>
  <c r="R22" i="5"/>
  <c r="Q7" i="5"/>
  <c r="P7" i="5"/>
  <c r="R17" i="5" l="1"/>
  <c r="R18" i="5"/>
  <c r="AA69" i="16"/>
  <c r="Z69" i="16"/>
  <c r="E34" i="15"/>
  <c r="D31" i="10"/>
  <c r="D24" i="10"/>
  <c r="R24" i="10" s="1"/>
  <c r="R23" i="5" l="1"/>
  <c r="Z70" i="16"/>
  <c r="R31" i="10"/>
  <c r="R32" i="10"/>
  <c r="R20" i="5"/>
  <c r="R21" i="5"/>
  <c r="D25" i="10"/>
  <c r="D11" i="4"/>
  <c r="S11" i="4" s="1"/>
  <c r="D12" i="4"/>
  <c r="S12" i="4" s="1"/>
  <c r="D13" i="4"/>
  <c r="S13" i="4" s="1"/>
  <c r="D14" i="4"/>
  <c r="S14" i="4" s="1"/>
  <c r="D15" i="4"/>
  <c r="S15" i="4" s="1"/>
  <c r="D16" i="4"/>
  <c r="S16" i="4" s="1"/>
  <c r="D17" i="4"/>
  <c r="S17" i="4" s="1"/>
  <c r="D18" i="4"/>
  <c r="S18" i="4" s="1"/>
  <c r="D19" i="4"/>
  <c r="S19" i="4" s="1"/>
  <c r="D20" i="4"/>
  <c r="S20" i="4" s="1"/>
  <c r="D21" i="4"/>
  <c r="S21" i="4" s="1"/>
  <c r="L2" i="1"/>
  <c r="H3" i="1"/>
  <c r="C3" i="1"/>
  <c r="C4" i="1"/>
  <c r="C5" i="1"/>
  <c r="C2" i="1"/>
  <c r="R24" i="5" l="1"/>
  <c r="C12" i="16"/>
  <c r="M12" i="16" s="1"/>
  <c r="R25" i="10"/>
  <c r="R26" i="10"/>
  <c r="C71" i="16"/>
  <c r="D71" i="16"/>
  <c r="E71" i="16"/>
  <c r="C39" i="16"/>
  <c r="D8" i="9"/>
  <c r="E10" i="12"/>
  <c r="E10" i="11"/>
  <c r="V18" i="4"/>
  <c r="W18" i="4" s="1"/>
  <c r="T18" i="4"/>
  <c r="T14" i="4"/>
  <c r="V14" i="4"/>
  <c r="W14" i="4" s="1"/>
  <c r="T17" i="4"/>
  <c r="V17" i="4"/>
  <c r="W17" i="4" s="1"/>
  <c r="T13" i="4"/>
  <c r="V13" i="4"/>
  <c r="W13" i="4" s="1"/>
  <c r="T20" i="4"/>
  <c r="V20" i="4"/>
  <c r="W20" i="4" s="1"/>
  <c r="V16" i="4"/>
  <c r="W16" i="4" s="1"/>
  <c r="T16" i="4"/>
  <c r="T12" i="4"/>
  <c r="V12" i="4"/>
  <c r="W12" i="4" s="1"/>
  <c r="T19" i="4"/>
  <c r="V19" i="4"/>
  <c r="W19" i="4" s="1"/>
  <c r="T15" i="4"/>
  <c r="V15" i="4"/>
  <c r="W15" i="4" s="1"/>
  <c r="T11" i="4"/>
  <c r="V11" i="4"/>
  <c r="W11" i="4" s="1"/>
  <c r="T21" i="4"/>
  <c r="V21" i="4"/>
  <c r="W21" i="4" s="1"/>
  <c r="D3" i="1"/>
  <c r="D2" i="1"/>
  <c r="T8" i="5"/>
  <c r="O7" i="5"/>
  <c r="E7" i="5"/>
  <c r="G7" i="5"/>
  <c r="H7" i="5"/>
  <c r="I7" i="5"/>
  <c r="J7" i="5"/>
  <c r="K7" i="5"/>
  <c r="L7" i="5"/>
  <c r="M7" i="5"/>
  <c r="N7" i="5"/>
  <c r="D7" i="5"/>
  <c r="R25" i="5" l="1"/>
  <c r="K12" i="16"/>
  <c r="I12" i="16"/>
  <c r="D72" i="16"/>
  <c r="R69" i="16"/>
  <c r="S69" i="16"/>
  <c r="K69" i="16"/>
  <c r="J69" i="16"/>
  <c r="U69" i="16"/>
  <c r="T69" i="16"/>
  <c r="L69" i="16"/>
  <c r="M69" i="16"/>
  <c r="Y69" i="16"/>
  <c r="X69" i="16"/>
  <c r="P69" i="16"/>
  <c r="Q69" i="16"/>
  <c r="H69" i="16"/>
  <c r="I69" i="16"/>
  <c r="W69" i="16"/>
  <c r="V69" i="16"/>
  <c r="O69" i="16"/>
  <c r="N69" i="16"/>
  <c r="F69" i="16"/>
  <c r="G69" i="16"/>
  <c r="M39" i="16"/>
  <c r="I39" i="16"/>
  <c r="K39" i="16"/>
  <c r="D8" i="7"/>
  <c r="E11" i="11"/>
  <c r="G23" i="11"/>
  <c r="G24" i="11"/>
  <c r="G29" i="4"/>
  <c r="G26" i="4"/>
  <c r="G28" i="4"/>
  <c r="G32" i="4"/>
  <c r="G30" i="4"/>
  <c r="G31" i="4"/>
  <c r="G27" i="4"/>
  <c r="G12" i="13"/>
  <c r="G14" i="13"/>
  <c r="G20" i="13"/>
  <c r="G17" i="12"/>
  <c r="G15" i="12"/>
  <c r="G16" i="12"/>
  <c r="G16" i="11"/>
  <c r="G18" i="13"/>
  <c r="G20" i="12"/>
  <c r="G25" i="4"/>
  <c r="G13" i="12"/>
  <c r="G10" i="11"/>
  <c r="G10" i="12"/>
  <c r="G23" i="4"/>
  <c r="G21" i="13"/>
  <c r="G19" i="12"/>
  <c r="G19" i="11"/>
  <c r="G23" i="13"/>
  <c r="G24" i="4"/>
  <c r="G22" i="4"/>
  <c r="H22" i="4" s="1"/>
  <c r="I22" i="4" s="1"/>
  <c r="G14" i="12"/>
  <c r="G17" i="11"/>
  <c r="G16" i="13"/>
  <c r="G20" i="11"/>
  <c r="G22" i="12"/>
  <c r="G15" i="11"/>
  <c r="G19" i="13"/>
  <c r="G22" i="11"/>
  <c r="G21" i="12"/>
  <c r="G24" i="13"/>
  <c r="G25" i="13"/>
  <c r="D8" i="8"/>
  <c r="E11" i="12"/>
  <c r="G34" i="4"/>
  <c r="G33" i="4"/>
  <c r="G18" i="12"/>
  <c r="G15" i="13"/>
  <c r="G12" i="12"/>
  <c r="G11" i="11"/>
  <c r="G17" i="13"/>
  <c r="G11" i="13"/>
  <c r="G12" i="11"/>
  <c r="G13" i="11"/>
  <c r="G22" i="13"/>
  <c r="G26" i="13"/>
  <c r="G14" i="11"/>
  <c r="G11" i="12"/>
  <c r="G13" i="13"/>
  <c r="G21" i="11"/>
  <c r="G10" i="13"/>
  <c r="D9" i="9"/>
  <c r="R9" i="9" s="1"/>
  <c r="D10" i="4"/>
  <c r="S10" i="4" s="1"/>
  <c r="R26" i="5" l="1"/>
  <c r="V70" i="16"/>
  <c r="P70" i="16"/>
  <c r="T70" i="16"/>
  <c r="R70" i="16"/>
  <c r="F70" i="16"/>
  <c r="L70" i="16"/>
  <c r="J70" i="16"/>
  <c r="N70" i="16"/>
  <c r="H70" i="16"/>
  <c r="X70" i="16"/>
  <c r="D10" i="9"/>
  <c r="R10" i="9" s="1"/>
  <c r="F11" i="9"/>
  <c r="H13" i="13"/>
  <c r="F20" i="9"/>
  <c r="H22" i="13"/>
  <c r="F15" i="9"/>
  <c r="H17" i="13"/>
  <c r="F16" i="8"/>
  <c r="H18" i="12"/>
  <c r="H22" i="11"/>
  <c r="F20" i="7"/>
  <c r="H20" i="11"/>
  <c r="F18" i="7"/>
  <c r="F17" i="8"/>
  <c r="H19" i="12"/>
  <c r="F8" i="8"/>
  <c r="H10" i="12"/>
  <c r="F18" i="8"/>
  <c r="H20" i="12"/>
  <c r="F13" i="8"/>
  <c r="H15" i="12"/>
  <c r="F10" i="9"/>
  <c r="H12" i="13"/>
  <c r="H32" i="4"/>
  <c r="F30" i="6"/>
  <c r="H24" i="11"/>
  <c r="F22" i="7"/>
  <c r="H11" i="12"/>
  <c r="F9" i="8"/>
  <c r="H13" i="11"/>
  <c r="F11" i="7"/>
  <c r="H11" i="11"/>
  <c r="F9" i="7"/>
  <c r="H33" i="4"/>
  <c r="F31" i="6"/>
  <c r="H25" i="13"/>
  <c r="F23" i="9"/>
  <c r="F17" i="9"/>
  <c r="H19" i="13"/>
  <c r="F14" i="9"/>
  <c r="H16" i="13"/>
  <c r="F22" i="6"/>
  <c r="H24" i="4"/>
  <c r="F19" i="9"/>
  <c r="H21" i="13"/>
  <c r="F8" i="7"/>
  <c r="H10" i="11"/>
  <c r="F16" i="9"/>
  <c r="H18" i="13"/>
  <c r="F15" i="8"/>
  <c r="H17" i="12"/>
  <c r="H27" i="4"/>
  <c r="F25" i="6"/>
  <c r="H28" i="4"/>
  <c r="F26" i="6"/>
  <c r="H23" i="11"/>
  <c r="F21" i="7"/>
  <c r="F8" i="9"/>
  <c r="H10" i="13"/>
  <c r="H14" i="11"/>
  <c r="F12" i="7"/>
  <c r="F10" i="7"/>
  <c r="H12" i="11"/>
  <c r="F10" i="8"/>
  <c r="H12" i="12"/>
  <c r="H34" i="4"/>
  <c r="F32" i="6"/>
  <c r="H24" i="13"/>
  <c r="F22" i="9"/>
  <c r="H15" i="11"/>
  <c r="F13" i="7"/>
  <c r="F15" i="7"/>
  <c r="H17" i="11"/>
  <c r="H23" i="13"/>
  <c r="F21" i="9"/>
  <c r="F11" i="8"/>
  <c r="H13" i="12"/>
  <c r="H16" i="11"/>
  <c r="F14" i="7"/>
  <c r="F18" i="9"/>
  <c r="H20" i="13"/>
  <c r="H31" i="4"/>
  <c r="F29" i="6"/>
  <c r="H26" i="4"/>
  <c r="F24" i="6"/>
  <c r="E12" i="11"/>
  <c r="D9" i="7"/>
  <c r="R9" i="7" s="1"/>
  <c r="H21" i="11"/>
  <c r="F19" i="7"/>
  <c r="F24" i="9"/>
  <c r="H26" i="13"/>
  <c r="F9" i="9"/>
  <c r="H11" i="13"/>
  <c r="F13" i="9"/>
  <c r="H15" i="13"/>
  <c r="D9" i="8"/>
  <c r="R9" i="8" s="1"/>
  <c r="E12" i="12"/>
  <c r="F19" i="8"/>
  <c r="H21" i="12"/>
  <c r="F20" i="8"/>
  <c r="H22" i="12"/>
  <c r="F12" i="8"/>
  <c r="H14" i="12"/>
  <c r="H19" i="11"/>
  <c r="F17" i="7"/>
  <c r="H23" i="4"/>
  <c r="F21" i="6"/>
  <c r="F23" i="6"/>
  <c r="H25" i="4"/>
  <c r="F14" i="8"/>
  <c r="H16" i="12"/>
  <c r="F12" i="9"/>
  <c r="H14" i="13"/>
  <c r="H30" i="4"/>
  <c r="F28" i="6"/>
  <c r="H29" i="4"/>
  <c r="F27" i="6"/>
  <c r="V10" i="4"/>
  <c r="W10" i="4" s="1"/>
  <c r="J34" i="16" s="1"/>
  <c r="T10" i="4"/>
  <c r="E10" i="4"/>
  <c r="D8" i="6" s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3" i="3"/>
  <c r="L24" i="3"/>
  <c r="L25" i="3"/>
  <c r="L26" i="3"/>
  <c r="L27" i="3"/>
  <c r="L29" i="3"/>
  <c r="L30" i="3"/>
  <c r="L31" i="3"/>
  <c r="L32" i="3"/>
  <c r="L34" i="3"/>
  <c r="L35" i="3"/>
  <c r="L37" i="3"/>
  <c r="L38" i="3"/>
  <c r="L39" i="3"/>
  <c r="L40" i="3"/>
  <c r="L41" i="3"/>
  <c r="L42" i="3"/>
  <c r="L43" i="3"/>
  <c r="L44" i="3"/>
  <c r="L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L22" i="3" s="1"/>
  <c r="K23" i="3"/>
  <c r="K24" i="3"/>
  <c r="K25" i="3"/>
  <c r="K26" i="3"/>
  <c r="K27" i="3"/>
  <c r="K28" i="3"/>
  <c r="L28" i="3" s="1"/>
  <c r="K29" i="3"/>
  <c r="K30" i="3"/>
  <c r="K31" i="3"/>
  <c r="K32" i="3"/>
  <c r="K33" i="3"/>
  <c r="L33" i="3" s="1"/>
  <c r="K34" i="3"/>
  <c r="K35" i="3"/>
  <c r="K36" i="3"/>
  <c r="L36" i="3" s="1"/>
  <c r="K37" i="3"/>
  <c r="K38" i="3"/>
  <c r="K39" i="3"/>
  <c r="K40" i="3"/>
  <c r="K41" i="3"/>
  <c r="K42" i="3"/>
  <c r="K43" i="3"/>
  <c r="K44" i="3"/>
  <c r="K4" i="3"/>
  <c r="R27" i="5" l="1"/>
  <c r="G67" i="16"/>
  <c r="F67" i="16"/>
  <c r="F65" i="16"/>
  <c r="G65" i="16"/>
  <c r="J40" i="16"/>
  <c r="G27" i="6"/>
  <c r="I29" i="4"/>
  <c r="I19" i="11"/>
  <c r="G17" i="7"/>
  <c r="I21" i="11"/>
  <c r="G19" i="7"/>
  <c r="G24" i="6"/>
  <c r="I26" i="4"/>
  <c r="I23" i="13"/>
  <c r="G21" i="9"/>
  <c r="G13" i="7"/>
  <c r="I15" i="11"/>
  <c r="I34" i="4"/>
  <c r="G32" i="6"/>
  <c r="G26" i="6"/>
  <c r="I28" i="4"/>
  <c r="I33" i="4"/>
  <c r="G31" i="6"/>
  <c r="I13" i="11"/>
  <c r="G11" i="7"/>
  <c r="G22" i="7"/>
  <c r="I24" i="11"/>
  <c r="G15" i="9"/>
  <c r="I17" i="13"/>
  <c r="G11" i="9"/>
  <c r="I13" i="13"/>
  <c r="G14" i="8"/>
  <c r="I16" i="12"/>
  <c r="G12" i="8"/>
  <c r="I14" i="12"/>
  <c r="G19" i="8"/>
  <c r="I21" i="12"/>
  <c r="G13" i="9"/>
  <c r="I15" i="13"/>
  <c r="G24" i="9"/>
  <c r="I26" i="13"/>
  <c r="I17" i="11"/>
  <c r="G15" i="7"/>
  <c r="G10" i="8"/>
  <c r="I12" i="12"/>
  <c r="G16" i="9"/>
  <c r="I18" i="13"/>
  <c r="G19" i="9"/>
  <c r="I21" i="13"/>
  <c r="G14" i="9"/>
  <c r="I16" i="13"/>
  <c r="G13" i="8"/>
  <c r="I15" i="12"/>
  <c r="G8" i="8"/>
  <c r="I10" i="12"/>
  <c r="I22" i="11"/>
  <c r="G20" i="7"/>
  <c r="G28" i="6"/>
  <c r="I30" i="4"/>
  <c r="I23" i="4"/>
  <c r="G21" i="6"/>
  <c r="D10" i="7"/>
  <c r="R10" i="7" s="1"/>
  <c r="E13" i="11"/>
  <c r="I31" i="4"/>
  <c r="G29" i="6"/>
  <c r="G14" i="7"/>
  <c r="I16" i="11"/>
  <c r="I24" i="13"/>
  <c r="G22" i="9"/>
  <c r="I14" i="11"/>
  <c r="G12" i="7"/>
  <c r="I23" i="11"/>
  <c r="G21" i="7"/>
  <c r="G25" i="6"/>
  <c r="I27" i="4"/>
  <c r="I25" i="13"/>
  <c r="G23" i="9"/>
  <c r="I11" i="11"/>
  <c r="G9" i="7"/>
  <c r="G9" i="8"/>
  <c r="I11" i="12"/>
  <c r="G30" i="6"/>
  <c r="I32" i="4"/>
  <c r="G16" i="8"/>
  <c r="I18" i="12"/>
  <c r="G20" i="9"/>
  <c r="I22" i="13"/>
  <c r="G12" i="9"/>
  <c r="I14" i="13"/>
  <c r="G23" i="6"/>
  <c r="I25" i="4"/>
  <c r="G20" i="8"/>
  <c r="I22" i="12"/>
  <c r="D10" i="8"/>
  <c r="R10" i="8" s="1"/>
  <c r="E13" i="12"/>
  <c r="G9" i="9"/>
  <c r="I11" i="13"/>
  <c r="G18" i="9"/>
  <c r="I20" i="13"/>
  <c r="G11" i="8"/>
  <c r="I13" i="12"/>
  <c r="I12" i="11"/>
  <c r="G10" i="7"/>
  <c r="I10" i="13"/>
  <c r="G8" i="9"/>
  <c r="G15" i="8"/>
  <c r="I17" i="12"/>
  <c r="I10" i="11"/>
  <c r="G8" i="7"/>
  <c r="G22" i="6"/>
  <c r="I24" i="4"/>
  <c r="G17" i="9"/>
  <c r="I19" i="13"/>
  <c r="G10" i="9"/>
  <c r="I12" i="13"/>
  <c r="G18" i="8"/>
  <c r="I20" i="12"/>
  <c r="G17" i="8"/>
  <c r="I19" i="12"/>
  <c r="G18" i="7"/>
  <c r="I20" i="11"/>
  <c r="D11" i="9"/>
  <c r="R11" i="9" s="1"/>
  <c r="J10" i="16"/>
  <c r="J7" i="16"/>
  <c r="N7" i="16" s="1"/>
  <c r="O7" i="16" s="1"/>
  <c r="E11" i="4"/>
  <c r="D9" i="6" s="1"/>
  <c r="R9" i="6" s="1"/>
  <c r="E6" i="3"/>
  <c r="E43" i="3"/>
  <c r="E31" i="3"/>
  <c r="E17" i="3"/>
  <c r="E9" i="3"/>
  <c r="E10" i="3"/>
  <c r="E11" i="3"/>
  <c r="E18" i="3"/>
  <c r="E15" i="3"/>
  <c r="E40" i="3"/>
  <c r="E39" i="3"/>
  <c r="E34" i="3"/>
  <c r="E14" i="3"/>
  <c r="E27" i="3"/>
  <c r="E33" i="3"/>
  <c r="E36" i="3"/>
  <c r="E30" i="3"/>
  <c r="E38" i="3"/>
  <c r="E8" i="3"/>
  <c r="E4" i="3"/>
  <c r="E19" i="3"/>
  <c r="E29" i="3"/>
  <c r="E12" i="3"/>
  <c r="E35" i="3"/>
  <c r="E13" i="3"/>
  <c r="E42" i="3"/>
  <c r="E23" i="3"/>
  <c r="E7" i="3"/>
  <c r="E44" i="3"/>
  <c r="E32" i="3"/>
  <c r="E22" i="3"/>
  <c r="E41" i="3"/>
  <c r="E20" i="3"/>
  <c r="E24" i="3"/>
  <c r="E37" i="3"/>
  <c r="E5" i="3"/>
  <c r="E16" i="3"/>
  <c r="E25" i="3"/>
  <c r="E21" i="3"/>
  <c r="E28" i="3"/>
  <c r="E26" i="3"/>
  <c r="R28" i="5" l="1"/>
  <c r="F68" i="16"/>
  <c r="F66" i="16"/>
  <c r="H10" i="9"/>
  <c r="H15" i="8"/>
  <c r="D11" i="8"/>
  <c r="R11" i="8" s="1"/>
  <c r="E14" i="12"/>
  <c r="H20" i="9"/>
  <c r="J22" i="13"/>
  <c r="H25" i="6"/>
  <c r="H14" i="7"/>
  <c r="D11" i="7"/>
  <c r="R11" i="7" s="1"/>
  <c r="E14" i="11"/>
  <c r="H28" i="6"/>
  <c r="H8" i="8"/>
  <c r="H14" i="9"/>
  <c r="H16" i="9"/>
  <c r="H24" i="9"/>
  <c r="J26" i="13"/>
  <c r="H19" i="8"/>
  <c r="H14" i="8"/>
  <c r="H15" i="9"/>
  <c r="J17" i="13"/>
  <c r="H26" i="6"/>
  <c r="H13" i="7"/>
  <c r="H24" i="6"/>
  <c r="H17" i="8"/>
  <c r="H22" i="6"/>
  <c r="H18" i="9"/>
  <c r="H23" i="6"/>
  <c r="H30" i="6"/>
  <c r="J12" i="11"/>
  <c r="H10" i="7"/>
  <c r="J11" i="11"/>
  <c r="H9" i="7"/>
  <c r="J14" i="11"/>
  <c r="H12" i="7"/>
  <c r="H15" i="7"/>
  <c r="J13" i="11"/>
  <c r="H11" i="7"/>
  <c r="H17" i="7"/>
  <c r="H18" i="7"/>
  <c r="H17" i="9"/>
  <c r="H11" i="8"/>
  <c r="H9" i="9"/>
  <c r="J11" i="13"/>
  <c r="H20" i="8"/>
  <c r="H12" i="9"/>
  <c r="H16" i="8"/>
  <c r="J18" i="12"/>
  <c r="H9" i="8"/>
  <c r="J11" i="12"/>
  <c r="H13" i="8"/>
  <c r="H19" i="9"/>
  <c r="H10" i="8"/>
  <c r="J12" i="12"/>
  <c r="H13" i="9"/>
  <c r="J15" i="13"/>
  <c r="H12" i="8"/>
  <c r="H11" i="9"/>
  <c r="J13" i="13"/>
  <c r="H22" i="7"/>
  <c r="H27" i="6"/>
  <c r="D12" i="9"/>
  <c r="R12" i="9" s="1"/>
  <c r="H18" i="8"/>
  <c r="H8" i="7"/>
  <c r="J10" i="13"/>
  <c r="H8" i="9"/>
  <c r="H23" i="9"/>
  <c r="H21" i="7"/>
  <c r="H22" i="9"/>
  <c r="H29" i="6"/>
  <c r="H21" i="6"/>
  <c r="H20" i="7"/>
  <c r="J33" i="4"/>
  <c r="H31" i="6"/>
  <c r="J34" i="4"/>
  <c r="H32" i="6"/>
  <c r="H21" i="9"/>
  <c r="J21" i="11"/>
  <c r="H19" i="7"/>
  <c r="N10" i="16"/>
  <c r="O10" i="16" s="1"/>
  <c r="E12" i="4"/>
  <c r="D10" i="6" s="1"/>
  <c r="R10" i="6" s="1"/>
  <c r="A8" i="4"/>
  <c r="O5" i="1"/>
  <c r="I5" i="1"/>
  <c r="G5" i="1"/>
  <c r="F5" i="1"/>
  <c r="O4" i="1"/>
  <c r="O3" i="1"/>
  <c r="K3" i="1"/>
  <c r="I3" i="1"/>
  <c r="G3" i="1"/>
  <c r="O2" i="1"/>
  <c r="M2" i="1"/>
  <c r="I2" i="1"/>
  <c r="G2" i="1"/>
  <c r="F2" i="1"/>
  <c r="J22" i="4" s="1"/>
  <c r="K22" i="4" s="1"/>
  <c r="L22" i="4" s="1"/>
  <c r="M22" i="4" s="1"/>
  <c r="N22" i="4" s="1"/>
  <c r="O22" i="4" s="1"/>
  <c r="P22" i="4" s="1"/>
  <c r="Q22" i="4" s="1"/>
  <c r="R22" i="4" s="1"/>
  <c r="R32" i="5" l="1"/>
  <c r="H67" i="16"/>
  <c r="I67" i="16"/>
  <c r="I65" i="16"/>
  <c r="H65" i="16"/>
  <c r="J23" i="4"/>
  <c r="J10" i="11"/>
  <c r="D13" i="9"/>
  <c r="R13" i="9" s="1"/>
  <c r="J14" i="12"/>
  <c r="I10" i="8"/>
  <c r="K12" i="12"/>
  <c r="J15" i="12"/>
  <c r="I16" i="8"/>
  <c r="K18" i="12"/>
  <c r="J22" i="12"/>
  <c r="J13" i="12"/>
  <c r="J16" i="12"/>
  <c r="I24" i="9"/>
  <c r="K26" i="13"/>
  <c r="J16" i="13"/>
  <c r="J16" i="11"/>
  <c r="I20" i="9"/>
  <c r="K22" i="13"/>
  <c r="J17" i="12"/>
  <c r="K21" i="11"/>
  <c r="I19" i="7"/>
  <c r="K34" i="4"/>
  <c r="I32" i="6"/>
  <c r="J24" i="13"/>
  <c r="J25" i="13"/>
  <c r="J24" i="11"/>
  <c r="J20" i="11"/>
  <c r="I11" i="7"/>
  <c r="K13" i="11"/>
  <c r="K14" i="11"/>
  <c r="I12" i="7"/>
  <c r="K12" i="11"/>
  <c r="I10" i="7"/>
  <c r="J25" i="4"/>
  <c r="J24" i="4"/>
  <c r="J26" i="4"/>
  <c r="J28" i="4"/>
  <c r="J30" i="4"/>
  <c r="J20" i="12"/>
  <c r="I11" i="9"/>
  <c r="K13" i="13"/>
  <c r="I13" i="9"/>
  <c r="K15" i="13"/>
  <c r="J21" i="13"/>
  <c r="I9" i="8"/>
  <c r="K11" i="12"/>
  <c r="J14" i="13"/>
  <c r="I9" i="9"/>
  <c r="K11" i="13"/>
  <c r="J19" i="13"/>
  <c r="J17" i="11"/>
  <c r="J20" i="13"/>
  <c r="J19" i="12"/>
  <c r="I15" i="9"/>
  <c r="K17" i="13"/>
  <c r="J21" i="12"/>
  <c r="J18" i="13"/>
  <c r="J10" i="12"/>
  <c r="D12" i="7"/>
  <c r="R12" i="7" s="1"/>
  <c r="E15" i="11"/>
  <c r="D12" i="8"/>
  <c r="R12" i="8" s="1"/>
  <c r="E15" i="12"/>
  <c r="J12" i="13"/>
  <c r="J23" i="13"/>
  <c r="K33" i="4"/>
  <c r="I31" i="6"/>
  <c r="J22" i="11"/>
  <c r="J31" i="4"/>
  <c r="J23" i="11"/>
  <c r="I8" i="9"/>
  <c r="K10" i="13"/>
  <c r="J29" i="4"/>
  <c r="J19" i="11"/>
  <c r="K11" i="11"/>
  <c r="I9" i="7"/>
  <c r="J32" i="4"/>
  <c r="J15" i="11"/>
  <c r="J27" i="4"/>
  <c r="G11" i="4"/>
  <c r="G13" i="4"/>
  <c r="G12" i="4"/>
  <c r="E13" i="4"/>
  <c r="D11" i="6" s="1"/>
  <c r="R11" i="6" s="1"/>
  <c r="E52" i="14" l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09" i="14" s="1"/>
  <c r="E110" i="14" s="1"/>
  <c r="E111" i="14" s="1"/>
  <c r="E112" i="14" s="1"/>
  <c r="E113" i="14" s="1"/>
  <c r="E114" i="14" s="1"/>
  <c r="E115" i="14" s="1"/>
  <c r="E116" i="14" s="1"/>
  <c r="E117" i="14" s="1"/>
  <c r="E118" i="14" s="1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E129" i="14" s="1"/>
  <c r="E130" i="14" s="1"/>
  <c r="E131" i="14" s="1"/>
  <c r="E132" i="14" s="1"/>
  <c r="E133" i="14" s="1"/>
  <c r="R29" i="5"/>
  <c r="C11" i="16"/>
  <c r="C69" i="16"/>
  <c r="C38" i="16"/>
  <c r="D69" i="16"/>
  <c r="E69" i="16"/>
  <c r="H68" i="16"/>
  <c r="H66" i="16"/>
  <c r="I25" i="6"/>
  <c r="K27" i="4"/>
  <c r="L11" i="11"/>
  <c r="J9" i="7"/>
  <c r="D13" i="8"/>
  <c r="R13" i="8" s="1"/>
  <c r="E16" i="12"/>
  <c r="K10" i="12"/>
  <c r="I8" i="8"/>
  <c r="I17" i="9"/>
  <c r="K19" i="13"/>
  <c r="J9" i="8"/>
  <c r="L11" i="12"/>
  <c r="K30" i="4"/>
  <c r="I28" i="6"/>
  <c r="K25" i="4"/>
  <c r="I23" i="6"/>
  <c r="J12" i="7"/>
  <c r="L14" i="11"/>
  <c r="K24" i="11"/>
  <c r="I22" i="7"/>
  <c r="I15" i="8"/>
  <c r="K17" i="12"/>
  <c r="I14" i="9"/>
  <c r="K16" i="13"/>
  <c r="I11" i="8"/>
  <c r="K13" i="12"/>
  <c r="I13" i="8"/>
  <c r="K15" i="12"/>
  <c r="D14" i="9"/>
  <c r="R14" i="9" s="1"/>
  <c r="K15" i="11"/>
  <c r="I13" i="7"/>
  <c r="K19" i="11"/>
  <c r="I17" i="7"/>
  <c r="I21" i="7"/>
  <c r="K23" i="11"/>
  <c r="L33" i="4"/>
  <c r="J31" i="6"/>
  <c r="I16" i="9"/>
  <c r="K18" i="13"/>
  <c r="I17" i="8"/>
  <c r="K19" i="12"/>
  <c r="J9" i="9"/>
  <c r="L11" i="13"/>
  <c r="J11" i="9"/>
  <c r="L13" i="13"/>
  <c r="K28" i="4"/>
  <c r="I26" i="6"/>
  <c r="L13" i="11"/>
  <c r="J11" i="7"/>
  <c r="K25" i="13"/>
  <c r="I23" i="9"/>
  <c r="L34" i="4"/>
  <c r="J32" i="6"/>
  <c r="J20" i="9"/>
  <c r="L22" i="13"/>
  <c r="J24" i="9"/>
  <c r="L26" i="13"/>
  <c r="I20" i="8"/>
  <c r="K22" i="12"/>
  <c r="J10" i="8"/>
  <c r="L12" i="12"/>
  <c r="I30" i="6"/>
  <c r="K32" i="4"/>
  <c r="K29" i="4"/>
  <c r="I27" i="6"/>
  <c r="K31" i="4"/>
  <c r="I29" i="6"/>
  <c r="I21" i="9"/>
  <c r="K23" i="13"/>
  <c r="E16" i="11"/>
  <c r="D13" i="7"/>
  <c r="R13" i="7" s="1"/>
  <c r="I19" i="8"/>
  <c r="K21" i="12"/>
  <c r="I18" i="9"/>
  <c r="K20" i="13"/>
  <c r="I19" i="9"/>
  <c r="K21" i="13"/>
  <c r="I24" i="6"/>
  <c r="K26" i="4"/>
  <c r="J10" i="7"/>
  <c r="L12" i="11"/>
  <c r="K24" i="13"/>
  <c r="I22" i="9"/>
  <c r="J16" i="8"/>
  <c r="L18" i="12"/>
  <c r="I8" i="7"/>
  <c r="K10" i="11"/>
  <c r="L10" i="13"/>
  <c r="J8" i="9"/>
  <c r="K22" i="11"/>
  <c r="I20" i="7"/>
  <c r="I10" i="9"/>
  <c r="K12" i="13"/>
  <c r="J15" i="9"/>
  <c r="L17" i="13"/>
  <c r="I15" i="7"/>
  <c r="K17" i="11"/>
  <c r="I12" i="9"/>
  <c r="K14" i="13"/>
  <c r="J13" i="9"/>
  <c r="L15" i="13"/>
  <c r="I18" i="8"/>
  <c r="K20" i="12"/>
  <c r="K24" i="4"/>
  <c r="I22" i="6"/>
  <c r="K20" i="11"/>
  <c r="I18" i="7"/>
  <c r="J19" i="7"/>
  <c r="L21" i="11"/>
  <c r="I14" i="7"/>
  <c r="K16" i="11"/>
  <c r="I14" i="8"/>
  <c r="K16" i="12"/>
  <c r="I12" i="8"/>
  <c r="K14" i="12"/>
  <c r="I21" i="6"/>
  <c r="K23" i="4"/>
  <c r="F20" i="6"/>
  <c r="F10" i="6"/>
  <c r="H12" i="4"/>
  <c r="F11" i="6"/>
  <c r="H13" i="4"/>
  <c r="F9" i="6"/>
  <c r="H11" i="4"/>
  <c r="E14" i="4"/>
  <c r="D12" i="6" s="1"/>
  <c r="R12" i="6" s="1"/>
  <c r="D70" i="16" l="1"/>
  <c r="I38" i="16"/>
  <c r="K38" i="16"/>
  <c r="M38" i="16"/>
  <c r="M11" i="16"/>
  <c r="K11" i="16"/>
  <c r="I11" i="16"/>
  <c r="R30" i="5"/>
  <c r="R31" i="5"/>
  <c r="J67" i="16"/>
  <c r="K67" i="16"/>
  <c r="J65" i="16"/>
  <c r="K65" i="16"/>
  <c r="J21" i="6"/>
  <c r="L23" i="4"/>
  <c r="J14" i="8"/>
  <c r="L16" i="12"/>
  <c r="K19" i="7"/>
  <c r="M21" i="11"/>
  <c r="J18" i="8"/>
  <c r="L20" i="12"/>
  <c r="J12" i="9"/>
  <c r="L14" i="13"/>
  <c r="K15" i="9"/>
  <c r="M17" i="13"/>
  <c r="L10" i="11"/>
  <c r="J8" i="7"/>
  <c r="J24" i="6"/>
  <c r="L26" i="4"/>
  <c r="J18" i="9"/>
  <c r="L20" i="13"/>
  <c r="L32" i="4"/>
  <c r="J30" i="6"/>
  <c r="J20" i="8"/>
  <c r="L22" i="12"/>
  <c r="K20" i="9"/>
  <c r="M22" i="13"/>
  <c r="K9" i="9"/>
  <c r="M11" i="13"/>
  <c r="J16" i="9"/>
  <c r="L18" i="13"/>
  <c r="L23" i="11"/>
  <c r="J21" i="7"/>
  <c r="J13" i="8"/>
  <c r="L15" i="12"/>
  <c r="J14" i="9"/>
  <c r="L16" i="13"/>
  <c r="K9" i="8"/>
  <c r="M11" i="12"/>
  <c r="J18" i="7"/>
  <c r="L20" i="11"/>
  <c r="L22" i="11"/>
  <c r="J20" i="7"/>
  <c r="J22" i="9"/>
  <c r="L24" i="13"/>
  <c r="E17" i="11"/>
  <c r="D14" i="7"/>
  <c r="R14" i="7" s="1"/>
  <c r="L31" i="4"/>
  <c r="J29" i="6"/>
  <c r="L25" i="13"/>
  <c r="J23" i="9"/>
  <c r="L28" i="4"/>
  <c r="J26" i="6"/>
  <c r="L15" i="11"/>
  <c r="J13" i="7"/>
  <c r="L24" i="11"/>
  <c r="J22" i="7"/>
  <c r="J23" i="6"/>
  <c r="L25" i="4"/>
  <c r="J8" i="8"/>
  <c r="L10" i="12"/>
  <c r="M11" i="11"/>
  <c r="K9" i="7"/>
  <c r="L16" i="11"/>
  <c r="J14" i="7"/>
  <c r="K13" i="9"/>
  <c r="M15" i="13"/>
  <c r="J10" i="9"/>
  <c r="L12" i="13"/>
  <c r="K16" i="8"/>
  <c r="M18" i="12"/>
  <c r="M12" i="11"/>
  <c r="K10" i="7"/>
  <c r="J19" i="9"/>
  <c r="L21" i="13"/>
  <c r="J19" i="8"/>
  <c r="L21" i="12"/>
  <c r="L23" i="13"/>
  <c r="J21" i="9"/>
  <c r="K10" i="8"/>
  <c r="M12" i="12"/>
  <c r="K24" i="9"/>
  <c r="M26" i="13"/>
  <c r="K11" i="9"/>
  <c r="M13" i="13"/>
  <c r="J17" i="8"/>
  <c r="L19" i="12"/>
  <c r="D15" i="9"/>
  <c r="R15" i="9" s="1"/>
  <c r="J11" i="8"/>
  <c r="L13" i="12"/>
  <c r="J15" i="8"/>
  <c r="L17" i="12"/>
  <c r="K12" i="7"/>
  <c r="M14" i="11"/>
  <c r="J17" i="9"/>
  <c r="L19" i="13"/>
  <c r="D14" i="8"/>
  <c r="R14" i="8" s="1"/>
  <c r="E17" i="12"/>
  <c r="L27" i="4"/>
  <c r="J25" i="6"/>
  <c r="J12" i="8"/>
  <c r="L14" i="12"/>
  <c r="L17" i="11"/>
  <c r="J15" i="7"/>
  <c r="J22" i="6"/>
  <c r="L24" i="4"/>
  <c r="K8" i="9"/>
  <c r="M10" i="13"/>
  <c r="L29" i="4"/>
  <c r="J27" i="6"/>
  <c r="K32" i="6"/>
  <c r="M34" i="4"/>
  <c r="M13" i="11"/>
  <c r="K11" i="7"/>
  <c r="M33" i="4"/>
  <c r="K31" i="6"/>
  <c r="L19" i="11"/>
  <c r="J17" i="7"/>
  <c r="J28" i="6"/>
  <c r="L30" i="4"/>
  <c r="G20" i="6"/>
  <c r="G9" i="6"/>
  <c r="I11" i="4"/>
  <c r="I12" i="4"/>
  <c r="G10" i="6"/>
  <c r="I13" i="4"/>
  <c r="G11" i="6"/>
  <c r="E15" i="4"/>
  <c r="D13" i="6" s="1"/>
  <c r="R13" i="6" s="1"/>
  <c r="J68" i="16" l="1"/>
  <c r="L67" i="16"/>
  <c r="M67" i="16"/>
  <c r="J66" i="16"/>
  <c r="L65" i="16"/>
  <c r="M65" i="16"/>
  <c r="M30" i="4"/>
  <c r="K28" i="6"/>
  <c r="N10" i="13"/>
  <c r="L8" i="9"/>
  <c r="K12" i="8"/>
  <c r="M14" i="12"/>
  <c r="L12" i="7"/>
  <c r="N14" i="11"/>
  <c r="K11" i="8"/>
  <c r="M13" i="12"/>
  <c r="K17" i="8"/>
  <c r="M19" i="12"/>
  <c r="N26" i="13"/>
  <c r="L24" i="9"/>
  <c r="K19" i="9"/>
  <c r="M21" i="13"/>
  <c r="N18" i="12"/>
  <c r="L16" i="8"/>
  <c r="L13" i="9"/>
  <c r="N15" i="13"/>
  <c r="K23" i="6"/>
  <c r="M25" i="4"/>
  <c r="N11" i="12"/>
  <c r="L9" i="8"/>
  <c r="K13" i="8"/>
  <c r="M15" i="12"/>
  <c r="K16" i="9"/>
  <c r="M18" i="13"/>
  <c r="N22" i="13"/>
  <c r="L20" i="9"/>
  <c r="M26" i="4"/>
  <c r="K24" i="6"/>
  <c r="N17" i="13"/>
  <c r="L15" i="9"/>
  <c r="K18" i="8"/>
  <c r="M20" i="12"/>
  <c r="K14" i="8"/>
  <c r="M16" i="12"/>
  <c r="N34" i="4"/>
  <c r="L32" i="6"/>
  <c r="D15" i="8"/>
  <c r="R15" i="8" s="1"/>
  <c r="E18" i="12"/>
  <c r="N33" i="4"/>
  <c r="L31" i="6"/>
  <c r="K21" i="9"/>
  <c r="M23" i="13"/>
  <c r="N11" i="11"/>
  <c r="L9" i="7"/>
  <c r="M15" i="11"/>
  <c r="K13" i="7"/>
  <c r="M25" i="13"/>
  <c r="K23" i="9"/>
  <c r="D15" i="7"/>
  <c r="R15" i="7" s="1"/>
  <c r="E18" i="11"/>
  <c r="M22" i="11"/>
  <c r="K20" i="7"/>
  <c r="M32" i="4"/>
  <c r="K30" i="6"/>
  <c r="M24" i="4"/>
  <c r="K22" i="6"/>
  <c r="K17" i="9"/>
  <c r="M19" i="13"/>
  <c r="K15" i="8"/>
  <c r="M17" i="12"/>
  <c r="D16" i="9"/>
  <c r="R16" i="9" s="1"/>
  <c r="L11" i="9"/>
  <c r="N13" i="13"/>
  <c r="N12" i="12"/>
  <c r="L10" i="8"/>
  <c r="K19" i="8"/>
  <c r="M21" i="12"/>
  <c r="K10" i="9"/>
  <c r="M12" i="13"/>
  <c r="K8" i="8"/>
  <c r="M10" i="12"/>
  <c r="K22" i="9"/>
  <c r="M24" i="13"/>
  <c r="K18" i="7"/>
  <c r="M20" i="11"/>
  <c r="K14" i="9"/>
  <c r="M16" i="13"/>
  <c r="L9" i="9"/>
  <c r="N11" i="13"/>
  <c r="K20" i="8"/>
  <c r="M22" i="12"/>
  <c r="K18" i="9"/>
  <c r="M20" i="13"/>
  <c r="K12" i="9"/>
  <c r="M14" i="13"/>
  <c r="L19" i="7"/>
  <c r="N21" i="11"/>
  <c r="K21" i="6"/>
  <c r="M23" i="4"/>
  <c r="M19" i="11"/>
  <c r="K17" i="7"/>
  <c r="N13" i="11"/>
  <c r="L11" i="7"/>
  <c r="M29" i="4"/>
  <c r="K27" i="6"/>
  <c r="M17" i="11"/>
  <c r="K15" i="7"/>
  <c r="M27" i="4"/>
  <c r="K25" i="6"/>
  <c r="N12" i="11"/>
  <c r="L10" i="7"/>
  <c r="M16" i="11"/>
  <c r="K14" i="7"/>
  <c r="M24" i="11"/>
  <c r="K22" i="7"/>
  <c r="M28" i="4"/>
  <c r="K26" i="6"/>
  <c r="M31" i="4"/>
  <c r="K29" i="6"/>
  <c r="M23" i="11"/>
  <c r="K21" i="7"/>
  <c r="M10" i="11"/>
  <c r="K8" i="7"/>
  <c r="H20" i="6"/>
  <c r="J11" i="4"/>
  <c r="H9" i="6"/>
  <c r="J13" i="4"/>
  <c r="H11" i="6"/>
  <c r="J12" i="4"/>
  <c r="H10" i="6"/>
  <c r="E16" i="4"/>
  <c r="D14" i="6" s="1"/>
  <c r="R14" i="6" s="1"/>
  <c r="L68" i="16" l="1"/>
  <c r="L66" i="16"/>
  <c r="N67" i="16"/>
  <c r="O67" i="16"/>
  <c r="O65" i="16"/>
  <c r="N65" i="16"/>
  <c r="N23" i="11"/>
  <c r="L21" i="7"/>
  <c r="N23" i="4"/>
  <c r="L21" i="6"/>
  <c r="N14" i="13"/>
  <c r="L12" i="9"/>
  <c r="L20" i="8"/>
  <c r="N22" i="12"/>
  <c r="N16" i="13"/>
  <c r="L14" i="9"/>
  <c r="L22" i="9"/>
  <c r="N24" i="13"/>
  <c r="L10" i="9"/>
  <c r="N12" i="13"/>
  <c r="D17" i="9"/>
  <c r="R17" i="9" s="1"/>
  <c r="N19" i="13"/>
  <c r="L17" i="9"/>
  <c r="D16" i="7"/>
  <c r="R16" i="7" s="1"/>
  <c r="E19" i="11"/>
  <c r="L21" i="9"/>
  <c r="N23" i="13"/>
  <c r="N20" i="12"/>
  <c r="L18" i="8"/>
  <c r="L16" i="9"/>
  <c r="N18" i="13"/>
  <c r="M13" i="9"/>
  <c r="O15" i="13"/>
  <c r="L19" i="9"/>
  <c r="N21" i="13"/>
  <c r="L17" i="8"/>
  <c r="N19" i="12"/>
  <c r="O14" i="11"/>
  <c r="M12" i="7"/>
  <c r="N31" i="4"/>
  <c r="L29" i="6"/>
  <c r="N24" i="11"/>
  <c r="L22" i="7"/>
  <c r="O12" i="11"/>
  <c r="M10" i="7"/>
  <c r="N17" i="11"/>
  <c r="L15" i="7"/>
  <c r="O13" i="11"/>
  <c r="M11" i="7"/>
  <c r="M10" i="8"/>
  <c r="O12" i="12"/>
  <c r="L30" i="6"/>
  <c r="N32" i="4"/>
  <c r="N15" i="11"/>
  <c r="L13" i="7"/>
  <c r="O33" i="4"/>
  <c r="M31" i="6"/>
  <c r="O34" i="4"/>
  <c r="M32" i="6"/>
  <c r="N26" i="4"/>
  <c r="L24" i="6"/>
  <c r="M9" i="8"/>
  <c r="O11" i="12"/>
  <c r="M8" i="9"/>
  <c r="O10" i="13"/>
  <c r="L8" i="7"/>
  <c r="N10" i="11"/>
  <c r="M19" i="7"/>
  <c r="O21" i="11"/>
  <c r="N20" i="13"/>
  <c r="L18" i="9"/>
  <c r="M9" i="9"/>
  <c r="O11" i="13"/>
  <c r="N20" i="11"/>
  <c r="L18" i="7"/>
  <c r="N10" i="12"/>
  <c r="L8" i="8"/>
  <c r="N21" i="12"/>
  <c r="L19" i="8"/>
  <c r="M11" i="9"/>
  <c r="O13" i="13"/>
  <c r="N17" i="12"/>
  <c r="L15" i="8"/>
  <c r="D16" i="8"/>
  <c r="R16" i="8" s="1"/>
  <c r="E19" i="12"/>
  <c r="N16" i="12"/>
  <c r="L14" i="8"/>
  <c r="N15" i="12"/>
  <c r="L13" i="8"/>
  <c r="N25" i="4"/>
  <c r="L23" i="6"/>
  <c r="N13" i="12"/>
  <c r="L11" i="8"/>
  <c r="N14" i="12"/>
  <c r="L12" i="8"/>
  <c r="N28" i="4"/>
  <c r="L26" i="6"/>
  <c r="L14" i="7"/>
  <c r="N16" i="11"/>
  <c r="L25" i="6"/>
  <c r="N27" i="4"/>
  <c r="L27" i="6"/>
  <c r="N29" i="4"/>
  <c r="N19" i="11"/>
  <c r="L17" i="7"/>
  <c r="N24" i="4"/>
  <c r="L22" i="6"/>
  <c r="N22" i="11"/>
  <c r="L20" i="7"/>
  <c r="L23" i="9"/>
  <c r="N25" i="13"/>
  <c r="O11" i="11"/>
  <c r="M9" i="7"/>
  <c r="M15" i="9"/>
  <c r="O17" i="13"/>
  <c r="M20" i="9"/>
  <c r="O22" i="13"/>
  <c r="M16" i="8"/>
  <c r="O18" i="12"/>
  <c r="M24" i="9"/>
  <c r="O26" i="13"/>
  <c r="L28" i="6"/>
  <c r="N30" i="4"/>
  <c r="I20" i="6"/>
  <c r="K12" i="4"/>
  <c r="I10" i="6"/>
  <c r="K13" i="4"/>
  <c r="I11" i="6"/>
  <c r="K11" i="4"/>
  <c r="I9" i="6"/>
  <c r="E17" i="4"/>
  <c r="D15" i="6" s="1"/>
  <c r="R15" i="6" s="1"/>
  <c r="N68" i="16" l="1"/>
  <c r="P67" i="16"/>
  <c r="Q67" i="16"/>
  <c r="P65" i="16"/>
  <c r="N66" i="16"/>
  <c r="Q65" i="16"/>
  <c r="O30" i="4"/>
  <c r="M28" i="6"/>
  <c r="N16" i="8"/>
  <c r="P18" i="12"/>
  <c r="N15" i="9"/>
  <c r="P17" i="13"/>
  <c r="M25" i="6"/>
  <c r="O27" i="4"/>
  <c r="D17" i="8"/>
  <c r="R17" i="8" s="1"/>
  <c r="E20" i="12"/>
  <c r="N11" i="9"/>
  <c r="P13" i="13"/>
  <c r="N9" i="9"/>
  <c r="P11" i="13"/>
  <c r="P21" i="11"/>
  <c r="N19" i="7"/>
  <c r="N8" i="9"/>
  <c r="P10" i="13"/>
  <c r="M30" i="6"/>
  <c r="O32" i="4"/>
  <c r="M17" i="8"/>
  <c r="O19" i="12"/>
  <c r="N13" i="9"/>
  <c r="P15" i="13"/>
  <c r="E20" i="11"/>
  <c r="D17" i="7"/>
  <c r="R17" i="7" s="1"/>
  <c r="D18" i="9"/>
  <c r="R18" i="9" s="1"/>
  <c r="M22" i="9"/>
  <c r="O24" i="13"/>
  <c r="M20" i="8"/>
  <c r="O22" i="12"/>
  <c r="P11" i="11"/>
  <c r="N9" i="7"/>
  <c r="O22" i="11"/>
  <c r="M20" i="7"/>
  <c r="M17" i="7"/>
  <c r="O19" i="11"/>
  <c r="O28" i="4"/>
  <c r="M26" i="6"/>
  <c r="M11" i="8"/>
  <c r="O13" i="12"/>
  <c r="M13" i="8"/>
  <c r="O15" i="12"/>
  <c r="M8" i="8"/>
  <c r="O10" i="12"/>
  <c r="M24" i="6"/>
  <c r="O26" i="4"/>
  <c r="P33" i="4"/>
  <c r="N31" i="6"/>
  <c r="P13" i="11"/>
  <c r="N11" i="7"/>
  <c r="P12" i="11"/>
  <c r="N10" i="7"/>
  <c r="O31" i="4"/>
  <c r="M29" i="6"/>
  <c r="M18" i="8"/>
  <c r="O20" i="12"/>
  <c r="M21" i="6"/>
  <c r="O23" i="4"/>
  <c r="N24" i="9"/>
  <c r="P26" i="13"/>
  <c r="N20" i="9"/>
  <c r="P22" i="13"/>
  <c r="M23" i="9"/>
  <c r="O25" i="13"/>
  <c r="O29" i="4"/>
  <c r="M27" i="6"/>
  <c r="O16" i="11"/>
  <c r="M14" i="7"/>
  <c r="O10" i="11"/>
  <c r="M8" i="7"/>
  <c r="N9" i="8"/>
  <c r="P11" i="12"/>
  <c r="N10" i="8"/>
  <c r="P12" i="12"/>
  <c r="M19" i="9"/>
  <c r="O21" i="13"/>
  <c r="M16" i="9"/>
  <c r="O18" i="13"/>
  <c r="M21" i="9"/>
  <c r="O23" i="13"/>
  <c r="M10" i="9"/>
  <c r="O12" i="13"/>
  <c r="O24" i="4"/>
  <c r="M22" i="6"/>
  <c r="M12" i="8"/>
  <c r="O14" i="12"/>
  <c r="M23" i="6"/>
  <c r="O25" i="4"/>
  <c r="M14" i="8"/>
  <c r="O16" i="12"/>
  <c r="M15" i="8"/>
  <c r="O17" i="12"/>
  <c r="M19" i="8"/>
  <c r="O21" i="12"/>
  <c r="O20" i="11"/>
  <c r="M18" i="7"/>
  <c r="M18" i="9"/>
  <c r="O20" i="13"/>
  <c r="P34" i="4"/>
  <c r="N32" i="6"/>
  <c r="O15" i="11"/>
  <c r="M13" i="7"/>
  <c r="M15" i="7"/>
  <c r="O17" i="11"/>
  <c r="O24" i="11"/>
  <c r="M22" i="7"/>
  <c r="P14" i="11"/>
  <c r="N12" i="7"/>
  <c r="M17" i="9"/>
  <c r="O19" i="13"/>
  <c r="M14" i="9"/>
  <c r="O16" i="13"/>
  <c r="M12" i="9"/>
  <c r="O14" i="13"/>
  <c r="O23" i="11"/>
  <c r="M21" i="7"/>
  <c r="J20" i="6"/>
  <c r="L11" i="4"/>
  <c r="J9" i="6"/>
  <c r="L13" i="4"/>
  <c r="J11" i="6"/>
  <c r="L12" i="4"/>
  <c r="J10" i="6"/>
  <c r="E18" i="4"/>
  <c r="D16" i="6" s="1"/>
  <c r="R16" i="6" s="1"/>
  <c r="P68" i="16" l="1"/>
  <c r="P66" i="16"/>
  <c r="R67" i="16"/>
  <c r="S67" i="16"/>
  <c r="S65" i="16"/>
  <c r="R65" i="16"/>
  <c r="N14" i="9"/>
  <c r="P16" i="13"/>
  <c r="P25" i="4"/>
  <c r="N23" i="6"/>
  <c r="N10" i="9"/>
  <c r="P12" i="13"/>
  <c r="N16" i="9"/>
  <c r="P18" i="13"/>
  <c r="O10" i="8"/>
  <c r="Q12" i="12"/>
  <c r="O20" i="9"/>
  <c r="Q22" i="13"/>
  <c r="N21" i="6"/>
  <c r="P23" i="4"/>
  <c r="P26" i="4"/>
  <c r="N24" i="6"/>
  <c r="N13" i="8"/>
  <c r="P15" i="12"/>
  <c r="N20" i="8"/>
  <c r="P22" i="12"/>
  <c r="D19" i="9"/>
  <c r="R19" i="9" s="1"/>
  <c r="O13" i="9"/>
  <c r="Q15" i="13"/>
  <c r="P32" i="4"/>
  <c r="N30" i="6"/>
  <c r="O11" i="9"/>
  <c r="Q13" i="13"/>
  <c r="N25" i="6"/>
  <c r="P27" i="4"/>
  <c r="O16" i="8"/>
  <c r="Q18" i="12"/>
  <c r="P17" i="11"/>
  <c r="N15" i="7"/>
  <c r="N15" i="8"/>
  <c r="P17" i="12"/>
  <c r="P23" i="11"/>
  <c r="N21" i="7"/>
  <c r="Q14" i="11"/>
  <c r="O12" i="7"/>
  <c r="O32" i="6"/>
  <c r="Q34" i="4"/>
  <c r="P20" i="11"/>
  <c r="N18" i="7"/>
  <c r="P24" i="4"/>
  <c r="N22" i="6"/>
  <c r="P10" i="11"/>
  <c r="N8" i="7"/>
  <c r="N27" i="6"/>
  <c r="P29" i="4"/>
  <c r="P31" i="4"/>
  <c r="N29" i="6"/>
  <c r="Q13" i="11"/>
  <c r="O11" i="7"/>
  <c r="N26" i="6"/>
  <c r="P28" i="4"/>
  <c r="P22" i="11"/>
  <c r="N20" i="7"/>
  <c r="Q21" i="11"/>
  <c r="O19" i="7"/>
  <c r="N12" i="9"/>
  <c r="P14" i="13"/>
  <c r="N18" i="9"/>
  <c r="P20" i="13"/>
  <c r="N14" i="8"/>
  <c r="P16" i="12"/>
  <c r="N21" i="9"/>
  <c r="P23" i="13"/>
  <c r="O9" i="8"/>
  <c r="Q11" i="12"/>
  <c r="N23" i="9"/>
  <c r="P25" i="13"/>
  <c r="O24" i="9"/>
  <c r="Q26" i="13"/>
  <c r="N18" i="8"/>
  <c r="P20" i="12"/>
  <c r="N8" i="8"/>
  <c r="P10" i="12"/>
  <c r="N11" i="8"/>
  <c r="P13" i="12"/>
  <c r="P19" i="11"/>
  <c r="N17" i="7"/>
  <c r="N22" i="9"/>
  <c r="P24" i="13"/>
  <c r="N17" i="8"/>
  <c r="P19" i="12"/>
  <c r="Q10" i="13"/>
  <c r="O8" i="9"/>
  <c r="O9" i="9"/>
  <c r="Q11" i="13"/>
  <c r="D18" i="8"/>
  <c r="R18" i="8" s="1"/>
  <c r="E21" i="12"/>
  <c r="O15" i="9"/>
  <c r="Q17" i="13"/>
  <c r="N17" i="9"/>
  <c r="P19" i="13"/>
  <c r="N19" i="8"/>
  <c r="P21" i="12"/>
  <c r="N12" i="8"/>
  <c r="P14" i="12"/>
  <c r="N19" i="9"/>
  <c r="P21" i="13"/>
  <c r="P24" i="11"/>
  <c r="N22" i="7"/>
  <c r="P15" i="11"/>
  <c r="N13" i="7"/>
  <c r="P16" i="11"/>
  <c r="N14" i="7"/>
  <c r="Q12" i="11"/>
  <c r="O10" i="7"/>
  <c r="Q33" i="4"/>
  <c r="O31" i="6"/>
  <c r="Q11" i="11"/>
  <c r="O9" i="7"/>
  <c r="D18" i="7"/>
  <c r="R18" i="7" s="1"/>
  <c r="E21" i="11"/>
  <c r="P30" i="4"/>
  <c r="N28" i="6"/>
  <c r="K20" i="6"/>
  <c r="M13" i="4"/>
  <c r="K11" i="6"/>
  <c r="M12" i="4"/>
  <c r="K10" i="6"/>
  <c r="M11" i="4"/>
  <c r="K9" i="6"/>
  <c r="E19" i="4"/>
  <c r="D17" i="6" s="1"/>
  <c r="R17" i="6" s="1"/>
  <c r="R68" i="16" l="1"/>
  <c r="U67" i="16"/>
  <c r="T67" i="16"/>
  <c r="R66" i="16"/>
  <c r="T65" i="16"/>
  <c r="U65" i="16"/>
  <c r="O12" i="8"/>
  <c r="Q14" i="12"/>
  <c r="O17" i="9"/>
  <c r="Q19" i="13"/>
  <c r="D19" i="8"/>
  <c r="R19" i="8" s="1"/>
  <c r="E22" i="12"/>
  <c r="Q24" i="13"/>
  <c r="O22" i="9"/>
  <c r="O11" i="8"/>
  <c r="Q13" i="12"/>
  <c r="O18" i="8"/>
  <c r="Q20" i="12"/>
  <c r="Q25" i="13"/>
  <c r="O23" i="9"/>
  <c r="Q23" i="13"/>
  <c r="O21" i="9"/>
  <c r="O18" i="9"/>
  <c r="Q20" i="13"/>
  <c r="Q28" i="4"/>
  <c r="O26" i="6"/>
  <c r="O15" i="8"/>
  <c r="Q17" i="12"/>
  <c r="P16" i="8"/>
  <c r="R18" i="12"/>
  <c r="Q16" i="8" s="1"/>
  <c r="P11" i="9"/>
  <c r="R13" i="13"/>
  <c r="Q11" i="9" s="1"/>
  <c r="P13" i="9"/>
  <c r="R15" i="13"/>
  <c r="Q13" i="9" s="1"/>
  <c r="O20" i="8"/>
  <c r="Q22" i="12"/>
  <c r="P20" i="9"/>
  <c r="R22" i="13"/>
  <c r="Q20" i="9" s="1"/>
  <c r="O16" i="9"/>
  <c r="Q18" i="13"/>
  <c r="Q30" i="4"/>
  <c r="O28" i="6"/>
  <c r="P9" i="7"/>
  <c r="R11" i="11"/>
  <c r="Q9" i="7" s="1"/>
  <c r="R12" i="11"/>
  <c r="Q10" i="7" s="1"/>
  <c r="P10" i="7"/>
  <c r="Q24" i="11"/>
  <c r="O22" i="7"/>
  <c r="R10" i="13"/>
  <c r="Q8" i="9" s="1"/>
  <c r="P8" i="9"/>
  <c r="R21" i="11"/>
  <c r="Q19" i="7" s="1"/>
  <c r="P19" i="7"/>
  <c r="Q31" i="4"/>
  <c r="O29" i="6"/>
  <c r="O8" i="7"/>
  <c r="Q10" i="11"/>
  <c r="O18" i="7"/>
  <c r="Q20" i="11"/>
  <c r="P12" i="7"/>
  <c r="R14" i="11"/>
  <c r="Q12" i="7" s="1"/>
  <c r="Q26" i="4"/>
  <c r="O24" i="6"/>
  <c r="O23" i="6"/>
  <c r="Q25" i="4"/>
  <c r="O19" i="9"/>
  <c r="Q21" i="13"/>
  <c r="P15" i="9"/>
  <c r="R17" i="13"/>
  <c r="Q15" i="9" s="1"/>
  <c r="O17" i="8"/>
  <c r="Q19" i="12"/>
  <c r="O8" i="8"/>
  <c r="Q10" i="12"/>
  <c r="P24" i="9"/>
  <c r="R26" i="13"/>
  <c r="Q24" i="9" s="1"/>
  <c r="P9" i="8"/>
  <c r="R11" i="12"/>
  <c r="Q9" i="8" s="1"/>
  <c r="O14" i="8"/>
  <c r="Q16" i="12"/>
  <c r="O12" i="9"/>
  <c r="Q14" i="13"/>
  <c r="Q29" i="4"/>
  <c r="O27" i="6"/>
  <c r="P32" i="6"/>
  <c r="R34" i="4"/>
  <c r="Q32" i="6" s="1"/>
  <c r="Q27" i="4"/>
  <c r="O25" i="6"/>
  <c r="D20" i="9"/>
  <c r="R20" i="9" s="1"/>
  <c r="O13" i="8"/>
  <c r="Q15" i="12"/>
  <c r="O21" i="6"/>
  <c r="Q23" i="4"/>
  <c r="P10" i="8"/>
  <c r="R12" i="12"/>
  <c r="Q10" i="8" s="1"/>
  <c r="O10" i="9"/>
  <c r="Q12" i="13"/>
  <c r="O14" i="9"/>
  <c r="Q16" i="13"/>
  <c r="D19" i="7"/>
  <c r="R19" i="7" s="1"/>
  <c r="E22" i="11"/>
  <c r="O19" i="8"/>
  <c r="Q21" i="12"/>
  <c r="P9" i="9"/>
  <c r="R11" i="13"/>
  <c r="Q9" i="9" s="1"/>
  <c r="P31" i="6"/>
  <c r="R33" i="4"/>
  <c r="Q31" i="6" s="1"/>
  <c r="O14" i="7"/>
  <c r="Q16" i="11"/>
  <c r="O13" i="7"/>
  <c r="Q15" i="11"/>
  <c r="O17" i="7"/>
  <c r="Q19" i="11"/>
  <c r="Q22" i="11"/>
  <c r="O20" i="7"/>
  <c r="R13" i="11"/>
  <c r="Q11" i="7" s="1"/>
  <c r="P11" i="7"/>
  <c r="O22" i="6"/>
  <c r="Q24" i="4"/>
  <c r="Q23" i="11"/>
  <c r="O21" i="7"/>
  <c r="Q17" i="11"/>
  <c r="O15" i="7"/>
  <c r="Q32" i="4"/>
  <c r="O30" i="6"/>
  <c r="L20" i="6"/>
  <c r="N11" i="4"/>
  <c r="L9" i="6"/>
  <c r="N12" i="4"/>
  <c r="L10" i="6"/>
  <c r="N13" i="4"/>
  <c r="L11" i="6"/>
  <c r="E20" i="4"/>
  <c r="D18" i="6" s="1"/>
  <c r="R18" i="6" s="1"/>
  <c r="V67" i="16" l="1"/>
  <c r="T68" i="16"/>
  <c r="W67" i="16"/>
  <c r="V68" i="16" s="1"/>
  <c r="W65" i="16"/>
  <c r="T66" i="16"/>
  <c r="V65" i="16"/>
  <c r="R16" i="11"/>
  <c r="Q14" i="7" s="1"/>
  <c r="P14" i="7"/>
  <c r="E23" i="11"/>
  <c r="D20" i="7"/>
  <c r="R20" i="7" s="1"/>
  <c r="R23" i="4"/>
  <c r="Q21" i="6" s="1"/>
  <c r="P21" i="6"/>
  <c r="P8" i="8"/>
  <c r="R10" i="12"/>
  <c r="Q8" i="8" s="1"/>
  <c r="R25" i="4"/>
  <c r="Q23" i="6" s="1"/>
  <c r="P23" i="6"/>
  <c r="R10" i="11"/>
  <c r="Q8" i="7" s="1"/>
  <c r="P8" i="7"/>
  <c r="P18" i="8"/>
  <c r="R20" i="12"/>
  <c r="Q18" i="8" s="1"/>
  <c r="P17" i="9"/>
  <c r="R19" i="13"/>
  <c r="Q17" i="9" s="1"/>
  <c r="R19" i="11"/>
  <c r="Q17" i="7" s="1"/>
  <c r="P17" i="7"/>
  <c r="P10" i="9"/>
  <c r="R12" i="13"/>
  <c r="Q10" i="9" s="1"/>
  <c r="D21" i="9"/>
  <c r="R21" i="9" s="1"/>
  <c r="P12" i="9"/>
  <c r="R14" i="13"/>
  <c r="Q12" i="9" s="1"/>
  <c r="R32" i="4"/>
  <c r="Q30" i="6" s="1"/>
  <c r="P30" i="6"/>
  <c r="R23" i="11"/>
  <c r="Q21" i="7" s="1"/>
  <c r="P21" i="7"/>
  <c r="R24" i="11"/>
  <c r="Q22" i="7" s="1"/>
  <c r="P22" i="7"/>
  <c r="R28" i="4"/>
  <c r="Q26" i="6" s="1"/>
  <c r="P26" i="6"/>
  <c r="R23" i="13"/>
  <c r="Q21" i="9" s="1"/>
  <c r="P21" i="9"/>
  <c r="R24" i="13"/>
  <c r="Q22" i="9" s="1"/>
  <c r="P22" i="9"/>
  <c r="P13" i="7"/>
  <c r="R15" i="11"/>
  <c r="Q13" i="7" s="1"/>
  <c r="P19" i="8"/>
  <c r="R21" i="12"/>
  <c r="Q19" i="8" s="1"/>
  <c r="P14" i="9"/>
  <c r="R16" i="13"/>
  <c r="Q14" i="9" s="1"/>
  <c r="P13" i="8"/>
  <c r="R15" i="12"/>
  <c r="Q13" i="8" s="1"/>
  <c r="P14" i="8"/>
  <c r="R16" i="12"/>
  <c r="Q14" i="8" s="1"/>
  <c r="P17" i="8"/>
  <c r="R19" i="12"/>
  <c r="Q17" i="8" s="1"/>
  <c r="P19" i="9"/>
  <c r="R21" i="13"/>
  <c r="Q19" i="9" s="1"/>
  <c r="P18" i="7"/>
  <c r="R20" i="11"/>
  <c r="Q18" i="7" s="1"/>
  <c r="P16" i="9"/>
  <c r="R18" i="13"/>
  <c r="Q16" i="9" s="1"/>
  <c r="P20" i="8"/>
  <c r="R22" i="12"/>
  <c r="Q20" i="8" s="1"/>
  <c r="P15" i="8"/>
  <c r="R17" i="12"/>
  <c r="Q15" i="8" s="1"/>
  <c r="P18" i="9"/>
  <c r="R20" i="13"/>
  <c r="Q18" i="9" s="1"/>
  <c r="P11" i="8"/>
  <c r="R13" i="12"/>
  <c r="Q11" i="8" s="1"/>
  <c r="D20" i="8"/>
  <c r="R20" i="8" s="1"/>
  <c r="E23" i="12"/>
  <c r="P12" i="8"/>
  <c r="R14" i="12"/>
  <c r="Q12" i="8" s="1"/>
  <c r="R24" i="4"/>
  <c r="Q22" i="6" s="1"/>
  <c r="P22" i="6"/>
  <c r="R17" i="11"/>
  <c r="Q15" i="7" s="1"/>
  <c r="P15" i="7"/>
  <c r="R22" i="11"/>
  <c r="Q20" i="7" s="1"/>
  <c r="P20" i="7"/>
  <c r="R27" i="4"/>
  <c r="Q25" i="6" s="1"/>
  <c r="P25" i="6"/>
  <c r="R29" i="4"/>
  <c r="Q27" i="6" s="1"/>
  <c r="P27" i="6"/>
  <c r="R26" i="4"/>
  <c r="Q24" i="6" s="1"/>
  <c r="P24" i="6"/>
  <c r="R31" i="4"/>
  <c r="Q29" i="6" s="1"/>
  <c r="P29" i="6"/>
  <c r="R30" i="4"/>
  <c r="Q28" i="6" s="1"/>
  <c r="P28" i="6"/>
  <c r="R25" i="13"/>
  <c r="Q23" i="9" s="1"/>
  <c r="P23" i="9"/>
  <c r="M20" i="6"/>
  <c r="O13" i="4"/>
  <c r="M11" i="6"/>
  <c r="O12" i="4"/>
  <c r="M10" i="6"/>
  <c r="O11" i="4"/>
  <c r="M9" i="6"/>
  <c r="E21" i="4"/>
  <c r="D19" i="6" s="1"/>
  <c r="R19" i="6" s="1"/>
  <c r="Y67" i="16" l="1"/>
  <c r="Z67" i="16"/>
  <c r="AA67" i="16"/>
  <c r="X67" i="16"/>
  <c r="V66" i="16"/>
  <c r="Z65" i="16"/>
  <c r="AA65" i="16"/>
  <c r="X65" i="16"/>
  <c r="Y65" i="16"/>
  <c r="D21" i="7"/>
  <c r="R21" i="7" s="1"/>
  <c r="E24" i="11"/>
  <c r="E24" i="12"/>
  <c r="D21" i="8"/>
  <c r="R21" i="8" s="1"/>
  <c r="D22" i="9"/>
  <c r="R22" i="9" s="1"/>
  <c r="N20" i="6"/>
  <c r="E22" i="4"/>
  <c r="D20" i="6" s="1"/>
  <c r="R20" i="6" s="1"/>
  <c r="P11" i="4"/>
  <c r="N9" i="6"/>
  <c r="P13" i="4"/>
  <c r="N11" i="6"/>
  <c r="P12" i="4"/>
  <c r="N10" i="6"/>
  <c r="X68" i="16" l="1"/>
  <c r="Z68" i="16"/>
  <c r="Z66" i="16"/>
  <c r="X66" i="16"/>
  <c r="D22" i="8"/>
  <c r="R22" i="8" s="1"/>
  <c r="E25" i="12"/>
  <c r="D23" i="9"/>
  <c r="R23" i="9" s="1"/>
  <c r="D22" i="7"/>
  <c r="E25" i="11"/>
  <c r="O20" i="6"/>
  <c r="E23" i="4"/>
  <c r="D21" i="6" s="1"/>
  <c r="R21" i="6" s="1"/>
  <c r="Q13" i="4"/>
  <c r="O11" i="6"/>
  <c r="Q12" i="4"/>
  <c r="O10" i="6"/>
  <c r="Q11" i="4"/>
  <c r="O9" i="6"/>
  <c r="R22" i="7" l="1"/>
  <c r="D24" i="9"/>
  <c r="R24" i="9" s="1"/>
  <c r="E26" i="11"/>
  <c r="D23" i="7"/>
  <c r="R23" i="7" s="1"/>
  <c r="D23" i="8"/>
  <c r="R23" i="8" s="1"/>
  <c r="E26" i="12"/>
  <c r="E24" i="4"/>
  <c r="D22" i="6" s="1"/>
  <c r="R22" i="6" s="1"/>
  <c r="Q20" i="6"/>
  <c r="P20" i="6"/>
  <c r="R11" i="4"/>
  <c r="P9" i="6"/>
  <c r="R13" i="4"/>
  <c r="P11" i="6"/>
  <c r="R12" i="4"/>
  <c r="P10" i="6"/>
  <c r="D24" i="7" l="1"/>
  <c r="R24" i="7" s="1"/>
  <c r="E27" i="11"/>
  <c r="D25" i="9"/>
  <c r="R25" i="9" s="1"/>
  <c r="D24" i="8"/>
  <c r="R24" i="8" s="1"/>
  <c r="E27" i="12"/>
  <c r="E25" i="4"/>
  <c r="D23" i="6" s="1"/>
  <c r="R23" i="6" s="1"/>
  <c r="J13" i="16"/>
  <c r="N14" i="16" s="1"/>
  <c r="N15" i="16" s="1"/>
  <c r="Q10" i="6"/>
  <c r="Q11" i="6"/>
  <c r="Q9" i="6"/>
  <c r="D26" i="9" l="1"/>
  <c r="E28" i="11"/>
  <c r="D25" i="7"/>
  <c r="D25" i="8"/>
  <c r="R25" i="8" s="1"/>
  <c r="E28" i="12"/>
  <c r="E26" i="4"/>
  <c r="D24" i="6" s="1"/>
  <c r="R24" i="6" s="1"/>
  <c r="G15" i="4"/>
  <c r="G14" i="4"/>
  <c r="R27" i="9" l="1"/>
  <c r="R26" i="9"/>
  <c r="C10" i="16"/>
  <c r="I10" i="16" s="1"/>
  <c r="E67" i="16"/>
  <c r="D67" i="16"/>
  <c r="C67" i="16"/>
  <c r="C37" i="16"/>
  <c r="R25" i="7"/>
  <c r="E29" i="11"/>
  <c r="D26" i="7"/>
  <c r="R26" i="7" s="1"/>
  <c r="D26" i="8"/>
  <c r="R26" i="8" s="1"/>
  <c r="E29" i="12"/>
  <c r="E27" i="4"/>
  <c r="D25" i="6" s="1"/>
  <c r="R25" i="6" s="1"/>
  <c r="F12" i="6"/>
  <c r="F13" i="6"/>
  <c r="H14" i="4"/>
  <c r="H15" i="4"/>
  <c r="G17" i="4"/>
  <c r="D68" i="16" l="1"/>
  <c r="E30" i="12"/>
  <c r="D28" i="8" s="1"/>
  <c r="D27" i="8"/>
  <c r="R27" i="8" s="1"/>
  <c r="K10" i="16"/>
  <c r="M10" i="16"/>
  <c r="M37" i="16"/>
  <c r="I37" i="16"/>
  <c r="K37" i="16"/>
  <c r="E30" i="11"/>
  <c r="D27" i="7"/>
  <c r="R27" i="7" s="1"/>
  <c r="E28" i="4"/>
  <c r="D26" i="6" s="1"/>
  <c r="R26" i="6" s="1"/>
  <c r="G13" i="6"/>
  <c r="I15" i="4"/>
  <c r="I14" i="4"/>
  <c r="G12" i="6"/>
  <c r="F15" i="6"/>
  <c r="H17" i="4"/>
  <c r="G16" i="4"/>
  <c r="D65" i="16" l="1"/>
  <c r="C36" i="16"/>
  <c r="I36" i="16" s="1"/>
  <c r="C9" i="16"/>
  <c r="M9" i="16" s="1"/>
  <c r="C65" i="16"/>
  <c r="E65" i="16"/>
  <c r="D66" i="16" s="1"/>
  <c r="R28" i="8"/>
  <c r="E31" i="11"/>
  <c r="D28" i="7"/>
  <c r="R28" i="7" s="1"/>
  <c r="E29" i="4"/>
  <c r="D27" i="6" s="1"/>
  <c r="R27" i="6" s="1"/>
  <c r="F14" i="6"/>
  <c r="I17" i="4"/>
  <c r="G15" i="6"/>
  <c r="J15" i="4"/>
  <c r="H13" i="6"/>
  <c r="J14" i="4"/>
  <c r="H12" i="6"/>
  <c r="H16" i="4"/>
  <c r="G18" i="4"/>
  <c r="G19" i="4"/>
  <c r="M36" i="16" l="1"/>
  <c r="K36" i="16"/>
  <c r="K9" i="16"/>
  <c r="I9" i="16"/>
  <c r="E32" i="11"/>
  <c r="D29" i="7"/>
  <c r="R29" i="7" s="1"/>
  <c r="E30" i="4"/>
  <c r="D28" i="6" s="1"/>
  <c r="R28" i="6" s="1"/>
  <c r="H19" i="4"/>
  <c r="F17" i="6"/>
  <c r="I16" i="4"/>
  <c r="G14" i="6"/>
  <c r="K14" i="4"/>
  <c r="I12" i="6"/>
  <c r="H18" i="4"/>
  <c r="F16" i="6"/>
  <c r="J17" i="4"/>
  <c r="H15" i="6"/>
  <c r="K15" i="4"/>
  <c r="I13" i="6"/>
  <c r="E33" i="11" l="1"/>
  <c r="D30" i="7"/>
  <c r="R30" i="7" s="1"/>
  <c r="E31" i="4"/>
  <c r="D29" i="6" s="1"/>
  <c r="R29" i="6" s="1"/>
  <c r="L15" i="4"/>
  <c r="J13" i="6"/>
  <c r="I18" i="4"/>
  <c r="G16" i="6"/>
  <c r="J16" i="4"/>
  <c r="H14" i="6"/>
  <c r="K17" i="4"/>
  <c r="I15" i="6"/>
  <c r="L14" i="4"/>
  <c r="J12" i="6"/>
  <c r="I19" i="4"/>
  <c r="G17" i="6"/>
  <c r="G21" i="4"/>
  <c r="G20" i="4"/>
  <c r="E34" i="11" l="1"/>
  <c r="D31" i="7"/>
  <c r="R31" i="7" s="1"/>
  <c r="E32" i="4"/>
  <c r="D30" i="6" s="1"/>
  <c r="R30" i="6" s="1"/>
  <c r="L17" i="4"/>
  <c r="J15" i="6"/>
  <c r="H20" i="4"/>
  <c r="F18" i="6"/>
  <c r="K16" i="4"/>
  <c r="I14" i="6"/>
  <c r="F19" i="6"/>
  <c r="M14" i="4"/>
  <c r="K12" i="6"/>
  <c r="J18" i="4"/>
  <c r="H16" i="6"/>
  <c r="J19" i="4"/>
  <c r="H17" i="6"/>
  <c r="M15" i="4"/>
  <c r="K13" i="6"/>
  <c r="H21" i="4"/>
  <c r="E35" i="11" l="1"/>
  <c r="D32" i="7"/>
  <c r="R32" i="7" s="1"/>
  <c r="E33" i="4"/>
  <c r="D31" i="6" s="1"/>
  <c r="R31" i="6" s="1"/>
  <c r="K19" i="4"/>
  <c r="I17" i="6"/>
  <c r="I21" i="4"/>
  <c r="G19" i="6"/>
  <c r="K18" i="4"/>
  <c r="I16" i="6"/>
  <c r="I20" i="4"/>
  <c r="G18" i="6"/>
  <c r="N15" i="4"/>
  <c r="L13" i="6"/>
  <c r="N14" i="4"/>
  <c r="L12" i="6"/>
  <c r="L16" i="4"/>
  <c r="J14" i="6"/>
  <c r="M17" i="4"/>
  <c r="K15" i="6"/>
  <c r="E36" i="11" l="1"/>
  <c r="D33" i="7"/>
  <c r="E34" i="4"/>
  <c r="D32" i="6" s="1"/>
  <c r="R32" i="6" s="1"/>
  <c r="O14" i="4"/>
  <c r="M12" i="6"/>
  <c r="J20" i="4"/>
  <c r="H18" i="6"/>
  <c r="J21" i="4"/>
  <c r="H19" i="6"/>
  <c r="N17" i="4"/>
  <c r="L15" i="6"/>
  <c r="M16" i="4"/>
  <c r="K14" i="6"/>
  <c r="O15" i="4"/>
  <c r="M13" i="6"/>
  <c r="L18" i="4"/>
  <c r="J16" i="6"/>
  <c r="L19" i="4"/>
  <c r="J17" i="6"/>
  <c r="E37" i="11" l="1"/>
  <c r="D34" i="7"/>
  <c r="E35" i="4"/>
  <c r="D33" i="6" s="1"/>
  <c r="M18" i="4"/>
  <c r="K16" i="6"/>
  <c r="N16" i="4"/>
  <c r="L14" i="6"/>
  <c r="O17" i="4"/>
  <c r="M15" i="6"/>
  <c r="K20" i="4"/>
  <c r="I18" i="6"/>
  <c r="M19" i="4"/>
  <c r="K17" i="6"/>
  <c r="P15" i="4"/>
  <c r="N13" i="6"/>
  <c r="K21" i="4"/>
  <c r="L21" i="4" s="1"/>
  <c r="I19" i="6"/>
  <c r="P14" i="4"/>
  <c r="N12" i="6"/>
  <c r="E38" i="11" l="1"/>
  <c r="D35" i="7"/>
  <c r="E36" i="4"/>
  <c r="D34" i="6" s="1"/>
  <c r="Q14" i="4"/>
  <c r="O12" i="6"/>
  <c r="O16" i="4"/>
  <c r="M14" i="6"/>
  <c r="Q15" i="4"/>
  <c r="O13" i="6"/>
  <c r="L20" i="4"/>
  <c r="J18" i="6"/>
  <c r="J19" i="6"/>
  <c r="N19" i="4"/>
  <c r="L17" i="6"/>
  <c r="P17" i="4"/>
  <c r="N15" i="6"/>
  <c r="N18" i="4"/>
  <c r="L16" i="6"/>
  <c r="D61" i="16" l="1"/>
  <c r="E61" i="16"/>
  <c r="E39" i="11"/>
  <c r="D36" i="7"/>
  <c r="E37" i="4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M20" i="4"/>
  <c r="K18" i="6"/>
  <c r="O18" i="4"/>
  <c r="M16" i="6"/>
  <c r="O19" i="4"/>
  <c r="M17" i="6"/>
  <c r="P16" i="4"/>
  <c r="N14" i="6"/>
  <c r="M21" i="4"/>
  <c r="K19" i="6"/>
  <c r="Q17" i="4"/>
  <c r="O15" i="6"/>
  <c r="R15" i="4"/>
  <c r="P13" i="6"/>
  <c r="R14" i="4"/>
  <c r="P12" i="6"/>
  <c r="D62" i="16" l="1"/>
  <c r="E40" i="1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D37" i="7"/>
  <c r="Q13" i="6"/>
  <c r="N21" i="4"/>
  <c r="L19" i="6"/>
  <c r="P19" i="4"/>
  <c r="N17" i="6"/>
  <c r="N20" i="4"/>
  <c r="L18" i="6"/>
  <c r="Q12" i="6"/>
  <c r="R17" i="4"/>
  <c r="P15" i="6"/>
  <c r="Q16" i="4"/>
  <c r="O14" i="6"/>
  <c r="P18" i="4"/>
  <c r="N16" i="6"/>
  <c r="E63" i="16" l="1"/>
  <c r="D63" i="16"/>
  <c r="D73" i="16" s="1"/>
  <c r="G4" i="18" s="1"/>
  <c r="R16" i="4"/>
  <c r="P14" i="6"/>
  <c r="O20" i="4"/>
  <c r="M18" i="6"/>
  <c r="O21" i="4"/>
  <c r="M19" i="6"/>
  <c r="Q18" i="4"/>
  <c r="O16" i="6"/>
  <c r="Q19" i="4"/>
  <c r="O17" i="6"/>
  <c r="Q15" i="6"/>
  <c r="I4" i="18" l="1"/>
  <c r="H4" i="18"/>
  <c r="D64" i="16"/>
  <c r="D74" i="16" s="1"/>
  <c r="E73" i="16"/>
  <c r="Q14" i="6"/>
  <c r="R18" i="4"/>
  <c r="P16" i="6"/>
  <c r="P20" i="4"/>
  <c r="N18" i="6"/>
  <c r="R19" i="4"/>
  <c r="P17" i="6"/>
  <c r="P21" i="4"/>
  <c r="N19" i="6"/>
  <c r="V43" i="18" l="1"/>
  <c r="V27" i="18"/>
  <c r="V11" i="18"/>
  <c r="V51" i="18"/>
  <c r="V35" i="18"/>
  <c r="V19" i="18"/>
  <c r="Q21" i="4"/>
  <c r="O19" i="6"/>
  <c r="Q16" i="6"/>
  <c r="Q20" i="4"/>
  <c r="O18" i="6"/>
  <c r="Q17" i="6"/>
  <c r="G10" i="4"/>
  <c r="R20" i="4" l="1"/>
  <c r="P18" i="6"/>
  <c r="H10" i="4"/>
  <c r="F8" i="6"/>
  <c r="R21" i="4"/>
  <c r="P19" i="6"/>
  <c r="F61" i="16" l="1"/>
  <c r="G61" i="16"/>
  <c r="Q18" i="6"/>
  <c r="I10" i="4"/>
  <c r="G8" i="6"/>
  <c r="Q19" i="6"/>
  <c r="F62" i="16" l="1"/>
  <c r="J10" i="4"/>
  <c r="H8" i="6"/>
  <c r="I61" i="16" l="1"/>
  <c r="H61" i="16"/>
  <c r="K10" i="4"/>
  <c r="I8" i="6"/>
  <c r="J61" i="16" s="1"/>
  <c r="H62" i="16" l="1"/>
  <c r="K61" i="16"/>
  <c r="L10" i="4"/>
  <c r="J8" i="6"/>
  <c r="M61" i="16" s="1"/>
  <c r="L61" i="16" l="1"/>
  <c r="J62" i="16"/>
  <c r="M10" i="4"/>
  <c r="K8" i="6"/>
  <c r="N61" i="16" s="1"/>
  <c r="O61" i="16" l="1"/>
  <c r="L62" i="16"/>
  <c r="N10" i="4"/>
  <c r="L8" i="6"/>
  <c r="P61" i="16" l="1"/>
  <c r="Q61" i="16"/>
  <c r="N62" i="16"/>
  <c r="O10" i="4"/>
  <c r="M8" i="6"/>
  <c r="S61" i="16" s="1"/>
  <c r="P62" i="16" l="1"/>
  <c r="R61" i="16"/>
  <c r="P10" i="4"/>
  <c r="N8" i="6"/>
  <c r="T61" i="16" s="1"/>
  <c r="R62" i="16" l="1"/>
  <c r="U61" i="16"/>
  <c r="Q10" i="4"/>
  <c r="O8" i="6"/>
  <c r="T62" i="16" l="1"/>
  <c r="W61" i="16"/>
  <c r="V61" i="16"/>
  <c r="R10" i="4"/>
  <c r="P8" i="6"/>
  <c r="Y61" i="16" l="1"/>
  <c r="X61" i="16"/>
  <c r="V62" i="16"/>
  <c r="Q8" i="6"/>
  <c r="X62" i="16" l="1"/>
  <c r="C7" i="16"/>
  <c r="I7" i="16" s="1"/>
  <c r="C61" i="16"/>
  <c r="C34" i="16"/>
  <c r="Z61" i="16"/>
  <c r="AA61" i="16"/>
  <c r="M7" i="16" l="1"/>
  <c r="K7" i="16"/>
  <c r="Z62" i="16"/>
  <c r="M34" i="16"/>
  <c r="I34" i="16"/>
  <c r="K34" i="16"/>
  <c r="S17" i="7" l="1"/>
  <c r="S16" i="7"/>
  <c r="F18" i="11"/>
  <c r="G18" i="11" s="1"/>
  <c r="F16" i="7" l="1"/>
  <c r="H18" i="11"/>
  <c r="G16" i="7" l="1"/>
  <c r="I18" i="11"/>
  <c r="F63" i="16"/>
  <c r="F73" i="16" s="1"/>
  <c r="G5" i="18" s="1"/>
  <c r="G63" i="16"/>
  <c r="H5" i="18" l="1"/>
  <c r="I5" i="18"/>
  <c r="H16" i="7"/>
  <c r="J18" i="11"/>
  <c r="G73" i="16"/>
  <c r="F64" i="16"/>
  <c r="F74" i="16" s="1"/>
  <c r="H63" i="16"/>
  <c r="H73" i="16" s="1"/>
  <c r="I63" i="16"/>
  <c r="V29" i="18" l="1"/>
  <c r="V37" i="18"/>
  <c r="V21" i="18"/>
  <c r="V45" i="18"/>
  <c r="V13" i="18"/>
  <c r="H64" i="16"/>
  <c r="H74" i="16" s="1"/>
  <c r="I73" i="16"/>
  <c r="I16" i="7"/>
  <c r="K63" i="16" s="1"/>
  <c r="K18" i="11"/>
  <c r="J63" i="16" l="1"/>
  <c r="J73" i="16" s="1"/>
  <c r="J16" i="7"/>
  <c r="M63" i="16" s="1"/>
  <c r="L18" i="11"/>
  <c r="K73" i="16"/>
  <c r="L63" i="16" l="1"/>
  <c r="L73" i="16" s="1"/>
  <c r="G6" i="18" s="1"/>
  <c r="J64" i="16"/>
  <c r="J74" i="16" s="1"/>
  <c r="K16" i="7"/>
  <c r="M18" i="11"/>
  <c r="M73" i="16"/>
  <c r="L64" i="16"/>
  <c r="L74" i="16" s="1"/>
  <c r="N63" i="16"/>
  <c r="N73" i="16" s="1"/>
  <c r="O63" i="16"/>
  <c r="H6" i="18" l="1"/>
  <c r="I6" i="18"/>
  <c r="N64" i="16"/>
  <c r="N74" i="16" s="1"/>
  <c r="O73" i="16"/>
  <c r="N18" i="11"/>
  <c r="L16" i="7"/>
  <c r="P63" i="16" s="1"/>
  <c r="P73" i="16" s="1"/>
  <c r="G7" i="18" s="1"/>
  <c r="V44" i="18" l="1"/>
  <c r="V28" i="18"/>
  <c r="V12" i="18"/>
  <c r="V36" i="18"/>
  <c r="V20" i="18"/>
  <c r="I8" i="18"/>
  <c r="I7" i="18"/>
  <c r="G8" i="18"/>
  <c r="H8" i="18" s="1"/>
  <c r="H7" i="18"/>
  <c r="Q63" i="16"/>
  <c r="P64" i="16" s="1"/>
  <c r="P74" i="16" s="1"/>
  <c r="O18" i="11"/>
  <c r="M16" i="7"/>
  <c r="R63" i="16" s="1"/>
  <c r="R73" i="16" s="1"/>
  <c r="V42" i="18" l="1"/>
  <c r="V10" i="18"/>
  <c r="V50" i="18"/>
  <c r="V34" i="18"/>
  <c r="V18" i="18"/>
  <c r="V26" i="18"/>
  <c r="V30" i="18"/>
  <c r="V38" i="18"/>
  <c r="V22" i="18"/>
  <c r="V6" i="18"/>
  <c r="V46" i="18"/>
  <c r="V14" i="18"/>
  <c r="Q73" i="16"/>
  <c r="S63" i="16"/>
  <c r="N16" i="7"/>
  <c r="U63" i="16" s="1"/>
  <c r="P18" i="11"/>
  <c r="T63" i="16" l="1"/>
  <c r="T73" i="16" s="1"/>
  <c r="U73" i="16"/>
  <c r="O16" i="7"/>
  <c r="W63" i="16" s="1"/>
  <c r="Q18" i="11"/>
  <c r="S73" i="16"/>
  <c r="R64" i="16"/>
  <c r="R74" i="16" s="1"/>
  <c r="T64" i="16" l="1"/>
  <c r="T74" i="16" s="1"/>
  <c r="W73" i="16"/>
  <c r="R18" i="11"/>
  <c r="Q16" i="7" s="1"/>
  <c r="P16" i="7"/>
  <c r="Y63" i="16" s="1"/>
  <c r="V63" i="16"/>
  <c r="V73" i="16" s="1"/>
  <c r="Z63" i="16" l="1"/>
  <c r="Z73" i="16" s="1"/>
  <c r="G10" i="18" s="1"/>
  <c r="H10" i="18" s="1"/>
  <c r="AA63" i="16"/>
  <c r="C63" i="16"/>
  <c r="C73" i="16" s="1"/>
  <c r="C8" i="16"/>
  <c r="C35" i="16"/>
  <c r="V64" i="16"/>
  <c r="V74" i="16" s="1"/>
  <c r="Y73" i="16"/>
  <c r="X63" i="16"/>
  <c r="X73" i="16" s="1"/>
  <c r="G9" i="18" s="1"/>
  <c r="H9" i="18" l="1"/>
  <c r="I9" i="18"/>
  <c r="I10" i="18"/>
  <c r="I11" i="18"/>
  <c r="X64" i="16"/>
  <c r="X74" i="16" s="1"/>
  <c r="C13" i="16"/>
  <c r="I8" i="16"/>
  <c r="M8" i="16"/>
  <c r="K8" i="16"/>
  <c r="K13" i="16" s="1"/>
  <c r="Z64" i="16"/>
  <c r="Z74" i="16" s="1"/>
  <c r="AA73" i="16"/>
  <c r="I35" i="16"/>
  <c r="K35" i="16"/>
  <c r="K40" i="16" s="1"/>
  <c r="M35" i="16"/>
  <c r="C40" i="16"/>
  <c r="V48" i="18" l="1"/>
  <c r="V40" i="18"/>
  <c r="V24" i="18"/>
  <c r="V8" i="18"/>
  <c r="V32" i="18"/>
  <c r="V16" i="18"/>
  <c r="V31" i="18"/>
  <c r="V39" i="18"/>
  <c r="V23" i="18"/>
  <c r="V7" i="18"/>
  <c r="V47" i="18"/>
  <c r="V15" i="18"/>
  <c r="V25" i="18"/>
  <c r="V41" i="18"/>
  <c r="V49" i="18"/>
  <c r="V33" i="18"/>
  <c r="V17" i="18"/>
  <c r="V9" i="18"/>
</calcChain>
</file>

<file path=xl/sharedStrings.xml><?xml version="1.0" encoding="utf-8"?>
<sst xmlns="http://schemas.openxmlformats.org/spreadsheetml/2006/main" count="1710" uniqueCount="266">
  <si>
    <t>PROCESSO</t>
  </si>
  <si>
    <t>PESAGEM</t>
  </si>
  <si>
    <t>BATIMENTO</t>
  </si>
  <si>
    <t>FERMENTAÇÃO 1</t>
  </si>
  <si>
    <t>DIVISÃO</t>
  </si>
  <si>
    <t>PRE-MOLDE</t>
  </si>
  <si>
    <t>DESCANSO 1</t>
  </si>
  <si>
    <t>MODELAGEM</t>
  </si>
  <si>
    <t>FERMENTAÇÃO2</t>
  </si>
  <si>
    <t>FORNEAMENTO</t>
  </si>
  <si>
    <t>RESFRIAMENTO</t>
  </si>
  <si>
    <t>DESMOLDE</t>
  </si>
  <si>
    <t>EMBALAGEM</t>
  </si>
  <si>
    <t>LOGISTICA</t>
  </si>
  <si>
    <t>TIPO DE RECEITA</t>
  </si>
  <si>
    <t>DIRETO</t>
  </si>
  <si>
    <t>RÚSTICO</t>
  </si>
  <si>
    <t>CROISSANT</t>
  </si>
  <si>
    <t>PANETONE</t>
  </si>
  <si>
    <t>Fórmula</t>
  </si>
  <si>
    <t>AUSTRALIANO</t>
  </si>
  <si>
    <t>CASEIRINHO</t>
  </si>
  <si>
    <t>PH VINHEDO</t>
  </si>
  <si>
    <t>P. AO LEVAIN</t>
  </si>
  <si>
    <t>P. AZEITE RUST.</t>
  </si>
  <si>
    <t>BRIOCHE MARGARINA</t>
  </si>
  <si>
    <t>VINHEDO RUST.</t>
  </si>
  <si>
    <t>PF INTEGRAL</t>
  </si>
  <si>
    <t>AMANTEIGADO</t>
  </si>
  <si>
    <t>BAG. PRIMAS</t>
  </si>
  <si>
    <t>BREZEL</t>
  </si>
  <si>
    <t>PH BETERRADA</t>
  </si>
  <si>
    <t>PH MALTE AROMA CARAMEL CACAU</t>
  </si>
  <si>
    <t>BRIOCHE MARGARINA 50% AÇUCAR</t>
  </si>
  <si>
    <t>PIZZA PAN</t>
  </si>
  <si>
    <t>VEGANO TRAD.</t>
  </si>
  <si>
    <t>PH INTEGRAL COM ÓLEO</t>
  </si>
  <si>
    <t>Capacidade do processo</t>
  </si>
  <si>
    <t>taxa de onerosidade</t>
  </si>
  <si>
    <t>PRODUTO</t>
  </si>
  <si>
    <t>CMV</t>
  </si>
  <si>
    <t>PRODUÇÃO MÉDIA / DIA</t>
  </si>
  <si>
    <t>PREÇO DE VENDA</t>
  </si>
  <si>
    <t>CMV%</t>
  </si>
  <si>
    <t>CSP%</t>
  </si>
  <si>
    <t>CMV+CSP%</t>
  </si>
  <si>
    <t>BAG. FRANCESA</t>
  </si>
  <si>
    <t>BAG. FRANCESA DE AZEITE</t>
  </si>
  <si>
    <t>BAG. INTEGRAL FRANCESA</t>
  </si>
  <si>
    <t>BROWN</t>
  </si>
  <si>
    <t>DONUTS</t>
  </si>
  <si>
    <t>EGGBREAD</t>
  </si>
  <si>
    <t>FOCACCIA</t>
  </si>
  <si>
    <t>GRISSINIS</t>
  </si>
  <si>
    <t>MALTA AMANTEIGADO</t>
  </si>
  <si>
    <t>MALTA AMANTEIGADO SECO</t>
  </si>
  <si>
    <t>MALTADO</t>
  </si>
  <si>
    <t>PH AZUL</t>
  </si>
  <si>
    <t>PH BETERRABA</t>
  </si>
  <si>
    <t>PH ESPINAFRE</t>
  </si>
  <si>
    <t>PH NEGRO</t>
  </si>
  <si>
    <t>PH VERDE</t>
  </si>
  <si>
    <t>PH VERMELHO</t>
  </si>
  <si>
    <t>PURO CENTEIO</t>
  </si>
  <si>
    <t>SCHWARZBROT</t>
  </si>
  <si>
    <t>STOLLEN</t>
  </si>
  <si>
    <t>SWEET PEPPER BREAD</t>
  </si>
  <si>
    <t>CUSTO TOTAL</t>
  </si>
  <si>
    <t>ordem</t>
  </si>
  <si>
    <t>tempo de indecisão</t>
  </si>
  <si>
    <t>CUSTO/KG</t>
  </si>
  <si>
    <t>CSP</t>
  </si>
  <si>
    <t>MC</t>
  </si>
  <si>
    <t>MARGEM SOBRE CMV PURO</t>
  </si>
  <si>
    <t>Ordem</t>
  </si>
  <si>
    <t>Produto</t>
  </si>
  <si>
    <t>Kg</t>
  </si>
  <si>
    <t>Total</t>
  </si>
  <si>
    <t>INC_BATIMENTO</t>
  </si>
  <si>
    <t>FIM_BATIMENTO</t>
  </si>
  <si>
    <t>INC_EMBALAGEM</t>
  </si>
  <si>
    <t>FIM_EMBALAGEM</t>
  </si>
  <si>
    <t>SEG</t>
  </si>
  <si>
    <t>sex</t>
  </si>
  <si>
    <t>Segunda-feira</t>
  </si>
  <si>
    <t>Terça-feira</t>
  </si>
  <si>
    <t>Quarta-feira</t>
  </si>
  <si>
    <t>Quinta-feira</t>
  </si>
  <si>
    <t>Sexta-feira</t>
  </si>
  <si>
    <t>Sábado</t>
  </si>
  <si>
    <t>Duração da Produção</t>
  </si>
  <si>
    <t>TER</t>
  </si>
  <si>
    <t>QUA</t>
  </si>
  <si>
    <t>QUI</t>
  </si>
  <si>
    <t>Quarta- feira</t>
  </si>
  <si>
    <t>Direto</t>
  </si>
  <si>
    <t>Rústico</t>
  </si>
  <si>
    <t>Croissant</t>
  </si>
  <si>
    <t>Panetone</t>
  </si>
  <si>
    <t>Custo da produção</t>
  </si>
  <si>
    <t>CSP - R$/KG</t>
  </si>
  <si>
    <t>CSP/receita</t>
  </si>
  <si>
    <t>CMV - R$/Kg</t>
  </si>
  <si>
    <t>CT - R$/Kg</t>
  </si>
  <si>
    <t>Custo total - Receita</t>
  </si>
  <si>
    <t>Produção hora</t>
  </si>
  <si>
    <t>sáb</t>
  </si>
  <si>
    <t>Custo produção hora</t>
  </si>
  <si>
    <t>Receita Bruta</t>
  </si>
  <si>
    <t>Receita produção hora</t>
  </si>
  <si>
    <t>DATA</t>
  </si>
  <si>
    <t>DIA</t>
  </si>
  <si>
    <t>Margem bruta</t>
  </si>
  <si>
    <t>PÃO BAIANO</t>
  </si>
  <si>
    <t>AMANTEIGADO MALTE DARK</t>
  </si>
  <si>
    <t>SOURDOUGH</t>
  </si>
  <si>
    <t>PH AMANTEIGADO MALTE DARK</t>
  </si>
  <si>
    <t xml:space="preserve"> </t>
  </si>
  <si>
    <t>SPONGEGG</t>
  </si>
  <si>
    <t xml:space="preserve">PH NEGRO </t>
  </si>
  <si>
    <t>B</t>
  </si>
  <si>
    <t>Embalagem</t>
  </si>
  <si>
    <t>FERMENTAÇÃO 2</t>
  </si>
  <si>
    <t>INICIO</t>
  </si>
  <si>
    <t>FIM</t>
  </si>
  <si>
    <t>MÉDIAS</t>
  </si>
  <si>
    <t>TOTAL HORAS</t>
  </si>
  <si>
    <t>RODOLFO</t>
  </si>
  <si>
    <t>BRUNO</t>
  </si>
  <si>
    <t>AUGUSTO</t>
  </si>
  <si>
    <t>MARCOS</t>
  </si>
  <si>
    <t>DANIEL</t>
  </si>
  <si>
    <t>JACIARA</t>
  </si>
  <si>
    <t>FUNÇÃO</t>
  </si>
  <si>
    <t>COLABORADOR</t>
  </si>
  <si>
    <t>HORÁRIO DE ENTRADA</t>
  </si>
  <si>
    <t>INC. FUNC.</t>
  </si>
  <si>
    <t>AMANTEIGADO BETERRABA</t>
  </si>
  <si>
    <t>Tipo</t>
  </si>
  <si>
    <t>Quantidade</t>
  </si>
  <si>
    <t>Peso Cru</t>
  </si>
  <si>
    <t>Cliente</t>
  </si>
  <si>
    <t>Data de entrega</t>
  </si>
  <si>
    <t>Quantidade por pacote</t>
  </si>
  <si>
    <t>Preço</t>
  </si>
  <si>
    <t>PH ARO 11</t>
  </si>
  <si>
    <t>EDSON LANCHES</t>
  </si>
  <si>
    <t>PIZZARIA DO GORDO</t>
  </si>
  <si>
    <t>CIAB</t>
  </si>
  <si>
    <t>LOJA SABADIN</t>
  </si>
  <si>
    <t>CONE</t>
  </si>
  <si>
    <t>BAG P</t>
  </si>
  <si>
    <t>BATARD</t>
  </si>
  <si>
    <t>TRANÇA</t>
  </si>
  <si>
    <t>PF</t>
  </si>
  <si>
    <t>PH ARO 10</t>
  </si>
  <si>
    <t>BAG</t>
  </si>
  <si>
    <t>A CERVEJARIA</t>
  </si>
  <si>
    <t xml:space="preserve"> BIG JEFF</t>
  </si>
  <si>
    <t>PH</t>
  </si>
  <si>
    <t>BAG M</t>
  </si>
  <si>
    <t>PRIMO SOROCABA</t>
  </si>
  <si>
    <t>Botequim do Chopp</t>
  </si>
  <si>
    <t>MISTURA MATARAZZO</t>
  </si>
  <si>
    <t>HD</t>
  </si>
  <si>
    <t>GLÜCK</t>
  </si>
  <si>
    <t>KAISER</t>
  </si>
  <si>
    <t>RELISH DE PEPINO</t>
  </si>
  <si>
    <t>POTE</t>
  </si>
  <si>
    <t>MIX LANCHES</t>
  </si>
  <si>
    <t>CHICO ROSA</t>
  </si>
  <si>
    <t>Amostras</t>
  </si>
  <si>
    <t xml:space="preserve">PH </t>
  </si>
  <si>
    <t>OPEN BAR</t>
  </si>
  <si>
    <t>Fabrizio Fazano</t>
  </si>
  <si>
    <t>SALLUM BURGUER</t>
  </si>
  <si>
    <t>DINI'S BURGER</t>
  </si>
  <si>
    <t>upburger</t>
  </si>
  <si>
    <t>TRI.GO - AV. SÃO PAULO</t>
  </si>
  <si>
    <t>COOKIES CHOCOLATE</t>
  </si>
  <si>
    <t>FÁTIMA</t>
  </si>
  <si>
    <t>COOKIES TRADICIONAL</t>
  </si>
  <si>
    <t>Bag P</t>
  </si>
  <si>
    <t>OUI!CHOCOLAT</t>
  </si>
  <si>
    <t>NUTRIFAM</t>
  </si>
  <si>
    <t>TITA COCINA</t>
  </si>
  <si>
    <t>BAGEL</t>
  </si>
  <si>
    <t>RUST. RED.</t>
  </si>
  <si>
    <t>HD FORMA</t>
  </si>
  <si>
    <t>roll</t>
  </si>
  <si>
    <t>CARNIVORIA SOROCABA LTDA EPP</t>
  </si>
  <si>
    <t>GARAGEM BURGER</t>
  </si>
  <si>
    <t>yakissobateria</t>
  </si>
  <si>
    <t>bonibigjeff</t>
  </si>
  <si>
    <t>CASA GOURMET</t>
  </si>
  <si>
    <t>CRECHE SAO VICENTE</t>
  </si>
  <si>
    <t>Willian Feira Villagio</t>
  </si>
  <si>
    <t>CORONEL BURGER</t>
  </si>
  <si>
    <t>BROOKS SOROCABA</t>
  </si>
  <si>
    <t>MADISON</t>
  </si>
  <si>
    <t>Old School Burger</t>
  </si>
  <si>
    <t>BARDOLINO</t>
  </si>
  <si>
    <t>MADE IN ROÇA</t>
  </si>
  <si>
    <t>COLUMBIA BURGUER</t>
  </si>
  <si>
    <t>CIAB MINI</t>
  </si>
  <si>
    <t>BRIOCHE</t>
  </si>
  <si>
    <t>BALTAZAR BURGER</t>
  </si>
  <si>
    <t>PEPITO</t>
  </si>
  <si>
    <t>COALHADA BURGUER</t>
  </si>
  <si>
    <t>MH EMPÓRIO</t>
  </si>
  <si>
    <t>CARNIVORIA SÃO PAULO</t>
  </si>
  <si>
    <t>TRI.GO - WAGNER WEY</t>
  </si>
  <si>
    <t>CHARCUTARIA DO PIRATA</t>
  </si>
  <si>
    <t>EMILIO MURTA</t>
  </si>
  <si>
    <t>ROLL</t>
  </si>
  <si>
    <t>CAFE DO POSTO BURGUER &amp; FITNESS</t>
  </si>
  <si>
    <t>PH ARO 9</t>
  </si>
  <si>
    <t>BARBAROS</t>
  </si>
  <si>
    <t xml:space="preserve">KINGSFORD PUB LTDA ME </t>
  </si>
  <si>
    <t>TETE ARO 10</t>
  </si>
  <si>
    <t>JACK PUB</t>
  </si>
  <si>
    <t>BAG G</t>
  </si>
  <si>
    <t>TULIO GOURMET</t>
  </si>
  <si>
    <t>BAMBURGUER</t>
  </si>
  <si>
    <t>BRUMAS DOCERIA</t>
  </si>
  <si>
    <t>AMERICAN GRAFFITI</t>
  </si>
  <si>
    <t>Manuel</t>
  </si>
  <si>
    <t>CUCA</t>
  </si>
  <si>
    <t>BIG BEN</t>
  </si>
  <si>
    <t>JOTA'S DOG</t>
  </si>
  <si>
    <t>ESTOQUE</t>
  </si>
  <si>
    <t>SEO SILVA</t>
  </si>
  <si>
    <t>bonicolumbia</t>
  </si>
  <si>
    <t>RED NECK</t>
  </si>
  <si>
    <t>Bárbara Muniz</t>
  </si>
  <si>
    <t>1º Turno</t>
  </si>
  <si>
    <t>Total 1º Turno</t>
  </si>
  <si>
    <t>2º Turno</t>
  </si>
  <si>
    <t>Entrada</t>
  </si>
  <si>
    <t>SAIDA</t>
  </si>
  <si>
    <t>Saída</t>
  </si>
  <si>
    <t>Total 2º Turno</t>
  </si>
  <si>
    <t>Total 1º T. + 2º T.</t>
  </si>
  <si>
    <t>Carga Horária</t>
  </si>
  <si>
    <t>Total Extra</t>
  </si>
  <si>
    <t>Total Negativas</t>
  </si>
  <si>
    <t>ERIKA</t>
  </si>
  <si>
    <t>FABIOLA</t>
  </si>
  <si>
    <t>FAL 1</t>
  </si>
  <si>
    <t>FAL 2</t>
  </si>
  <si>
    <t>LIMPEZA</t>
  </si>
  <si>
    <t>CONFEITARIA</t>
  </si>
  <si>
    <t>FAL 3</t>
  </si>
  <si>
    <t>ESTOQUE P.A.</t>
  </si>
  <si>
    <t>SEGUNDA-FEIRA</t>
  </si>
  <si>
    <t>TERÇA-FEIRA</t>
  </si>
  <si>
    <t>QUARTA-FEIRA</t>
  </si>
  <si>
    <t>QUINTA-FEIRA</t>
  </si>
  <si>
    <t>SEXTA-FEIRA</t>
  </si>
  <si>
    <t>SÁBADO</t>
  </si>
  <si>
    <t>07:20:00</t>
  </si>
  <si>
    <t>Entrada atrasada</t>
  </si>
  <si>
    <t>Entrada Adiantada</t>
  </si>
  <si>
    <t>Funções Auxiliares</t>
  </si>
  <si>
    <t>%</t>
  </si>
  <si>
    <t>H. 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</si>
</sst>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0_-;\-* #,##0.000_-;_-* &quot;-&quot;??_-;_-@_-"/>
    <numFmt numFmtId="165" formatCode="[$-F400]h:mm:ss\ AM/PM"/>
    <numFmt numFmtId="166" formatCode="_-* #,##0.000\ &quot;kg&quot;_-;\-* #,##0.000_-;_-* &quot;-&quot;??_-;_-@_-"/>
    <numFmt numFmtId="167" formatCode="_-* #,##0.000\ &quot;kg/h&quot;_-;\-* #,##0.000_-;_-* &quot;-&quot;??_-;_-@_-"/>
    <numFmt numFmtId="168" formatCode="_-&quot;R$&quot;\ * #,##0.00\ &quot;/h&quot;_-;\-&quot;R$&quot;\ * #,##0.00_-;_-&quot;R$&quot;\ * &quot;-&quot;??_-;_-@_-"/>
    <numFmt numFmtId="169" formatCode="_-* #,##0_-;\-* #,##0_-;_-* &quot;-&quot;??_-;_-@_-"/>
    <numFmt numFmtId="170" formatCode="_-* #,##0\ &quot;Und/h&quot;_-;\-* #,##0_-;_-* &quot;-&quot;??_-;_-@_-"/>
    <numFmt numFmtId="171" formatCode="[$]ddd"/>
    <numFmt numFmtId="172" formatCode="[h]:mm:ss;@"/>
    <numFmt numFmtId="173" formatCode="dd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Yu Gothic UI Semilight"/>
      <family val="2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Times New Roman"/>
      <family val="1"/>
    </font>
    <font>
      <b/>
      <u/>
      <sz val="8"/>
      <color theme="1"/>
      <name val="Times New Roman"/>
      <family val="1"/>
    </font>
    <font>
      <b/>
      <sz val="8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theme="5" tint="0.59996337778862885"/>
      </top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20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4" fontId="2" fillId="0" borderId="0" xfId="0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164" fontId="2" fillId="0" borderId="0" xfId="1" applyNumberFormat="1" applyFont="1" applyFill="1" applyBorder="1" applyAlignment="1">
      <alignment horizontal="center" vertical="center"/>
    </xf>
    <xf numFmtId="10" fontId="2" fillId="0" borderId="0" xfId="3" applyNumberFormat="1" applyFont="1" applyFill="1" applyBorder="1" applyAlignment="1">
      <alignment horizontal="center" vertical="center"/>
    </xf>
    <xf numFmtId="44" fontId="2" fillId="7" borderId="0" xfId="2" applyFont="1" applyFill="1" applyBorder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44" fontId="0" fillId="0" borderId="0" xfId="0" applyNumberFormat="1"/>
    <xf numFmtId="10" fontId="0" fillId="0" borderId="0" xfId="3" applyNumberFormat="1" applyFo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" fontId="4" fillId="0" borderId="0" xfId="4" applyNumberFormat="1" applyAlignment="1">
      <alignment horizontal="center"/>
    </xf>
    <xf numFmtId="0" fontId="3" fillId="0" borderId="0" xfId="0" applyFont="1"/>
    <xf numFmtId="16" fontId="5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  <xf numFmtId="20" fontId="3" fillId="0" borderId="0" xfId="0" applyNumberFormat="1" applyFont="1"/>
    <xf numFmtId="0" fontId="8" fillId="0" borderId="0" xfId="0" applyFont="1"/>
    <xf numFmtId="165" fontId="3" fillId="9" borderId="0" xfId="0" applyNumberFormat="1" applyFont="1" applyFill="1"/>
    <xf numFmtId="44" fontId="0" fillId="0" borderId="0" xfId="2" applyFont="1"/>
    <xf numFmtId="19" fontId="0" fillId="0" borderId="0" xfId="0" applyNumberFormat="1"/>
    <xf numFmtId="0" fontId="0" fillId="10" borderId="0" xfId="0" applyFill="1"/>
    <xf numFmtId="165" fontId="6" fillId="8" borderId="0" xfId="0" applyNumberFormat="1" applyFont="1" applyFill="1"/>
    <xf numFmtId="165" fontId="0" fillId="11" borderId="0" xfId="0" applyNumberFormat="1" applyFill="1"/>
    <xf numFmtId="16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/>
    <xf numFmtId="167" fontId="0" fillId="0" borderId="1" xfId="1" applyNumberFormat="1" applyFont="1" applyBorder="1" applyAlignment="1">
      <alignment horizontal="center"/>
    </xf>
    <xf numFmtId="44" fontId="0" fillId="0" borderId="1" xfId="2" applyFont="1" applyBorder="1"/>
    <xf numFmtId="168" fontId="0" fillId="0" borderId="1" xfId="2" applyNumberFormat="1" applyFont="1" applyBorder="1"/>
    <xf numFmtId="0" fontId="0" fillId="12" borderId="0" xfId="0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6" fontId="0" fillId="12" borderId="0" xfId="1" applyNumberFormat="1" applyFont="1" applyFill="1" applyAlignment="1">
      <alignment horizontal="center" vertical="center"/>
    </xf>
    <xf numFmtId="167" fontId="0" fillId="12" borderId="0" xfId="1" applyNumberFormat="1" applyFont="1" applyFill="1" applyAlignment="1">
      <alignment horizontal="center" vertical="center"/>
    </xf>
    <xf numFmtId="44" fontId="0" fillId="12" borderId="0" xfId="2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0" fontId="9" fillId="0" borderId="1" xfId="4" applyFont="1" applyBorder="1"/>
    <xf numFmtId="0" fontId="10" fillId="12" borderId="0" xfId="0" applyFont="1" applyFill="1" applyAlignment="1">
      <alignment horizontal="center" vertical="center" wrapText="1"/>
    </xf>
    <xf numFmtId="44" fontId="10" fillId="0" borderId="1" xfId="2" applyFont="1" applyBorder="1"/>
    <xf numFmtId="10" fontId="10" fillId="0" borderId="1" xfId="3" applyNumberFormat="1" applyFont="1" applyBorder="1"/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0" fillId="12" borderId="0" xfId="0" applyFill="1" applyAlignment="1">
      <alignment horizontal="center" vertical="center"/>
    </xf>
    <xf numFmtId="169" fontId="0" fillId="0" borderId="0" xfId="1" applyNumberFormat="1" applyFont="1"/>
    <xf numFmtId="169" fontId="0" fillId="0" borderId="1" xfId="1" applyNumberFormat="1" applyFont="1" applyBorder="1"/>
    <xf numFmtId="169" fontId="0" fillId="12" borderId="0" xfId="1" applyNumberFormat="1" applyFont="1" applyFill="1" applyAlignment="1">
      <alignment horizontal="center" vertical="center"/>
    </xf>
    <xf numFmtId="170" fontId="0" fillId="0" borderId="1" xfId="1" applyNumberFormat="1" applyFont="1" applyBorder="1" applyAlignment="1">
      <alignment horizontal="center"/>
    </xf>
    <xf numFmtId="0" fontId="0" fillId="12" borderId="0" xfId="0" applyFill="1" applyAlignment="1">
      <alignment vertical="center" wrapText="1"/>
    </xf>
    <xf numFmtId="16" fontId="0" fillId="0" borderId="1" xfId="0" applyNumberFormat="1" applyBorder="1" applyAlignment="1"/>
    <xf numFmtId="0" fontId="9" fillId="0" borderId="1" xfId="4" applyFont="1" applyBorder="1" applyAlignment="1"/>
    <xf numFmtId="16" fontId="0" fillId="0" borderId="0" xfId="0" applyNumberFormat="1" applyBorder="1"/>
    <xf numFmtId="165" fontId="0" fillId="0" borderId="0" xfId="0" applyNumberFormat="1" applyBorder="1" applyAlignment="1">
      <alignment horizontal="center" vertical="center"/>
    </xf>
    <xf numFmtId="0" fontId="7" fillId="0" borderId="0" xfId="0" applyFont="1" applyAlignment="1"/>
    <xf numFmtId="165" fontId="0" fillId="0" borderId="0" xfId="0" applyNumberFormat="1" applyAlignment="1"/>
    <xf numFmtId="165" fontId="11" fillId="15" borderId="0" xfId="0" applyNumberFormat="1" applyFont="1" applyFill="1" applyAlignment="1">
      <alignment horizontal="center" vertical="center"/>
    </xf>
    <xf numFmtId="16" fontId="0" fillId="0" borderId="1" xfId="0" applyNumberFormat="1" applyBorder="1" applyAlignment="1">
      <alignment horizontal="center"/>
    </xf>
    <xf numFmtId="165" fontId="0" fillId="14" borderId="0" xfId="0" applyNumberFormat="1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4" fontId="0" fillId="0" borderId="0" xfId="0" applyNumberFormat="1"/>
    <xf numFmtId="0" fontId="0" fillId="12" borderId="0" xfId="0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13" fillId="16" borderId="3" xfId="0" applyFont="1" applyFill="1" applyBorder="1" applyAlignment="1" applyProtection="1">
      <alignment horizontal="center" vertical="center" wrapTex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20" fontId="12" fillId="16" borderId="3" xfId="0" applyNumberFormat="1" applyFont="1" applyFill="1" applyBorder="1" applyAlignment="1" applyProtection="1">
      <alignment horizontal="center" vertical="center"/>
      <protection locked="0"/>
    </xf>
    <xf numFmtId="171" fontId="12" fillId="17" borderId="3" xfId="0" applyNumberFormat="1" applyFont="1" applyFill="1" applyBorder="1" applyAlignment="1" applyProtection="1">
      <alignment horizontal="center" vertical="center"/>
      <protection locked="0"/>
    </xf>
    <xf numFmtId="21" fontId="12" fillId="18" borderId="3" xfId="0" applyNumberFormat="1" applyFont="1" applyFill="1" applyBorder="1" applyAlignment="1" applyProtection="1">
      <alignment horizontal="center" vertical="center"/>
      <protection locked="0"/>
    </xf>
    <xf numFmtId="21" fontId="14" fillId="19" borderId="3" xfId="0" applyNumberFormat="1" applyFont="1" applyFill="1" applyBorder="1" applyAlignment="1" applyProtection="1">
      <alignment horizontal="center" vertical="center"/>
    </xf>
    <xf numFmtId="21" fontId="14" fillId="20" borderId="3" xfId="0" applyNumberFormat="1" applyFont="1" applyFill="1" applyBorder="1" applyAlignment="1" applyProtection="1">
      <alignment horizontal="center" vertical="center"/>
      <protection locked="0"/>
    </xf>
    <xf numFmtId="21" fontId="14" fillId="17" borderId="3" xfId="0" applyNumberFormat="1" applyFont="1" applyFill="1" applyBorder="1" applyAlignment="1" applyProtection="1">
      <alignment horizontal="center" vertical="center"/>
    </xf>
    <xf numFmtId="172" fontId="14" fillId="17" borderId="3" xfId="0" applyNumberFormat="1" applyFont="1" applyFill="1" applyBorder="1" applyAlignment="1" applyProtection="1">
      <alignment horizontal="center" vertical="center"/>
    </xf>
    <xf numFmtId="21" fontId="12" fillId="17" borderId="3" xfId="0" applyNumberFormat="1" applyFont="1" applyFill="1" applyBorder="1" applyAlignment="1" applyProtection="1">
      <alignment horizontal="center" vertical="center"/>
      <protection locked="0"/>
    </xf>
    <xf numFmtId="173" fontId="12" fillId="18" borderId="3" xfId="0" applyNumberFormat="1" applyFont="1" applyFill="1" applyBorder="1" applyAlignment="1" applyProtection="1">
      <alignment horizontal="center" vertical="center"/>
      <protection locked="0"/>
    </xf>
    <xf numFmtId="0" fontId="12" fillId="16" borderId="4" xfId="0" applyFont="1" applyFill="1" applyBorder="1" applyAlignment="1" applyProtection="1">
      <alignment horizontal="center" vertical="center" wrapText="1"/>
      <protection locked="0"/>
    </xf>
    <xf numFmtId="0" fontId="12" fillId="16" borderId="5" xfId="0" applyFont="1" applyFill="1" applyBorder="1" applyAlignment="1" applyProtection="1">
      <alignment horizontal="center" vertical="center" wrapText="1"/>
      <protection locked="0"/>
    </xf>
    <xf numFmtId="16" fontId="0" fillId="0" borderId="0" xfId="0" applyNumberFormat="1" applyFill="1" applyBorder="1" applyAlignment="1">
      <alignment horizontal="center"/>
    </xf>
    <xf numFmtId="165" fontId="0" fillId="0" borderId="0" xfId="0" applyNumberFormat="1" applyAlignment="1">
      <alignment vertical="center"/>
    </xf>
    <xf numFmtId="165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5" fontId="11" fillId="13" borderId="0" xfId="0" applyNumberFormat="1" applyFont="1" applyFill="1" applyAlignment="1">
      <alignment vertical="center"/>
    </xf>
    <xf numFmtId="0" fontId="11" fillId="12" borderId="0" xfId="0" applyFont="1" applyFill="1" applyAlignment="1">
      <alignment vertical="center"/>
    </xf>
    <xf numFmtId="165" fontId="11" fillId="12" borderId="0" xfId="0" applyNumberFormat="1" applyFont="1" applyFill="1" applyAlignment="1">
      <alignment vertical="center"/>
    </xf>
    <xf numFmtId="0" fontId="0" fillId="0" borderId="6" xfId="0" applyBorder="1" applyAlignment="1">
      <alignment horizontal="center"/>
    </xf>
    <xf numFmtId="0" fontId="0" fillId="12" borderId="6" xfId="0" applyFill="1" applyBorder="1" applyAlignment="1">
      <alignment vertical="center" wrapText="1"/>
    </xf>
    <xf numFmtId="2" fontId="0" fillId="0" borderId="1" xfId="1" applyNumberFormat="1" applyFont="1" applyBorder="1" applyAlignment="1">
      <alignment horizontal="center" vertical="center"/>
    </xf>
    <xf numFmtId="9" fontId="0" fillId="0" borderId="1" xfId="3" applyFont="1" applyBorder="1" applyAlignment="1">
      <alignment horizontal="center"/>
    </xf>
    <xf numFmtId="10" fontId="0" fillId="0" borderId="1" xfId="3" applyNumberFormat="1" applyFont="1" applyBorder="1" applyAlignment="1">
      <alignment horizontal="center"/>
    </xf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15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943.48162900023965</c:v>
                </c:pt>
                <c:pt idx="1">
                  <c:v>815.13883103200783</c:v>
                </c:pt>
                <c:pt idx="2">
                  <c:v>661.45904682053003</c:v>
                </c:pt>
                <c:pt idx="3">
                  <c:v>888.46058764478198</c:v>
                </c:pt>
                <c:pt idx="4">
                  <c:v>1682.4211455292309</c:v>
                </c:pt>
                <c:pt idx="5">
                  <c:v>978.73292787824903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346-B40A-8C24ADE93202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2536.7500000000005</c:v>
                </c:pt>
                <c:pt idx="1">
                  <c:v>2750.9600000000005</c:v>
                </c:pt>
                <c:pt idx="2">
                  <c:v>2133.3600000000006</c:v>
                </c:pt>
                <c:pt idx="3">
                  <c:v>4153.6699999999983</c:v>
                </c:pt>
                <c:pt idx="4">
                  <c:v>6083.8600000000015</c:v>
                </c:pt>
                <c:pt idx="5">
                  <c:v>4183.7000000000007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0-4346-B40A-8C24ADE9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70.147333011170247</c:v>
                </c:pt>
                <c:pt idx="2">
                  <c:v>61.752941744849082</c:v>
                </c:pt>
                <c:pt idx="3">
                  <c:v>52.358235896084174</c:v>
                </c:pt>
                <c:pt idx="4">
                  <c:v>69.865839133272502</c:v>
                </c:pt>
                <c:pt idx="5">
                  <c:v>137.71523701467103</c:v>
                </c:pt>
                <c:pt idx="6">
                  <c:v>74.998691791436713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F-42F0-A8FA-4FF3E3AFD48D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188.60594795539041</c:v>
                </c:pt>
                <c:pt idx="2">
                  <c:v>208.40606060606066</c:v>
                </c:pt>
                <c:pt idx="3">
                  <c:v>168.86754617414255</c:v>
                </c:pt>
                <c:pt idx="4">
                  <c:v>326.63197903014401</c:v>
                </c:pt>
                <c:pt idx="5">
                  <c:v>497.99672578444768</c:v>
                </c:pt>
                <c:pt idx="6">
                  <c:v>320.59003831417635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11.498141263940523</c:v>
                </c:pt>
                <c:pt idx="2">
                  <c:v>12.314393939393943</c:v>
                </c:pt>
                <c:pt idx="3">
                  <c:v>11.502902374670187</c:v>
                </c:pt>
                <c:pt idx="4">
                  <c:v>20.362096985583229</c:v>
                </c:pt>
                <c:pt idx="5">
                  <c:v>28.926057298772172</c:v>
                </c:pt>
                <c:pt idx="6">
                  <c:v>21.157854406130266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13:27:00</c:v>
                  </c:pt>
                  <c:pt idx="2">
                    <c:v>13:12:00</c:v>
                  </c:pt>
                  <c:pt idx="3">
                    <c:v>12:38:00</c:v>
                  </c:pt>
                  <c:pt idx="4">
                    <c:v>12:43:00</c:v>
                  </c:pt>
                  <c:pt idx="5">
                    <c:v>12:13:00</c:v>
                  </c:pt>
                  <c:pt idx="6">
                    <c:v>13:03:00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80.550000000000011</c:v>
                </c:pt>
                <c:pt idx="2">
                  <c:v>129.22000000000003</c:v>
                </c:pt>
                <c:pt idx="3">
                  <c:v>131.88000000000002</c:v>
                </c:pt>
                <c:pt idx="4">
                  <c:v>206.70000000000002</c:v>
                </c:pt>
                <c:pt idx="5">
                  <c:v>300.98</c:v>
                </c:pt>
                <c:pt idx="6">
                  <c:v>254.30999999999997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6-43C5-A93E-9C816AF604C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13:27:00</c:v>
                  </c:pt>
                  <c:pt idx="2">
                    <c:v>13:12:00</c:v>
                  </c:pt>
                  <c:pt idx="3">
                    <c:v>12:38:00</c:v>
                  </c:pt>
                  <c:pt idx="4">
                    <c:v>12:43:00</c:v>
                  </c:pt>
                  <c:pt idx="5">
                    <c:v>12:13:00</c:v>
                  </c:pt>
                  <c:pt idx="6">
                    <c:v>13:03:00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74.099999999999994</c:v>
                </c:pt>
                <c:pt idx="2">
                  <c:v>31.029999999999998</c:v>
                </c:pt>
                <c:pt idx="3">
                  <c:v>13.44</c:v>
                </c:pt>
                <c:pt idx="4">
                  <c:v>51.71</c:v>
                </c:pt>
                <c:pt idx="5">
                  <c:v>52.400000000000006</c:v>
                </c:pt>
                <c:pt idx="6">
                  <c:v>21.799999999999997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A6-43C5-A93E-9C816AF604C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13:27:00</c:v>
                  </c:pt>
                  <c:pt idx="2">
                    <c:v>13:12:00</c:v>
                  </c:pt>
                  <c:pt idx="3">
                    <c:v>12:38:00</c:v>
                  </c:pt>
                  <c:pt idx="4">
                    <c:v>12:43:00</c:v>
                  </c:pt>
                  <c:pt idx="5">
                    <c:v>12:13:00</c:v>
                  </c:pt>
                  <c:pt idx="6">
                    <c:v>13:03:00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2.3000000000000003</c:v>
                </c:pt>
                <c:pt idx="3">
                  <c:v>0</c:v>
                </c:pt>
                <c:pt idx="4">
                  <c:v>0.52800000000000002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A6-43C5-A93E-9C816AF604C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13:27:00</c:v>
                  </c:pt>
                  <c:pt idx="2">
                    <c:v>13:12:00</c:v>
                  </c:pt>
                  <c:pt idx="3">
                    <c:v>12:38:00</c:v>
                  </c:pt>
                  <c:pt idx="4">
                    <c:v>12:43:00</c:v>
                  </c:pt>
                  <c:pt idx="5">
                    <c:v>12:13:00</c:v>
                  </c:pt>
                  <c:pt idx="6">
                    <c:v>13:03:00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A6-43C5-A93E-9C816AF60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943.48162900023965</c:v>
                </c:pt>
                <c:pt idx="1">
                  <c:v>815.13883103200783</c:v>
                </c:pt>
                <c:pt idx="2">
                  <c:v>661.45904682053003</c:v>
                </c:pt>
                <c:pt idx="3">
                  <c:v>888.46058764478198</c:v>
                </c:pt>
                <c:pt idx="4">
                  <c:v>1682.4211455292309</c:v>
                </c:pt>
                <c:pt idx="5">
                  <c:v>978.73292787824903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5-4C69-A3AB-7A138641C218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2536.7500000000005</c:v>
                </c:pt>
                <c:pt idx="1">
                  <c:v>2750.9600000000005</c:v>
                </c:pt>
                <c:pt idx="2">
                  <c:v>2133.3600000000006</c:v>
                </c:pt>
                <c:pt idx="3">
                  <c:v>4153.6699999999983</c:v>
                </c:pt>
                <c:pt idx="4">
                  <c:v>6083.8600000000015</c:v>
                </c:pt>
                <c:pt idx="5">
                  <c:v>4183.7000000000007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5-4C69-A3AB-7A138641C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70.147333011170247</c:v>
                </c:pt>
                <c:pt idx="2">
                  <c:v>61.752941744849082</c:v>
                </c:pt>
                <c:pt idx="3">
                  <c:v>52.358235896084174</c:v>
                </c:pt>
                <c:pt idx="4">
                  <c:v>69.865839133272502</c:v>
                </c:pt>
                <c:pt idx="5">
                  <c:v>137.71523701467103</c:v>
                </c:pt>
                <c:pt idx="6">
                  <c:v>74.998691791436713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7-432B-AF00-D101A1802A56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188.60594795539041</c:v>
                </c:pt>
                <c:pt idx="2">
                  <c:v>208.40606060606066</c:v>
                </c:pt>
                <c:pt idx="3">
                  <c:v>168.86754617414255</c:v>
                </c:pt>
                <c:pt idx="4">
                  <c:v>326.63197903014401</c:v>
                </c:pt>
                <c:pt idx="5">
                  <c:v>497.99672578444768</c:v>
                </c:pt>
                <c:pt idx="6">
                  <c:v>320.59003831417635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11.498141263940523</c:v>
                </c:pt>
                <c:pt idx="2">
                  <c:v>12.314393939393943</c:v>
                </c:pt>
                <c:pt idx="3">
                  <c:v>11.502902374670187</c:v>
                </c:pt>
                <c:pt idx="4">
                  <c:v>20.362096985583229</c:v>
                </c:pt>
                <c:pt idx="5">
                  <c:v>28.926057298772172</c:v>
                </c:pt>
                <c:pt idx="6">
                  <c:v>21.157854406130266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13:27:00</c:v>
                  </c:pt>
                  <c:pt idx="2">
                    <c:v>13:12:00</c:v>
                  </c:pt>
                  <c:pt idx="3">
                    <c:v>12:38:00</c:v>
                  </c:pt>
                  <c:pt idx="4">
                    <c:v>12:43:00</c:v>
                  </c:pt>
                  <c:pt idx="5">
                    <c:v>12:13:00</c:v>
                  </c:pt>
                  <c:pt idx="6">
                    <c:v>13:03:00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80.550000000000011</c:v>
                </c:pt>
                <c:pt idx="2">
                  <c:v>129.22000000000003</c:v>
                </c:pt>
                <c:pt idx="3">
                  <c:v>131.88000000000002</c:v>
                </c:pt>
                <c:pt idx="4">
                  <c:v>206.70000000000002</c:v>
                </c:pt>
                <c:pt idx="5">
                  <c:v>300.98</c:v>
                </c:pt>
                <c:pt idx="6">
                  <c:v>254.30999999999997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C-4085-B90B-D5B67811219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13:27:00</c:v>
                  </c:pt>
                  <c:pt idx="2">
                    <c:v>13:12:00</c:v>
                  </c:pt>
                  <c:pt idx="3">
                    <c:v>12:38:00</c:v>
                  </c:pt>
                  <c:pt idx="4">
                    <c:v>12:43:00</c:v>
                  </c:pt>
                  <c:pt idx="5">
                    <c:v>12:13:00</c:v>
                  </c:pt>
                  <c:pt idx="6">
                    <c:v>13:03:00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74.099999999999994</c:v>
                </c:pt>
                <c:pt idx="2">
                  <c:v>31.029999999999998</c:v>
                </c:pt>
                <c:pt idx="3">
                  <c:v>13.44</c:v>
                </c:pt>
                <c:pt idx="4">
                  <c:v>51.71</c:v>
                </c:pt>
                <c:pt idx="5">
                  <c:v>52.400000000000006</c:v>
                </c:pt>
                <c:pt idx="6">
                  <c:v>21.799999999999997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5C-4085-B90B-D5B67811219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13:27:00</c:v>
                  </c:pt>
                  <c:pt idx="2">
                    <c:v>13:12:00</c:v>
                  </c:pt>
                  <c:pt idx="3">
                    <c:v>12:38:00</c:v>
                  </c:pt>
                  <c:pt idx="4">
                    <c:v>12:43:00</c:v>
                  </c:pt>
                  <c:pt idx="5">
                    <c:v>12:13:00</c:v>
                  </c:pt>
                  <c:pt idx="6">
                    <c:v>13:03:00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2.3000000000000003</c:v>
                </c:pt>
                <c:pt idx="3">
                  <c:v>0</c:v>
                </c:pt>
                <c:pt idx="4">
                  <c:v>0.52800000000000002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5C-4085-B90B-D5B67811219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13:27:00</c:v>
                  </c:pt>
                  <c:pt idx="2">
                    <c:v>13:12:00</c:v>
                  </c:pt>
                  <c:pt idx="3">
                    <c:v>12:38:00</c:v>
                  </c:pt>
                  <c:pt idx="4">
                    <c:v>12:43:00</c:v>
                  </c:pt>
                  <c:pt idx="5">
                    <c:v>12:13:00</c:v>
                  </c:pt>
                  <c:pt idx="6">
                    <c:v>13:03:00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5C-4085-B90B-D5B67811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CESSO!A1"/><Relationship Id="rId13" Type="http://schemas.openxmlformats.org/officeDocument/2006/relationships/image" Target="../media/image10.svg"/><Relationship Id="rId1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chart" Target="../charts/chart4.xml"/><Relationship Id="rId2" Type="http://schemas.openxmlformats.org/officeDocument/2006/relationships/image" Target="../media/image2.svg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RECEITAS!A1"/><Relationship Id="rId5" Type="http://schemas.openxmlformats.org/officeDocument/2006/relationships/hyperlink" Target="#ENCOMENDA!A1"/><Relationship Id="rId15" Type="http://schemas.openxmlformats.org/officeDocument/2006/relationships/chart" Target="../charts/chart2.xml"/><Relationship Id="rId10" Type="http://schemas.openxmlformats.org/officeDocument/2006/relationships/image" Target="../media/image8.svg"/><Relationship Id="rId19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G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P_CRONO_TER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a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i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x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P_CRONO_Sab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g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Ter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i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ab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22860</xdr:rowOff>
    </xdr:from>
    <xdr:to>
      <xdr:col>3</xdr:col>
      <xdr:colOff>297180</xdr:colOff>
      <xdr:row>3</xdr:row>
      <xdr:rowOff>22860</xdr:rowOff>
    </xdr:to>
    <xdr:sp macro="" textlink="Relogio">
      <xdr:nvSpPr>
        <xdr:cNvPr id="2" name="Retângulo: Cantos Arredondados 1">
          <a:extLst>
            <a:ext uri="{FF2B5EF4-FFF2-40B4-BE49-F238E27FC236}">
              <a16:creationId xmlns:a16="http://schemas.microsoft.com/office/drawing/2014/main" id="{474D53B3-59E1-42EB-A519-4E7C1B1E549F}"/>
            </a:ext>
          </a:extLst>
        </xdr:cNvPr>
        <xdr:cNvSpPr/>
      </xdr:nvSpPr>
      <xdr:spPr>
        <a:xfrm>
          <a:off x="0" y="22860"/>
          <a:ext cx="2423160" cy="54864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05EC4A-16BD-4A16-B868-301413C0FADE}" type="TxLink">
            <a:rPr lang="en-US" sz="3600" b="0" i="0" u="none" strike="noStrike">
              <a:solidFill>
                <a:schemeClr val="bg1"/>
              </a:solidFill>
              <a:latin typeface="Britannic Bold" panose="020B0903060703020204" pitchFamily="34" charset="0"/>
              <a:cs typeface="Calibri"/>
            </a:rPr>
            <a:pPr algn="ctr"/>
            <a:t>16:01:11</a:t>
          </a:fld>
          <a:endParaRPr lang="pt-BR" sz="3600">
            <a:solidFill>
              <a:schemeClr val="bg1"/>
            </a:solidFill>
            <a:latin typeface="Britannic Bold" panose="020B0903060703020204" pitchFamily="34" charset="0"/>
          </a:endParaRPr>
        </a:p>
      </xdr:txBody>
    </xdr:sp>
    <xdr:clientData/>
  </xdr:twoCellAnchor>
  <xdr:twoCellAnchor editAs="oneCell">
    <xdr:from>
      <xdr:col>3</xdr:col>
      <xdr:colOff>503506</xdr:colOff>
      <xdr:row>0</xdr:row>
      <xdr:rowOff>64478</xdr:rowOff>
    </xdr:from>
    <xdr:to>
      <xdr:col>4</xdr:col>
      <xdr:colOff>212644</xdr:colOff>
      <xdr:row>3</xdr:row>
      <xdr:rowOff>99647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212E379-F11D-46D1-BECA-6F0B1D5DF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31244" y="64478"/>
          <a:ext cx="595253" cy="580292"/>
        </a:xfrm>
        <a:prstGeom prst="rect">
          <a:avLst/>
        </a:prstGeom>
      </xdr:spPr>
    </xdr:pic>
    <xdr:clientData/>
  </xdr:twoCellAnchor>
  <xdr:twoCellAnchor editAs="oneCell">
    <xdr:from>
      <xdr:col>5</xdr:col>
      <xdr:colOff>132519</xdr:colOff>
      <xdr:row>0</xdr:row>
      <xdr:rowOff>103487</xdr:rowOff>
    </xdr:from>
    <xdr:to>
      <xdr:col>5</xdr:col>
      <xdr:colOff>666443</xdr:colOff>
      <xdr:row>3</xdr:row>
      <xdr:rowOff>81364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7CC3FA21-EF11-4098-932E-A122A8CDF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77699" y="103487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6</xdr:col>
      <xdr:colOff>445477</xdr:colOff>
      <xdr:row>0</xdr:row>
      <xdr:rowOff>76200</xdr:rowOff>
    </xdr:from>
    <xdr:to>
      <xdr:col>7</xdr:col>
      <xdr:colOff>375139</xdr:colOff>
      <xdr:row>3</xdr:row>
      <xdr:rowOff>111369</xdr:rowOff>
    </xdr:to>
    <xdr:pic>
      <xdr:nvPicPr>
        <xdr:cNvPr id="6" name="Gráfico 5" descr="Carrinho de comp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3D8AE7-6C74-4BAE-BFA9-B4EFED589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402015" y="76200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7</xdr:col>
      <xdr:colOff>615463</xdr:colOff>
      <xdr:row>0</xdr:row>
      <xdr:rowOff>5861</xdr:rowOff>
    </xdr:from>
    <xdr:to>
      <xdr:col>8</xdr:col>
      <xdr:colOff>395138</xdr:colOff>
      <xdr:row>3</xdr:row>
      <xdr:rowOff>128954</xdr:rowOff>
    </xdr:to>
    <xdr:pic>
      <xdr:nvPicPr>
        <xdr:cNvPr id="8" name="Gráfico 7" descr="Red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90EC53-302B-44AB-AD73-D878BAAC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8463" y="5861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8</xdr:col>
      <xdr:colOff>618922</xdr:colOff>
      <xdr:row>0</xdr:row>
      <xdr:rowOff>67939</xdr:rowOff>
    </xdr:from>
    <xdr:to>
      <xdr:col>9</xdr:col>
      <xdr:colOff>144367</xdr:colOff>
      <xdr:row>3</xdr:row>
      <xdr:rowOff>72341</xdr:rowOff>
    </xdr:to>
    <xdr:pic>
      <xdr:nvPicPr>
        <xdr:cNvPr id="10" name="Gráfico 9" descr="Rosquinh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42DDA1-60F8-48AD-BB69-F15D78BF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433568" y="67939"/>
          <a:ext cx="549525" cy="549525"/>
        </a:xfrm>
        <a:prstGeom prst="rect">
          <a:avLst/>
        </a:prstGeom>
      </xdr:spPr>
    </xdr:pic>
    <xdr:clientData/>
  </xdr:twoCellAnchor>
  <xdr:twoCellAnchor>
    <xdr:from>
      <xdr:col>0</xdr:col>
      <xdr:colOff>68580</xdr:colOff>
      <xdr:row>14</xdr:row>
      <xdr:rowOff>49530</xdr:rowOff>
    </xdr:from>
    <xdr:to>
      <xdr:col>3</xdr:col>
      <xdr:colOff>457200</xdr:colOff>
      <xdr:row>29</xdr:row>
      <xdr:rowOff>49530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D0765B67-CEA6-4871-A593-E7E4BB60A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655320</xdr:colOff>
      <xdr:row>14</xdr:row>
      <xdr:rowOff>57150</xdr:rowOff>
    </xdr:from>
    <xdr:to>
      <xdr:col>8</xdr:col>
      <xdr:colOff>518160</xdr:colOff>
      <xdr:row>29</xdr:row>
      <xdr:rowOff>57150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58A5117-D0F6-4298-B8F5-B0EA2A96D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739140</xdr:colOff>
      <xdr:row>14</xdr:row>
      <xdr:rowOff>76200</xdr:rowOff>
    </xdr:from>
    <xdr:to>
      <xdr:col>12</xdr:col>
      <xdr:colOff>952500</xdr:colOff>
      <xdr:row>29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716A1E8-8EF5-49E3-A2D5-55FDD4E46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68580</xdr:colOff>
      <xdr:row>41</xdr:row>
      <xdr:rowOff>49530</xdr:rowOff>
    </xdr:from>
    <xdr:to>
      <xdr:col>3</xdr:col>
      <xdr:colOff>457200</xdr:colOff>
      <xdr:row>56</xdr:row>
      <xdr:rowOff>49530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DFAF1B1-4D8E-4190-9F8B-F124CF28AC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655320</xdr:colOff>
      <xdr:row>41</xdr:row>
      <xdr:rowOff>57150</xdr:rowOff>
    </xdr:from>
    <xdr:to>
      <xdr:col>8</xdr:col>
      <xdr:colOff>518160</xdr:colOff>
      <xdr:row>56</xdr:row>
      <xdr:rowOff>57150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D231FEB9-2DD8-4E07-A2BF-43F184343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739140</xdr:colOff>
      <xdr:row>41</xdr:row>
      <xdr:rowOff>76200</xdr:rowOff>
    </xdr:from>
    <xdr:to>
      <xdr:col>12</xdr:col>
      <xdr:colOff>952500</xdr:colOff>
      <xdr:row>56</xdr:row>
      <xdr:rowOff>167640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242A9976-A080-482C-A29D-FAA929727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0</xdr:row>
      <xdr:rowOff>45720</xdr:rowOff>
    </xdr:from>
    <xdr:to>
      <xdr:col>14</xdr:col>
      <xdr:colOff>909918</xdr:colOff>
      <xdr:row>3</xdr:row>
      <xdr:rowOff>178398</xdr:rowOff>
    </xdr:to>
    <xdr:pic>
      <xdr:nvPicPr>
        <xdr:cNvPr id="3" name="Gráfico 2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2B826A-4C8F-42B6-BE0B-76EC57F72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27820" y="45720"/>
          <a:ext cx="681318" cy="6813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C07BBA1-3F70-43F1-8DB3-6F7A98D5916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16:01:11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57877</xdr:rowOff>
    </xdr:from>
    <xdr:to>
      <xdr:col>8</xdr:col>
      <xdr:colOff>665463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2A1A84A8-F171-4FD1-A0B1-7C990D9B8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7869" y="237171"/>
          <a:ext cx="688323" cy="67454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161364</xdr:rowOff>
    </xdr:from>
    <xdr:to>
      <xdr:col>9</xdr:col>
      <xdr:colOff>587795</xdr:colOff>
      <xdr:row>3</xdr:row>
      <xdr:rowOff>141034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50F0E3BA-5DE3-4569-944B-178B4E211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28" y="340658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2</xdr:col>
      <xdr:colOff>833718</xdr:colOff>
      <xdr:row>1</xdr:row>
      <xdr:rowOff>62753</xdr:rowOff>
    </xdr:from>
    <xdr:to>
      <xdr:col>4</xdr:col>
      <xdr:colOff>35859</xdr:colOff>
      <xdr:row>4</xdr:row>
      <xdr:rowOff>17930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92C9FE-241B-4602-A482-92B8B6573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94847" y="242047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170329</xdr:colOff>
      <xdr:row>0</xdr:row>
      <xdr:rowOff>62753</xdr:rowOff>
    </xdr:from>
    <xdr:to>
      <xdr:col>13</xdr:col>
      <xdr:colOff>35859</xdr:colOff>
      <xdr:row>4</xdr:row>
      <xdr:rowOff>71718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3D91BC-7DA6-4DA9-ACE0-B7CB8364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89341" y="627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259977</xdr:colOff>
      <xdr:row>1</xdr:row>
      <xdr:rowOff>88269</xdr:rowOff>
    </xdr:from>
    <xdr:to>
      <xdr:col>13</xdr:col>
      <xdr:colOff>840269</xdr:colOff>
      <xdr:row>3</xdr:row>
      <xdr:rowOff>121714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F1D2B2-4A78-4DD6-8D3E-9457D8CA1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227859" y="267563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1080594</xdr:colOff>
      <xdr:row>1</xdr:row>
      <xdr:rowOff>17930</xdr:rowOff>
    </xdr:from>
    <xdr:to>
      <xdr:col>14</xdr:col>
      <xdr:colOff>664080</xdr:colOff>
      <xdr:row>3</xdr:row>
      <xdr:rowOff>139299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47E685A-8E39-4B3A-A3DD-DAAA0D380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048476" y="197224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72075</xdr:colOff>
      <xdr:row>1</xdr:row>
      <xdr:rowOff>80008</xdr:rowOff>
    </xdr:from>
    <xdr:to>
      <xdr:col>15</xdr:col>
      <xdr:colOff>621600</xdr:colOff>
      <xdr:row>3</xdr:row>
      <xdr:rowOff>82686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99C7046-4F5A-4E4D-9023-36D232E6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913581" y="259302"/>
          <a:ext cx="549525" cy="54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4DDE7AA1-8660-4A50-88BA-4726A9DB82F1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16:01:11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97919C91-3B74-4AE6-95D0-ADEB65717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EE4CF24F-C092-4560-A34C-F371EADA5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591673</xdr:colOff>
      <xdr:row>0</xdr:row>
      <xdr:rowOff>161365</xdr:rowOff>
    </xdr:from>
    <xdr:to>
      <xdr:col>4</xdr:col>
      <xdr:colOff>53791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C45393-56B4-4548-8589-54ED1FADB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52802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98612</xdr:colOff>
      <xdr:row>0</xdr:row>
      <xdr:rowOff>89647</xdr:rowOff>
    </xdr:from>
    <xdr:to>
      <xdr:col>12</xdr:col>
      <xdr:colOff>1013012</xdr:colOff>
      <xdr:row>4</xdr:row>
      <xdr:rowOff>98612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6A422F4-8203-4B2B-BCDF-172DBDE6C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57647" y="8964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251012</xdr:colOff>
      <xdr:row>1</xdr:row>
      <xdr:rowOff>88268</xdr:rowOff>
    </xdr:from>
    <xdr:to>
      <xdr:col>13</xdr:col>
      <xdr:colOff>831304</xdr:colOff>
      <xdr:row>3</xdr:row>
      <xdr:rowOff>121713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E6640CA-E20C-4CC1-9C66-39435A58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58918" y="267562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1071629</xdr:colOff>
      <xdr:row>1</xdr:row>
      <xdr:rowOff>17929</xdr:rowOff>
    </xdr:from>
    <xdr:to>
      <xdr:col>14</xdr:col>
      <xdr:colOff>655116</xdr:colOff>
      <xdr:row>3</xdr:row>
      <xdr:rowOff>139298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94490-59A5-4B8D-A162-34BD4D9B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79535" y="197223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63111</xdr:colOff>
      <xdr:row>1</xdr:row>
      <xdr:rowOff>80007</xdr:rowOff>
    </xdr:from>
    <xdr:to>
      <xdr:col>15</xdr:col>
      <xdr:colOff>612636</xdr:colOff>
      <xdr:row>3</xdr:row>
      <xdr:rowOff>82685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BCE163-3243-4556-931D-86B16F8E2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44640" y="259301"/>
          <a:ext cx="549525" cy="549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ECAE4E99-CE80-4AC3-85F2-8DFD2922BB22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16:01:11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5FF3F48-49D0-4245-860D-C963A58C7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8484D3E3-F35D-4FD7-A8D6-0E4C0C4D0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582706</xdr:colOff>
      <xdr:row>0</xdr:row>
      <xdr:rowOff>98612</xdr:rowOff>
    </xdr:from>
    <xdr:to>
      <xdr:col>4</xdr:col>
      <xdr:colOff>44824</xdr:colOff>
      <xdr:row>3</xdr:row>
      <xdr:rowOff>53789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165179E-A8F1-465A-99CB-6A2A4FD2B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43835" y="98612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206188</xdr:colOff>
      <xdr:row>0</xdr:row>
      <xdr:rowOff>143436</xdr:rowOff>
    </xdr:from>
    <xdr:to>
      <xdr:col>13</xdr:col>
      <xdr:colOff>71717</xdr:colOff>
      <xdr:row>4</xdr:row>
      <xdr:rowOff>152401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3D6CFD-A2CF-4CBE-9F4F-6AF67EDC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65223" y="14343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224118</xdr:colOff>
      <xdr:row>1</xdr:row>
      <xdr:rowOff>151022</xdr:rowOff>
    </xdr:from>
    <xdr:to>
      <xdr:col>13</xdr:col>
      <xdr:colOff>804410</xdr:colOff>
      <xdr:row>4</xdr:row>
      <xdr:rowOff>5173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40F0537-6601-4F96-B51C-E967C36D5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32024" y="330316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1044735</xdr:colOff>
      <xdr:row>1</xdr:row>
      <xdr:rowOff>80683</xdr:rowOff>
    </xdr:from>
    <xdr:to>
      <xdr:col>14</xdr:col>
      <xdr:colOff>628222</xdr:colOff>
      <xdr:row>4</xdr:row>
      <xdr:rowOff>22758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24AB042-72F8-45B3-B3F6-DCCE03983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52641" y="259977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36217</xdr:colOff>
      <xdr:row>1</xdr:row>
      <xdr:rowOff>142761</xdr:rowOff>
    </xdr:from>
    <xdr:to>
      <xdr:col>15</xdr:col>
      <xdr:colOff>585742</xdr:colOff>
      <xdr:row>3</xdr:row>
      <xdr:rowOff>145439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2582D02-8E7F-4A98-BE87-16C8AC5A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17746" y="322055"/>
          <a:ext cx="549525" cy="549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1BE1262-C542-4885-B6BE-B8C23CBD8CF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16:01:11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57C0939-337E-495D-BC3C-CBC2F4EB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27B4E72F-3AEF-4327-AC8C-C15A69BE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573742</xdr:colOff>
      <xdr:row>0</xdr:row>
      <xdr:rowOff>143435</xdr:rowOff>
    </xdr:from>
    <xdr:to>
      <xdr:col>4</xdr:col>
      <xdr:colOff>35860</xdr:colOff>
      <xdr:row>3</xdr:row>
      <xdr:rowOff>98612</xdr:rowOff>
    </xdr:to>
    <xdr:pic>
      <xdr:nvPicPr>
        <xdr:cNvPr id="6" name="Gráfico 5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7FF741-C32D-4B00-90D5-EC038CF49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4871" y="14343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654424</xdr:colOff>
      <xdr:row>0</xdr:row>
      <xdr:rowOff>0</xdr:rowOff>
    </xdr:from>
    <xdr:to>
      <xdr:col>12</xdr:col>
      <xdr:colOff>475130</xdr:colOff>
      <xdr:row>4</xdr:row>
      <xdr:rowOff>8965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CABAC36-5589-4399-9F26-22BC5F858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19765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708212</xdr:colOff>
      <xdr:row>1</xdr:row>
      <xdr:rowOff>7587</xdr:rowOff>
    </xdr:from>
    <xdr:to>
      <xdr:col>13</xdr:col>
      <xdr:colOff>239633</xdr:colOff>
      <xdr:row>3</xdr:row>
      <xdr:rowOff>41032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FA7EC1F-0CCD-4216-A681-4946FB4E8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367247" y="18688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479958</xdr:colOff>
      <xdr:row>0</xdr:row>
      <xdr:rowOff>116542</xdr:rowOff>
    </xdr:from>
    <xdr:to>
      <xdr:col>14</xdr:col>
      <xdr:colOff>63445</xdr:colOff>
      <xdr:row>3</xdr:row>
      <xdr:rowOff>58617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0C7A30-4AD9-44E5-9D08-3F3B738C6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187864" y="11654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260334</xdr:colOff>
      <xdr:row>0</xdr:row>
      <xdr:rowOff>178620</xdr:rowOff>
    </xdr:from>
    <xdr:to>
      <xdr:col>15</xdr:col>
      <xdr:colOff>20965</xdr:colOff>
      <xdr:row>3</xdr:row>
      <xdr:rowOff>2004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AD6E261-1FC7-4E3A-AB37-19A50E17C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052969" y="178620"/>
          <a:ext cx="549525" cy="549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953F9F04-EB33-4769-B0CC-E77A14EB1135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16:01:11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4" name="Gráfico 3" descr="Reproduzir">
          <a:extLst>
            <a:ext uri="{FF2B5EF4-FFF2-40B4-BE49-F238E27FC236}">
              <a16:creationId xmlns:a16="http://schemas.microsoft.com/office/drawing/2014/main" id="{CF288FA9-BDFB-460D-B889-5DE886FF6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6" name="Gráfico 5" descr="Parar">
          <a:extLst>
            <a:ext uri="{FF2B5EF4-FFF2-40B4-BE49-F238E27FC236}">
              <a16:creationId xmlns:a16="http://schemas.microsoft.com/office/drawing/2014/main" id="{55700985-B2D1-40B0-8EAF-F90871B2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564777</xdr:colOff>
      <xdr:row>0</xdr:row>
      <xdr:rowOff>161365</xdr:rowOff>
    </xdr:from>
    <xdr:to>
      <xdr:col>4</xdr:col>
      <xdr:colOff>26895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7B2725-DA4C-4836-9F44-C3FC0ADC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25906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107577</xdr:colOff>
      <xdr:row>0</xdr:row>
      <xdr:rowOff>134470</xdr:rowOff>
    </xdr:from>
    <xdr:to>
      <xdr:col>12</xdr:col>
      <xdr:colOff>1021977</xdr:colOff>
      <xdr:row>4</xdr:row>
      <xdr:rowOff>143435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138138-84AA-4729-8137-1BF19B19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66612" y="1344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143435</xdr:colOff>
      <xdr:row>1</xdr:row>
      <xdr:rowOff>142057</xdr:rowOff>
    </xdr:from>
    <xdr:to>
      <xdr:col>13</xdr:col>
      <xdr:colOff>723727</xdr:colOff>
      <xdr:row>3</xdr:row>
      <xdr:rowOff>175502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2B04065-0DA3-42B6-B093-49297C239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51341" y="32135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964052</xdr:colOff>
      <xdr:row>1</xdr:row>
      <xdr:rowOff>71718</xdr:rowOff>
    </xdr:from>
    <xdr:to>
      <xdr:col>14</xdr:col>
      <xdr:colOff>547539</xdr:colOff>
      <xdr:row>4</xdr:row>
      <xdr:rowOff>13793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9552A0F-AFE4-46BA-AC60-27F5A2ED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71958" y="25101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744428</xdr:colOff>
      <xdr:row>1</xdr:row>
      <xdr:rowOff>133796</xdr:rowOff>
    </xdr:from>
    <xdr:to>
      <xdr:col>15</xdr:col>
      <xdr:colOff>505059</xdr:colOff>
      <xdr:row>3</xdr:row>
      <xdr:rowOff>136474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C62DBB6-3650-43E0-AA09-8D893D2ED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537063" y="313090"/>
          <a:ext cx="549525" cy="549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104AB198-8A5F-4DBC-88C6-CEAC2E13E4A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16:01:11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60EFCF90-1D97-4265-B79B-BAC4BF114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4F4A081A-6376-43A1-A365-5CA9FEB1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528917</xdr:colOff>
      <xdr:row>1</xdr:row>
      <xdr:rowOff>53789</xdr:rowOff>
    </xdr:from>
    <xdr:to>
      <xdr:col>3</xdr:col>
      <xdr:colOff>600635</xdr:colOff>
      <xdr:row>4</xdr:row>
      <xdr:rowOff>8966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6570B4-9DC2-431F-8F39-9B2CAA762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90046" y="233083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215152</xdr:colOff>
      <xdr:row>0</xdr:row>
      <xdr:rowOff>152400</xdr:rowOff>
    </xdr:from>
    <xdr:to>
      <xdr:col>12</xdr:col>
      <xdr:colOff>35858</xdr:colOff>
      <xdr:row>4</xdr:row>
      <xdr:rowOff>161365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F1DEE31-6227-4D45-92CB-0EDACB882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780493" y="15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188259</xdr:colOff>
      <xdr:row>1</xdr:row>
      <xdr:rowOff>168951</xdr:rowOff>
    </xdr:from>
    <xdr:to>
      <xdr:col>12</xdr:col>
      <xdr:colOff>768551</xdr:colOff>
      <xdr:row>4</xdr:row>
      <xdr:rowOff>23102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436D67D-F5E6-4DF1-881D-6F75EF3CB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847294" y="348245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12</xdr:col>
      <xdr:colOff>1008876</xdr:colOff>
      <xdr:row>1</xdr:row>
      <xdr:rowOff>98612</xdr:rowOff>
    </xdr:from>
    <xdr:to>
      <xdr:col>13</xdr:col>
      <xdr:colOff>628221</xdr:colOff>
      <xdr:row>4</xdr:row>
      <xdr:rowOff>40687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F0F2736-9957-404E-83B8-E0A9BE414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667911" y="277906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13</xdr:col>
      <xdr:colOff>825110</xdr:colOff>
      <xdr:row>1</xdr:row>
      <xdr:rowOff>160690</xdr:rowOff>
    </xdr:from>
    <xdr:to>
      <xdr:col>14</xdr:col>
      <xdr:colOff>289906</xdr:colOff>
      <xdr:row>3</xdr:row>
      <xdr:rowOff>163368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D2C8DCD-58B2-487E-B30C-87CC413C6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533016" y="339984"/>
          <a:ext cx="549525" cy="549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0</xdr:row>
      <xdr:rowOff>0</xdr:rowOff>
    </xdr:from>
    <xdr:to>
      <xdr:col>1</xdr:col>
      <xdr:colOff>1097280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99189-7164-484A-9EF6-11A530A97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4874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45720</xdr:rowOff>
    </xdr:from>
    <xdr:to>
      <xdr:col>1</xdr:col>
      <xdr:colOff>1470660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226A83-F663-427E-817A-64F8BAC8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212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45720</xdr:rowOff>
    </xdr:from>
    <xdr:to>
      <xdr:col>1</xdr:col>
      <xdr:colOff>1524000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DE9F78-4656-4FC5-9530-83C0E635F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7546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</xdr:col>
      <xdr:colOff>1295400</xdr:colOff>
      <xdr:row>4</xdr:row>
      <xdr:rowOff>181707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3BF5E-8242-484C-806B-E04ADEC95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686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0</xdr:rowOff>
    </xdr:from>
    <xdr:to>
      <xdr:col>1</xdr:col>
      <xdr:colOff>1592580</xdr:colOff>
      <xdr:row>4</xdr:row>
      <xdr:rowOff>68580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457B5-F160-4F9E-B9C1-E760E41F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44040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624840</xdr:colOff>
      <xdr:row>0</xdr:row>
      <xdr:rowOff>68580</xdr:rowOff>
    </xdr:from>
    <xdr:to>
      <xdr:col>1</xdr:col>
      <xdr:colOff>1539240</xdr:colOff>
      <xdr:row>5</xdr:row>
      <xdr:rowOff>68580</xdr:rowOff>
    </xdr:to>
    <xdr:pic>
      <xdr:nvPicPr>
        <xdr:cNvPr id="3" name="Gráfico 2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174C70-FFA6-4741-91AD-7CBD42884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9070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289560</xdr:colOff>
      <xdr:row>0</xdr:row>
      <xdr:rowOff>53340</xdr:rowOff>
    </xdr:from>
    <xdr:to>
      <xdr:col>17</xdr:col>
      <xdr:colOff>361278</xdr:colOff>
      <xdr:row>4</xdr:row>
      <xdr:rowOff>3138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48FF5-BA27-4D8F-A339-3563BA0B1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40640" y="53340"/>
          <a:ext cx="681318" cy="68131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99060</xdr:colOff>
      <xdr:row>0</xdr:row>
      <xdr:rowOff>0</xdr:rowOff>
    </xdr:from>
    <xdr:to>
      <xdr:col>14</xdr:col>
      <xdr:colOff>170778</xdr:colOff>
      <xdr:row>2</xdr:row>
      <xdr:rowOff>132678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32196-65A2-4DF9-94C6-C3541614B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652760" y="0"/>
          <a:ext cx="681318" cy="681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71AD7-CC57-4323-8F40-4C44565164B1}">
  <dimension ref="A2:AA52"/>
  <sheetViews>
    <sheetView showGridLines="0" tabSelected="1" topLeftCell="F16" zoomScale="70" zoomScaleNormal="70" workbookViewId="0">
      <selection activeCell="AA44" sqref="S44:AA45"/>
    </sheetView>
  </sheetViews>
  <sheetFormatPr defaultRowHeight="14.4" x14ac:dyDescent="0.3"/>
  <cols>
    <col min="1" max="1" width="15.5546875" bestFit="1" customWidth="1"/>
    <col min="2" max="2" width="16.109375" bestFit="1" customWidth="1"/>
    <col min="3" max="3" width="12.109375" bestFit="1" customWidth="1"/>
    <col min="4" max="4" width="14.21875" bestFit="1" customWidth="1"/>
    <col min="5" max="5" width="14.21875" customWidth="1"/>
    <col min="6" max="6" width="11.88671875" bestFit="1" customWidth="1"/>
    <col min="8" max="8" width="12.33203125" bestFit="1" customWidth="1"/>
    <col min="9" max="9" width="15.5546875" bestFit="1" customWidth="1"/>
    <col min="12" max="12" width="14.109375" bestFit="1" customWidth="1"/>
    <col min="13" max="13" width="14.6640625" bestFit="1" customWidth="1"/>
    <col min="14" max="15" width="14.6640625" customWidth="1"/>
    <col min="17" max="17" width="8.77734375" customWidth="1"/>
    <col min="19" max="19" width="16.33203125" customWidth="1"/>
    <col min="20" max="20" width="16.6640625" bestFit="1" customWidth="1"/>
    <col min="21" max="21" width="11.77734375" customWidth="1"/>
    <col min="24" max="24" width="10" bestFit="1" customWidth="1"/>
    <col min="26" max="26" width="14.6640625" bestFit="1" customWidth="1"/>
  </cols>
  <sheetData>
    <row r="2" spans="1:27" ht="14.4" customHeight="1" x14ac:dyDescent="0.3"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AA2" s="16">
        <v>0.30555555555555602</v>
      </c>
    </row>
    <row r="3" spans="1:27" s="26" customFormat="1" ht="29.4" thickBot="1" x14ac:dyDescent="0.35">
      <c r="A3" s="85" t="s">
        <v>134</v>
      </c>
      <c r="B3" s="85" t="s">
        <v>135</v>
      </c>
      <c r="C3" s="85" t="s">
        <v>133</v>
      </c>
      <c r="D3" s="85" t="s">
        <v>248</v>
      </c>
      <c r="E3" s="85" t="s">
        <v>249</v>
      </c>
      <c r="F3" s="85" t="s">
        <v>252</v>
      </c>
      <c r="G3" s="85" t="s">
        <v>136</v>
      </c>
      <c r="H3" s="85" t="s">
        <v>262</v>
      </c>
      <c r="I3" s="85" t="s">
        <v>261</v>
      </c>
      <c r="S3" s="116" t="s">
        <v>134</v>
      </c>
      <c r="T3" s="116" t="s">
        <v>111</v>
      </c>
      <c r="U3" s="116" t="s">
        <v>242</v>
      </c>
      <c r="V3" s="116" t="s">
        <v>133</v>
      </c>
      <c r="W3" s="116" t="s">
        <v>264</v>
      </c>
      <c r="X3" s="116" t="s">
        <v>263</v>
      </c>
      <c r="Y3" s="116" t="s">
        <v>264</v>
      </c>
      <c r="Z3" s="116" t="s">
        <v>265</v>
      </c>
      <c r="AA3" s="116" t="s">
        <v>264</v>
      </c>
    </row>
    <row r="4" spans="1:27" s="2" customFormat="1" ht="15.6" thickTop="1" thickBot="1" x14ac:dyDescent="0.35">
      <c r="A4" s="81" t="s">
        <v>127</v>
      </c>
      <c r="B4" s="51">
        <v>0.16666666666666666</v>
      </c>
      <c r="C4" s="81" t="s">
        <v>1</v>
      </c>
      <c r="D4" s="81" t="s">
        <v>7</v>
      </c>
      <c r="E4" s="81" t="s">
        <v>230</v>
      </c>
      <c r="F4" s="81" t="s">
        <v>250</v>
      </c>
      <c r="G4" s="51">
        <f>ANALISE!D73</f>
        <v>0.19305555555555556</v>
      </c>
      <c r="H4" s="51">
        <f>IF(G4-B4&lt;0,0,G4-B4)</f>
        <v>2.6388888888888906E-2</v>
      </c>
      <c r="I4" s="117">
        <f>IF(B4-VLOOKUP(C4,$C$4:$H$11,5,FALSE)&gt;0,B4-VLOOKUP(C4,$C$4:$H$11,5,FALSE),0)</f>
        <v>0</v>
      </c>
      <c r="R4" s="2">
        <f>VLOOKUP(T4,$A$15:$P$22,16,FALSE)</f>
        <v>2</v>
      </c>
      <c r="S4" s="81" t="str">
        <f>JORNADAS!B4</f>
        <v>AUGUSTO</v>
      </c>
      <c r="T4" s="111" t="str">
        <f>JORNADAS!C4</f>
        <v>SEGUNDA-FEIRA</v>
      </c>
      <c r="U4" s="110">
        <f>JORNADAS!J4</f>
        <v>0.31388888888888888</v>
      </c>
      <c r="V4" s="110">
        <f>IFERROR(HLOOKUP(VLOOKUP($S4,$A$3:$I$11,C$2,FALSE),$A$16:$O$22,$R4,FALSE),0)-VLOOKUP($S4,$A$3:$I$11,I$2,FALSE)</f>
        <v>0.27638888888888885</v>
      </c>
      <c r="W4" s="119">
        <f>IF(U4-V4&gt;0,V4/U4,100%)</f>
        <v>0.88053097345132736</v>
      </c>
      <c r="X4" s="110">
        <f>IF(U4-V4&lt;0,0,U4-V4)</f>
        <v>3.7500000000000033E-2</v>
      </c>
      <c r="Y4" s="119">
        <f>1-W4</f>
        <v>0.11946902654867264</v>
      </c>
      <c r="Z4" s="110">
        <f t="shared" ref="Z4:Z51" si="0">IF(U4-0.305555555555556&lt;0,0,U4-0.305555555555556)</f>
        <v>8.3333333333328596E-3</v>
      </c>
      <c r="AA4" s="119">
        <f>IF(U4-Z4&gt;0,Z4/U4,0%)</f>
        <v>2.6548672566370172E-2</v>
      </c>
    </row>
    <row r="5" spans="1:27" s="2" customFormat="1" ht="15.6" thickTop="1" thickBot="1" x14ac:dyDescent="0.35">
      <c r="A5" s="81" t="s">
        <v>128</v>
      </c>
      <c r="B5" s="51">
        <v>0.20833333333333334</v>
      </c>
      <c r="C5" s="81" t="s">
        <v>2</v>
      </c>
      <c r="D5" s="81" t="s">
        <v>4</v>
      </c>
      <c r="E5" s="81" t="s">
        <v>9</v>
      </c>
      <c r="F5" s="81" t="s">
        <v>250</v>
      </c>
      <c r="G5" s="51">
        <f>ANALISE!F73</f>
        <v>0.20972222222222223</v>
      </c>
      <c r="H5" s="51">
        <f t="shared" ref="H5:H11" si="1">IF(G5-B5&lt;0,0,G5-B5)</f>
        <v>1.388888888888884E-3</v>
      </c>
      <c r="I5" s="117">
        <f t="shared" ref="I5:I11" si="2">IF(B5-VLOOKUP(C5,$C$4:$H$11,5,FALSE)&gt;0,B5-VLOOKUP(C5,$C$4:$H$11,5,FALSE),0)</f>
        <v>0</v>
      </c>
      <c r="R5" s="2">
        <f t="shared" ref="R5:R51" si="3">VLOOKUP(T5,$A$15:$P$22,16,FALSE)</f>
        <v>2</v>
      </c>
      <c r="S5" s="81" t="str">
        <f>JORNADAS!B5</f>
        <v>BRUNO</v>
      </c>
      <c r="T5" s="111" t="str">
        <f>JORNADAS!C5</f>
        <v>SEGUNDA-FEIRA</v>
      </c>
      <c r="U5" s="110">
        <f>JORNADAS!J5</f>
        <v>0.37638888888888888</v>
      </c>
      <c r="V5" s="110">
        <f>IFERROR(HLOOKUP(VLOOKUP($S5,$A$3:$I$11,C$2,FALSE),$A$16:$O$22,$R5,FALSE),0)-VLOOKUP($S5,$A$3:$I$11,I$2,FALSE)</f>
        <v>0.23263888888888887</v>
      </c>
      <c r="W5" s="119">
        <f t="shared" ref="W5:W51" si="4">IF(U5-V5&gt;0,V5/U5,100%)</f>
        <v>0.61808118081180807</v>
      </c>
      <c r="X5" s="110">
        <f t="shared" ref="X5:X51" si="5">IF(U5-V5&lt;0,0,U5-V5)</f>
        <v>0.14375000000000002</v>
      </c>
      <c r="Y5" s="119">
        <f t="shared" ref="Y5:Y51" si="6">1-W5</f>
        <v>0.38191881918819193</v>
      </c>
      <c r="Z5" s="110">
        <f t="shared" si="0"/>
        <v>7.083333333333286E-2</v>
      </c>
      <c r="AA5" s="119">
        <f t="shared" ref="AA5:AA51" si="7">IF(U5-Z5&gt;0,Z5/U5,0%)</f>
        <v>0.18819188191881794</v>
      </c>
    </row>
    <row r="6" spans="1:27" s="2" customFormat="1" ht="15.6" thickTop="1" thickBot="1" x14ac:dyDescent="0.35">
      <c r="A6" s="81" t="s">
        <v>129</v>
      </c>
      <c r="B6" s="51">
        <v>0.22916666666666666</v>
      </c>
      <c r="C6" s="81" t="s">
        <v>5</v>
      </c>
      <c r="D6" s="81" t="s">
        <v>7</v>
      </c>
      <c r="E6" s="81" t="s">
        <v>250</v>
      </c>
      <c r="F6" s="81"/>
      <c r="G6" s="51">
        <f>ANALISE!L73</f>
        <v>0.23541666666666669</v>
      </c>
      <c r="H6" s="51">
        <f t="shared" si="1"/>
        <v>6.2500000000000333E-3</v>
      </c>
      <c r="I6" s="117">
        <f t="shared" si="2"/>
        <v>0</v>
      </c>
      <c r="R6" s="2">
        <f t="shared" si="3"/>
        <v>2</v>
      </c>
      <c r="S6" s="81" t="str">
        <f>JORNADAS!B6</f>
        <v>DANIEL</v>
      </c>
      <c r="T6" s="111" t="str">
        <f>JORNADAS!C6</f>
        <v>SEGUNDA-FEIRA</v>
      </c>
      <c r="U6" s="110">
        <f>JORNADAS!J6</f>
        <v>0.30694444444444441</v>
      </c>
      <c r="V6" s="110">
        <f>IFERROR(HLOOKUP(VLOOKUP($S6,$A$3:$I$11,C$2,FALSE),$A$16:$O$22,$R6,FALSE),0)-VLOOKUP($S6,$A$3:$I$11,I$2,FALSE)</f>
        <v>0.23055555555555551</v>
      </c>
      <c r="W6" s="119">
        <f t="shared" si="4"/>
        <v>0.75113122171945701</v>
      </c>
      <c r="X6" s="110">
        <f t="shared" si="5"/>
        <v>7.6388888888888895E-2</v>
      </c>
      <c r="Y6" s="119">
        <f t="shared" si="6"/>
        <v>0.24886877828054299</v>
      </c>
      <c r="Z6" s="110">
        <f t="shared" si="0"/>
        <v>1.3888888888883844E-3</v>
      </c>
      <c r="AA6" s="119">
        <f t="shared" si="7"/>
        <v>4.5248868778264111E-3</v>
      </c>
    </row>
    <row r="7" spans="1:27" s="2" customFormat="1" ht="15.6" thickTop="1" thickBot="1" x14ac:dyDescent="0.35">
      <c r="A7" s="81" t="s">
        <v>130</v>
      </c>
      <c r="B7" s="51">
        <v>0.20833333333333334</v>
      </c>
      <c r="C7" s="81" t="s">
        <v>7</v>
      </c>
      <c r="D7" s="81" t="s">
        <v>9</v>
      </c>
      <c r="E7" s="81" t="s">
        <v>250</v>
      </c>
      <c r="F7" s="81"/>
      <c r="G7" s="51">
        <f>ANALISE!P73</f>
        <v>0.24722222222222218</v>
      </c>
      <c r="H7" s="51">
        <f t="shared" si="1"/>
        <v>3.8888888888888834E-2</v>
      </c>
      <c r="I7" s="117">
        <f t="shared" si="2"/>
        <v>0</v>
      </c>
      <c r="R7" s="2">
        <f t="shared" si="3"/>
        <v>2</v>
      </c>
      <c r="S7" s="81" t="str">
        <f>JORNADAS!B7</f>
        <v>ERIKA</v>
      </c>
      <c r="T7" s="111" t="str">
        <f>JORNADAS!C7</f>
        <v>SEGUNDA-FEIRA</v>
      </c>
      <c r="U7" s="110">
        <f>JORNADAS!J7</f>
        <v>0.25347222222222215</v>
      </c>
      <c r="V7" s="110">
        <f>IFERROR(HLOOKUP(VLOOKUP($S7,$A$3:$I$11,C$2,FALSE),$A$16:$O$22,$R7,FALSE),0)-VLOOKUP($S7,$A$3:$I$11,I$2,FALSE)</f>
        <v>0.29097222222222219</v>
      </c>
      <c r="W7" s="119">
        <f t="shared" si="4"/>
        <v>1</v>
      </c>
      <c r="X7" s="110">
        <f t="shared" si="5"/>
        <v>0</v>
      </c>
      <c r="Y7" s="119">
        <f t="shared" si="6"/>
        <v>0</v>
      </c>
      <c r="Z7" s="110">
        <f t="shared" si="0"/>
        <v>0</v>
      </c>
      <c r="AA7" s="119">
        <f t="shared" si="7"/>
        <v>0</v>
      </c>
    </row>
    <row r="8" spans="1:27" s="2" customFormat="1" ht="15.6" thickTop="1" thickBot="1" x14ac:dyDescent="0.35">
      <c r="A8" s="81" t="s">
        <v>131</v>
      </c>
      <c r="B8" s="51">
        <v>0.33333333333333331</v>
      </c>
      <c r="C8" s="81" t="s">
        <v>7</v>
      </c>
      <c r="D8" s="81" t="s">
        <v>11</v>
      </c>
      <c r="E8" s="81" t="s">
        <v>250</v>
      </c>
      <c r="F8" s="81" t="s">
        <v>12</v>
      </c>
      <c r="G8" s="51">
        <f>G7</f>
        <v>0.24722222222222218</v>
      </c>
      <c r="H8" s="51">
        <f t="shared" si="1"/>
        <v>0</v>
      </c>
      <c r="I8" s="117">
        <f>IF(B8-VLOOKUP(C8,$C$4:$H$11,5,FALSE)&gt;0,B8-VLOOKUP(C8,$C$4:$H$11,5,FALSE),0)</f>
        <v>8.6111111111111138E-2</v>
      </c>
      <c r="R8" s="2">
        <f t="shared" si="3"/>
        <v>2</v>
      </c>
      <c r="S8" s="81" t="str">
        <f>JORNADAS!B8</f>
        <v>FABIOLA</v>
      </c>
      <c r="T8" s="111" t="str">
        <f>JORNADAS!C8</f>
        <v>SEGUNDA-FEIRA</v>
      </c>
      <c r="U8" s="110">
        <f>JORNADAS!J8</f>
        <v>0.29236111111111113</v>
      </c>
      <c r="V8" s="110">
        <f>IFERROR(HLOOKUP(VLOOKUP($S8,$A$3:$I$11,C$2,FALSE),$A$16:$O$22,$R8,FALSE),0)-VLOOKUP($S8,$A$3:$I$11,I$2,FALSE)</f>
        <v>0.29097222222222219</v>
      </c>
      <c r="W8" s="119">
        <f t="shared" si="4"/>
        <v>0.99524940617577184</v>
      </c>
      <c r="X8" s="110">
        <f t="shared" si="5"/>
        <v>1.3888888888889395E-3</v>
      </c>
      <c r="Y8" s="119">
        <f t="shared" si="6"/>
        <v>4.7505938242281553E-3</v>
      </c>
      <c r="Z8" s="110">
        <f t="shared" si="0"/>
        <v>0</v>
      </c>
      <c r="AA8" s="119">
        <f t="shared" si="7"/>
        <v>0</v>
      </c>
    </row>
    <row r="9" spans="1:27" s="2" customFormat="1" ht="15.6" thickTop="1" thickBot="1" x14ac:dyDescent="0.35">
      <c r="A9" s="81" t="s">
        <v>132</v>
      </c>
      <c r="B9" s="51">
        <v>0.33333333333333331</v>
      </c>
      <c r="C9" s="81" t="s">
        <v>12</v>
      </c>
      <c r="D9" s="81" t="s">
        <v>250</v>
      </c>
      <c r="E9" s="81"/>
      <c r="F9" s="81"/>
      <c r="G9" s="51">
        <f>ANALISE!X73</f>
        <v>0.43124999999999991</v>
      </c>
      <c r="H9" s="51">
        <f t="shared" si="1"/>
        <v>9.7916666666666596E-2</v>
      </c>
      <c r="I9" s="117">
        <f t="shared" si="2"/>
        <v>0</v>
      </c>
      <c r="R9" s="2">
        <f t="shared" si="3"/>
        <v>2</v>
      </c>
      <c r="S9" s="81" t="str">
        <f>JORNADAS!B9</f>
        <v>JACIARA</v>
      </c>
      <c r="T9" s="111" t="str">
        <f>JORNADAS!C9</f>
        <v>SEGUNDA-FEIRA</v>
      </c>
      <c r="U9" s="110">
        <f>JORNADAS!J9</f>
        <v>0</v>
      </c>
      <c r="V9" s="110">
        <f>IFERROR(HLOOKUP(VLOOKUP($S9,$A$3:$I$11,C$2,FALSE),$A$16:$O$22,$R9,FALSE),0)-VLOOKUP($S9,$A$3:$I$11,I$2,FALSE)</f>
        <v>0.29097222222222219</v>
      </c>
      <c r="W9" s="119">
        <f t="shared" si="4"/>
        <v>1</v>
      </c>
      <c r="X9" s="110">
        <f t="shared" si="5"/>
        <v>0</v>
      </c>
      <c r="Y9" s="119">
        <f t="shared" si="6"/>
        <v>0</v>
      </c>
      <c r="Z9" s="110">
        <f t="shared" si="0"/>
        <v>0</v>
      </c>
      <c r="AA9" s="119">
        <f t="shared" si="7"/>
        <v>0</v>
      </c>
    </row>
    <row r="10" spans="1:27" s="2" customFormat="1" ht="15.6" thickTop="1" thickBot="1" x14ac:dyDescent="0.35">
      <c r="A10" s="81" t="s">
        <v>246</v>
      </c>
      <c r="B10" s="51">
        <v>0.41666666666666669</v>
      </c>
      <c r="C10" s="81" t="s">
        <v>12</v>
      </c>
      <c r="D10" s="81" t="s">
        <v>250</v>
      </c>
      <c r="E10" s="81" t="s">
        <v>253</v>
      </c>
      <c r="F10" s="81"/>
      <c r="G10" s="51">
        <f>ANALISE!Z73</f>
        <v>0.46388888888888885</v>
      </c>
      <c r="H10" s="51">
        <f t="shared" si="1"/>
        <v>4.7222222222222165E-2</v>
      </c>
      <c r="I10" s="117">
        <f t="shared" si="2"/>
        <v>0</v>
      </c>
      <c r="R10" s="2">
        <f t="shared" si="3"/>
        <v>2</v>
      </c>
      <c r="S10" s="81" t="str">
        <f>JORNADAS!B10</f>
        <v>MARCOS</v>
      </c>
      <c r="T10" s="111" t="str">
        <f>JORNADAS!C10</f>
        <v>SEGUNDA-FEIRA</v>
      </c>
      <c r="U10" s="110">
        <f>JORNADAS!J10</f>
        <v>0.33472222222222231</v>
      </c>
      <c r="V10" s="110">
        <f>IFERROR(HLOOKUP(VLOOKUP($S10,$A$3:$I$11,C$2,FALSE),$A$16:$O$22,$R10,FALSE),0)-VLOOKUP($S10,$A$3:$I$11,I$2,FALSE)</f>
        <v>0.31666666666666665</v>
      </c>
      <c r="W10" s="119">
        <f t="shared" si="4"/>
        <v>0.9460580912863068</v>
      </c>
      <c r="X10" s="110">
        <f t="shared" si="5"/>
        <v>1.8055555555555658E-2</v>
      </c>
      <c r="Y10" s="119">
        <f t="shared" si="6"/>
        <v>5.3941908713693199E-2</v>
      </c>
      <c r="Z10" s="110">
        <f t="shared" si="0"/>
        <v>2.9166666666666285E-2</v>
      </c>
      <c r="AA10" s="119">
        <f t="shared" si="7"/>
        <v>8.7136929460579757E-2</v>
      </c>
    </row>
    <row r="11" spans="1:27" ht="15.6" thickTop="1" thickBot="1" x14ac:dyDescent="0.35">
      <c r="A11" s="81" t="s">
        <v>247</v>
      </c>
      <c r="B11" s="51">
        <v>0.41666666666666669</v>
      </c>
      <c r="C11" s="81" t="s">
        <v>12</v>
      </c>
      <c r="D11" s="81" t="s">
        <v>251</v>
      </c>
      <c r="E11" s="81" t="s">
        <v>250</v>
      </c>
      <c r="F11" s="81"/>
      <c r="G11" s="51">
        <f>ANALISE!Z73</f>
        <v>0.46388888888888885</v>
      </c>
      <c r="H11" s="51">
        <f t="shared" si="1"/>
        <v>4.7222222222222165E-2</v>
      </c>
      <c r="I11" s="117">
        <f t="shared" si="2"/>
        <v>0</v>
      </c>
      <c r="R11" s="2">
        <f t="shared" si="3"/>
        <v>2</v>
      </c>
      <c r="S11" s="81" t="str">
        <f>JORNADAS!B11</f>
        <v>RODOLFO</v>
      </c>
      <c r="T11" s="111" t="str">
        <f>JORNADAS!C11</f>
        <v>SEGUNDA-FEIRA</v>
      </c>
      <c r="U11" s="110">
        <f>JORNADAS!J11</f>
        <v>0</v>
      </c>
      <c r="V11" s="110">
        <f>IFERROR(HLOOKUP(VLOOKUP($S11,$A$3:$I$11,C$2,FALSE),$A$16:$O$22,$R11,FALSE),0)-VLOOKUP($S11,$A$3:$I$11,I$2,FALSE)</f>
        <v>9.999999999999995E-2</v>
      </c>
      <c r="W11" s="119">
        <f t="shared" si="4"/>
        <v>1</v>
      </c>
      <c r="X11" s="110">
        <f t="shared" si="5"/>
        <v>0</v>
      </c>
      <c r="Y11" s="119">
        <f t="shared" si="6"/>
        <v>0</v>
      </c>
      <c r="Z11" s="110">
        <f t="shared" si="0"/>
        <v>0</v>
      </c>
      <c r="AA11" s="119">
        <f t="shared" si="7"/>
        <v>0</v>
      </c>
    </row>
    <row r="12" spans="1:27" ht="15.6" thickTop="1" thickBot="1" x14ac:dyDescent="0.35">
      <c r="R12" s="2">
        <f t="shared" si="3"/>
        <v>3</v>
      </c>
      <c r="S12" s="81" t="str">
        <f>JORNADAS!B12</f>
        <v>AUGUSTO</v>
      </c>
      <c r="T12" s="111" t="str">
        <f>JORNADAS!C12</f>
        <v>TERÇA-FEIRA</v>
      </c>
      <c r="U12" s="110">
        <f>JORNADAS!J12</f>
        <v>0.35069444444444442</v>
      </c>
      <c r="V12" s="110">
        <f>IFERROR(HLOOKUP(VLOOKUP($S12,$A$3:$I$11,C$2,FALSE),$A$16:$O$22,$R12,FALSE),0)-VLOOKUP($S12,$A$3:$I$11,I$2,FALSE)</f>
        <v>0.26597222222222222</v>
      </c>
      <c r="W12" s="119">
        <f t="shared" si="4"/>
        <v>0.75841584158415842</v>
      </c>
      <c r="X12" s="110">
        <f t="shared" si="5"/>
        <v>8.4722222222222199E-2</v>
      </c>
      <c r="Y12" s="119">
        <f t="shared" si="6"/>
        <v>0.24158415841584158</v>
      </c>
      <c r="Z12" s="110">
        <f t="shared" si="0"/>
        <v>4.5138888888888395E-2</v>
      </c>
      <c r="AA12" s="119">
        <f t="shared" si="7"/>
        <v>0.12871287128712733</v>
      </c>
    </row>
    <row r="13" spans="1:27" ht="15.6" thickTop="1" thickBot="1" x14ac:dyDescent="0.35">
      <c r="H13" s="108"/>
      <c r="R13" s="2">
        <f t="shared" si="3"/>
        <v>3</v>
      </c>
      <c r="S13" s="81" t="str">
        <f>JORNADAS!B13</f>
        <v>BRUNO</v>
      </c>
      <c r="T13" s="111" t="str">
        <f>JORNADAS!C13</f>
        <v>TERÇA-FEIRA</v>
      </c>
      <c r="U13" s="110">
        <f>JORNADAS!J13</f>
        <v>0.34375</v>
      </c>
      <c r="V13" s="110">
        <f>IFERROR(HLOOKUP(VLOOKUP($S13,$A$3:$I$11,C$2,FALSE),$A$16:$O$22,$R13,FALSE),0)-VLOOKUP($S13,$A$3:$I$11,I$2,FALSE)</f>
        <v>0.22222222222222224</v>
      </c>
      <c r="W13" s="119">
        <f t="shared" si="4"/>
        <v>0.64646464646464652</v>
      </c>
      <c r="X13" s="110">
        <f t="shared" si="5"/>
        <v>0.12152777777777776</v>
      </c>
      <c r="Y13" s="119">
        <f t="shared" si="6"/>
        <v>0.35353535353535348</v>
      </c>
      <c r="Z13" s="110">
        <f t="shared" si="0"/>
        <v>3.8194444444443976E-2</v>
      </c>
      <c r="AA13" s="119">
        <f t="shared" si="7"/>
        <v>0.11111111111110974</v>
      </c>
    </row>
    <row r="14" spans="1:27" ht="15.6" thickTop="1" thickBot="1" x14ac:dyDescent="0.35">
      <c r="R14" s="2">
        <f t="shared" si="3"/>
        <v>3</v>
      </c>
      <c r="S14" s="81" t="str">
        <f>JORNADAS!B14</f>
        <v>DANIEL</v>
      </c>
      <c r="T14" s="111" t="str">
        <f>JORNADAS!C14</f>
        <v>TERÇA-FEIRA</v>
      </c>
      <c r="U14" s="110">
        <f>JORNADAS!J14</f>
        <v>0.30694444444444441</v>
      </c>
      <c r="V14" s="110">
        <f>IFERROR(HLOOKUP(VLOOKUP($S14,$A$3:$I$11,C$2,FALSE),$A$16:$O$22,$R14,FALSE),0)-VLOOKUP($S14,$A$3:$I$11,I$2,FALSE)</f>
        <v>0.22013888888888888</v>
      </c>
      <c r="W14" s="119">
        <f t="shared" si="4"/>
        <v>0.71719457013574672</v>
      </c>
      <c r="X14" s="110">
        <f t="shared" si="5"/>
        <v>8.6805555555555525E-2</v>
      </c>
      <c r="Y14" s="119">
        <f t="shared" si="6"/>
        <v>0.28280542986425328</v>
      </c>
      <c r="Z14" s="110">
        <f t="shared" si="0"/>
        <v>1.3888888888883844E-3</v>
      </c>
      <c r="AA14" s="119">
        <f t="shared" si="7"/>
        <v>4.5248868778264111E-3</v>
      </c>
    </row>
    <row r="15" spans="1:27" ht="15.6" thickTop="1" thickBot="1" x14ac:dyDescent="0.35"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  <c r="K15">
        <v>11</v>
      </c>
      <c r="L15">
        <v>12</v>
      </c>
      <c r="M15">
        <v>13</v>
      </c>
      <c r="N15">
        <v>14</v>
      </c>
      <c r="O15">
        <v>15</v>
      </c>
      <c r="R15" s="2">
        <f t="shared" si="3"/>
        <v>3</v>
      </c>
      <c r="S15" s="81" t="str">
        <f>JORNADAS!B15</f>
        <v>ERIKA</v>
      </c>
      <c r="T15" s="111" t="str">
        <f>JORNADAS!C15</f>
        <v>TERÇA-FEIRA</v>
      </c>
      <c r="U15" s="110">
        <f>JORNADAS!J15</f>
        <v>0.29791666666666666</v>
      </c>
      <c r="V15" s="110">
        <f>IFERROR(HLOOKUP(VLOOKUP($S15,$A$3:$I$11,C$2,FALSE),$A$16:$O$22,$R15,FALSE),0)-VLOOKUP($S15,$A$3:$I$11,I$2,FALSE)</f>
        <v>0.28055555555555556</v>
      </c>
      <c r="W15" s="119">
        <f t="shared" si="4"/>
        <v>0.9417249417249417</v>
      </c>
      <c r="X15" s="110">
        <f t="shared" si="5"/>
        <v>1.7361111111111105E-2</v>
      </c>
      <c r="Y15" s="119">
        <f t="shared" si="6"/>
        <v>5.82750582750583E-2</v>
      </c>
      <c r="Z15" s="110">
        <f t="shared" si="0"/>
        <v>0</v>
      </c>
      <c r="AA15" s="119">
        <f t="shared" si="7"/>
        <v>0</v>
      </c>
    </row>
    <row r="16" spans="1:27" ht="15.6" thickTop="1" thickBot="1" x14ac:dyDescent="0.35">
      <c r="A16" s="85" t="s">
        <v>0</v>
      </c>
      <c r="B16" s="81" t="s">
        <v>1</v>
      </c>
      <c r="C16" s="81" t="s">
        <v>2</v>
      </c>
      <c r="D16" s="81" t="s">
        <v>3</v>
      </c>
      <c r="E16" s="81" t="s">
        <v>4</v>
      </c>
      <c r="F16" s="81" t="s">
        <v>5</v>
      </c>
      <c r="G16" s="81" t="s">
        <v>6</v>
      </c>
      <c r="H16" s="81" t="s">
        <v>7</v>
      </c>
      <c r="I16" s="81" t="s">
        <v>122</v>
      </c>
      <c r="J16" s="81" t="s">
        <v>9</v>
      </c>
      <c r="K16" s="81" t="s">
        <v>10</v>
      </c>
      <c r="L16" s="81" t="s">
        <v>11</v>
      </c>
      <c r="M16" s="81" t="s">
        <v>121</v>
      </c>
      <c r="N16" s="81" t="s">
        <v>230</v>
      </c>
      <c r="O16" s="81" t="s">
        <v>250</v>
      </c>
      <c r="R16" s="2">
        <f t="shared" si="3"/>
        <v>3</v>
      </c>
      <c r="S16" s="81" t="str">
        <f>JORNADAS!B16</f>
        <v>FABIOLA</v>
      </c>
      <c r="T16" s="111" t="str">
        <f>JORNADAS!C16</f>
        <v>TERÇA-FEIRA</v>
      </c>
      <c r="U16" s="110">
        <f>JORNADAS!J16</f>
        <v>0.36319444444444443</v>
      </c>
      <c r="V16" s="110">
        <f>IFERROR(HLOOKUP(VLOOKUP($S16,$A$3:$I$11,C$2,FALSE),$A$16:$O$22,$R16,FALSE),0)-VLOOKUP($S16,$A$3:$I$11,I$2,FALSE)</f>
        <v>0.28055555555555556</v>
      </c>
      <c r="W16" s="119">
        <f t="shared" si="4"/>
        <v>0.77246653919694075</v>
      </c>
      <c r="X16" s="110">
        <f t="shared" si="5"/>
        <v>8.2638888888888873E-2</v>
      </c>
      <c r="Y16" s="119">
        <f t="shared" si="6"/>
        <v>0.22753346080305925</v>
      </c>
      <c r="Z16" s="110">
        <f t="shared" si="0"/>
        <v>5.7638888888888407E-2</v>
      </c>
      <c r="AA16" s="119">
        <f t="shared" si="7"/>
        <v>0.15869980879540976</v>
      </c>
    </row>
    <row r="17" spans="1:27" ht="15.6" thickTop="1" thickBot="1" x14ac:dyDescent="0.35">
      <c r="A17" s="85" t="s">
        <v>254</v>
      </c>
      <c r="B17" s="110">
        <f>ANALISE!D62</f>
        <v>9.999999999999995E-2</v>
      </c>
      <c r="C17" s="110">
        <f>ANALISE!F62</f>
        <v>0.23263888888888887</v>
      </c>
      <c r="D17" s="110">
        <f>ANALISE!H62</f>
        <v>0.22222222222222218</v>
      </c>
      <c r="E17" s="110">
        <f>ANALISE!J62</f>
        <v>0.26388888888888884</v>
      </c>
      <c r="F17" s="110">
        <f>ANALISE!L62</f>
        <v>0.27638888888888885</v>
      </c>
      <c r="G17" s="110">
        <f>ANALISE!N62</f>
        <v>0.29930555555555549</v>
      </c>
      <c r="H17" s="110">
        <f>ANALISE!P62</f>
        <v>0.31666666666666665</v>
      </c>
      <c r="I17" s="110">
        <f>ANALISE!R62</f>
        <v>0.33402777777777776</v>
      </c>
      <c r="J17" s="110">
        <f>ANALISE!T62</f>
        <v>0.29930555555555555</v>
      </c>
      <c r="K17" s="110">
        <f>ANALISE!V62</f>
        <v>0.34097222222222223</v>
      </c>
      <c r="L17" s="110">
        <f>ANALISE!X62</f>
        <v>0.27847222222222223</v>
      </c>
      <c r="M17" s="110">
        <f>ANALISE!Z62</f>
        <v>0.29097222222222219</v>
      </c>
      <c r="N17" s="110">
        <v>0</v>
      </c>
      <c r="O17" s="110">
        <v>2.7777777777777776E-2</v>
      </c>
      <c r="P17">
        <v>2</v>
      </c>
      <c r="R17" s="2">
        <f t="shared" si="3"/>
        <v>3</v>
      </c>
      <c r="S17" s="81" t="str">
        <f>JORNADAS!B17</f>
        <v>JACIARA</v>
      </c>
      <c r="T17" s="111" t="str">
        <f>JORNADAS!C17</f>
        <v>TERÇA-FEIRA</v>
      </c>
      <c r="U17" s="110">
        <f>JORNADAS!J17</f>
        <v>0</v>
      </c>
      <c r="V17" s="110">
        <f>IFERROR(HLOOKUP(VLOOKUP($S17,$A$3:$I$11,C$2,FALSE),$A$16:$O$22,$R17,FALSE),0)-VLOOKUP($S17,$A$3:$I$11,I$2,FALSE)</f>
        <v>0.28055555555555556</v>
      </c>
      <c r="W17" s="119">
        <f t="shared" si="4"/>
        <v>1</v>
      </c>
      <c r="X17" s="110">
        <f t="shared" si="5"/>
        <v>0</v>
      </c>
      <c r="Y17" s="119">
        <f t="shared" si="6"/>
        <v>0</v>
      </c>
      <c r="Z17" s="110">
        <f t="shared" si="0"/>
        <v>0</v>
      </c>
      <c r="AA17" s="119">
        <f t="shared" si="7"/>
        <v>0</v>
      </c>
    </row>
    <row r="18" spans="1:27" ht="15.6" thickTop="1" thickBot="1" x14ac:dyDescent="0.35">
      <c r="A18" s="85" t="s">
        <v>255</v>
      </c>
      <c r="B18" s="110">
        <f>ANALISE!D64</f>
        <v>6.6666666666666735E-2</v>
      </c>
      <c r="C18" s="110">
        <f>ANALISE!F64</f>
        <v>0.22222222222222224</v>
      </c>
      <c r="D18" s="110">
        <f>ANALISE!H64</f>
        <v>0.21180555555555555</v>
      </c>
      <c r="E18" s="110">
        <f>ANALISE!J64</f>
        <v>0.25347222222222221</v>
      </c>
      <c r="F18" s="110">
        <f>ANALISE!L64</f>
        <v>0.26597222222222222</v>
      </c>
      <c r="G18" s="110">
        <f>ANALISE!N64</f>
        <v>0.28888888888888886</v>
      </c>
      <c r="H18" s="110">
        <f>ANALISE!P64</f>
        <v>0.30625000000000002</v>
      </c>
      <c r="I18" s="110">
        <f>ANALISE!R64</f>
        <v>0.32361111111111113</v>
      </c>
      <c r="J18" s="110">
        <f>ANALISE!T64</f>
        <v>0.28888888888888892</v>
      </c>
      <c r="K18" s="110">
        <f>ANALISE!V64</f>
        <v>0.3305555555555556</v>
      </c>
      <c r="L18" s="110">
        <f>ANALISE!X64</f>
        <v>0.2680555555555556</v>
      </c>
      <c r="M18" s="110">
        <f>ANALISE!Z64</f>
        <v>0.28055555555555556</v>
      </c>
      <c r="N18" s="110"/>
      <c r="O18" s="110">
        <v>2.7777777777777776E-2</v>
      </c>
      <c r="P18">
        <v>3</v>
      </c>
      <c r="R18" s="2">
        <f t="shared" si="3"/>
        <v>3</v>
      </c>
      <c r="S18" s="81" t="str">
        <f>JORNADAS!B18</f>
        <v>MARCOS</v>
      </c>
      <c r="T18" s="111" t="str">
        <f>JORNADAS!C18</f>
        <v>TERÇA-FEIRA</v>
      </c>
      <c r="U18" s="110">
        <f>JORNADAS!J18</f>
        <v>0.37291666666666673</v>
      </c>
      <c r="V18" s="110">
        <f>IFERROR(HLOOKUP(VLOOKUP($S18,$A$3:$I$11,C$2,FALSE),$A$16:$O$22,$R18,FALSE),0)-VLOOKUP($S18,$A$3:$I$11,I$2,FALSE)</f>
        <v>0.30625000000000002</v>
      </c>
      <c r="W18" s="119">
        <f t="shared" si="4"/>
        <v>0.82122905027932958</v>
      </c>
      <c r="X18" s="110">
        <f t="shared" si="5"/>
        <v>6.6666666666666707E-2</v>
      </c>
      <c r="Y18" s="119">
        <f t="shared" si="6"/>
        <v>0.17877094972067042</v>
      </c>
      <c r="Z18" s="110">
        <f t="shared" si="0"/>
        <v>6.7361111111110705E-2</v>
      </c>
      <c r="AA18" s="119">
        <f t="shared" si="7"/>
        <v>0.18063314711359293</v>
      </c>
    </row>
    <row r="19" spans="1:27" ht="15.6" thickTop="1" thickBot="1" x14ac:dyDescent="0.35">
      <c r="A19" s="85" t="s">
        <v>256</v>
      </c>
      <c r="B19" s="110">
        <f>ANALISE!D66</f>
        <v>6.6666666666666735E-2</v>
      </c>
      <c r="C19" s="110">
        <f>ANALISE!F66</f>
        <v>0.22569444444444445</v>
      </c>
      <c r="D19" s="110">
        <f>ANALISE!H66</f>
        <v>0.21527777777777776</v>
      </c>
      <c r="E19" s="110">
        <f>ANALISE!J66</f>
        <v>0.22013888888888891</v>
      </c>
      <c r="F19" s="110">
        <f>ANALISE!L66</f>
        <v>0.22013888888888894</v>
      </c>
      <c r="G19" s="110">
        <f>ANALISE!N66</f>
        <v>0.21527777777777782</v>
      </c>
      <c r="H19" s="110">
        <f>ANALISE!P66</f>
        <v>0.2395833333333334</v>
      </c>
      <c r="I19" s="110">
        <f>ANALISE!R66</f>
        <v>0.27777777777777785</v>
      </c>
      <c r="J19" s="110">
        <f>ANALISE!T66</f>
        <v>0.23611111111111122</v>
      </c>
      <c r="K19" s="110">
        <f>ANALISE!V66</f>
        <v>0.2777777777777779</v>
      </c>
      <c r="L19" s="110">
        <f>ANALISE!X66</f>
        <v>0.24444444444444458</v>
      </c>
      <c r="M19" s="110">
        <f>ANALISE!Z66</f>
        <v>0.25694444444444453</v>
      </c>
      <c r="N19" s="110"/>
      <c r="O19" s="110">
        <v>2.7777777777777801E-2</v>
      </c>
      <c r="P19">
        <v>4</v>
      </c>
      <c r="R19" s="2">
        <f t="shared" si="3"/>
        <v>3</v>
      </c>
      <c r="S19" s="81" t="str">
        <f>JORNADAS!B19</f>
        <v>RODOLFO</v>
      </c>
      <c r="T19" s="111" t="str">
        <f>JORNADAS!C19</f>
        <v>TERÇA-FEIRA</v>
      </c>
      <c r="U19" s="110">
        <f>JORNADAS!J19</f>
        <v>0</v>
      </c>
      <c r="V19" s="110">
        <f>IFERROR(HLOOKUP(VLOOKUP($S19,$A$3:$I$11,C$2,FALSE),$A$16:$O$22,$R19,FALSE),0)-VLOOKUP($S19,$A$3:$I$11,I$2,FALSE)</f>
        <v>6.6666666666666735E-2</v>
      </c>
      <c r="W19" s="119">
        <f t="shared" si="4"/>
        <v>1</v>
      </c>
      <c r="X19" s="110">
        <f t="shared" si="5"/>
        <v>0</v>
      </c>
      <c r="Y19" s="119">
        <f t="shared" si="6"/>
        <v>0</v>
      </c>
      <c r="Z19" s="110">
        <f t="shared" si="0"/>
        <v>0</v>
      </c>
      <c r="AA19" s="119">
        <f t="shared" si="7"/>
        <v>0</v>
      </c>
    </row>
    <row r="20" spans="1:27" ht="15.6" thickTop="1" thickBot="1" x14ac:dyDescent="0.35">
      <c r="A20" s="85" t="s">
        <v>257</v>
      </c>
      <c r="B20" s="110">
        <f>ANALISE!D68</f>
        <v>9.999999999999995E-2</v>
      </c>
      <c r="C20" s="110">
        <f>ANALISE!F68</f>
        <v>0.28472222222222221</v>
      </c>
      <c r="D20" s="110">
        <f>ANALISE!H68</f>
        <v>0.21527777777777776</v>
      </c>
      <c r="E20" s="110">
        <f>ANALISE!J68</f>
        <v>0.22638888888888889</v>
      </c>
      <c r="F20" s="110">
        <f>ANALISE!L68</f>
        <v>0.23888888888888887</v>
      </c>
      <c r="G20" s="110">
        <f>ANALISE!N68</f>
        <v>0.26180555555555551</v>
      </c>
      <c r="H20" s="110">
        <f>ANALISE!P68</f>
        <v>0.27916666666666667</v>
      </c>
      <c r="I20" s="110">
        <f>ANALISE!R68</f>
        <v>0.29652777777777778</v>
      </c>
      <c r="J20" s="110">
        <f>ANALISE!T68</f>
        <v>0.26180555555555557</v>
      </c>
      <c r="K20" s="110">
        <f>ANALISE!V68</f>
        <v>0.30347222222222225</v>
      </c>
      <c r="L20" s="110">
        <f>ANALISE!X68</f>
        <v>0.24444444444444458</v>
      </c>
      <c r="M20" s="110">
        <f>ANALISE!Z68</f>
        <v>0.25694444444444453</v>
      </c>
      <c r="N20" s="110"/>
      <c r="O20" s="110">
        <v>2.7777777777777801E-2</v>
      </c>
      <c r="P20">
        <v>5</v>
      </c>
      <c r="R20" s="2">
        <f t="shared" si="3"/>
        <v>4</v>
      </c>
      <c r="S20" s="81" t="str">
        <f>JORNADAS!B20</f>
        <v>AUGUSTO</v>
      </c>
      <c r="T20" s="111" t="str">
        <f>JORNADAS!C20</f>
        <v>QUARTA-FEIRA</v>
      </c>
      <c r="U20" s="110">
        <f>JORNADAS!J20</f>
        <v>0.34236111111111112</v>
      </c>
      <c r="V20" s="110">
        <f>IFERROR(HLOOKUP(VLOOKUP($S20,$A$3:$I$11,C$2,FALSE),$A$16:$O$22,$R20,FALSE),0)-VLOOKUP($S20,$A$3:$I$11,I$2,FALSE)</f>
        <v>0.22013888888888894</v>
      </c>
      <c r="W20" s="119">
        <f t="shared" si="4"/>
        <v>0.64300202839756604</v>
      </c>
      <c r="X20" s="110">
        <f t="shared" si="5"/>
        <v>0.12222222222222218</v>
      </c>
      <c r="Y20" s="119">
        <f t="shared" si="6"/>
        <v>0.35699797160243396</v>
      </c>
      <c r="Z20" s="110">
        <f t="shared" si="0"/>
        <v>3.6805555555555092E-2</v>
      </c>
      <c r="AA20" s="119">
        <f t="shared" si="7"/>
        <v>0.10750507099391345</v>
      </c>
    </row>
    <row r="21" spans="1:27" ht="15.6" thickTop="1" thickBot="1" x14ac:dyDescent="0.35">
      <c r="A21" s="85" t="s">
        <v>258</v>
      </c>
      <c r="B21" s="110">
        <f>ANALISE!D70</f>
        <v>7.2222222222222271E-2</v>
      </c>
      <c r="C21" s="110">
        <f>ANALISE!F70</f>
        <v>0.20486111111111108</v>
      </c>
      <c r="D21" s="110">
        <f>ANALISE!H70</f>
        <v>0.19444444444444439</v>
      </c>
      <c r="E21" s="110">
        <f>ANALISE!J70</f>
        <v>0.19930555555555554</v>
      </c>
      <c r="F21" s="110">
        <f>ANALISE!L70</f>
        <v>0.19930555555555557</v>
      </c>
      <c r="G21" s="110">
        <f>ANALISE!N70</f>
        <v>0.19444444444444445</v>
      </c>
      <c r="H21" s="110">
        <f>ANALISE!P70</f>
        <v>0.21875000000000003</v>
      </c>
      <c r="I21" s="110">
        <f>ANALISE!R70</f>
        <v>0.25694444444444448</v>
      </c>
      <c r="J21" s="110">
        <f>ANALISE!T70</f>
        <v>0.21527777777777785</v>
      </c>
      <c r="K21" s="110">
        <f>ANALISE!V70</f>
        <v>0.25694444444444453</v>
      </c>
      <c r="L21" s="110">
        <f>ANALISE!X70</f>
        <v>0.2236111111111112</v>
      </c>
      <c r="M21" s="110">
        <f>ANALISE!Z70</f>
        <v>0.23611111111111116</v>
      </c>
      <c r="N21" s="110"/>
      <c r="O21" s="110">
        <v>2.7777777777777801E-2</v>
      </c>
      <c r="P21">
        <v>6</v>
      </c>
      <c r="R21" s="2">
        <f t="shared" si="3"/>
        <v>4</v>
      </c>
      <c r="S21" s="81" t="str">
        <f>JORNADAS!B21</f>
        <v>BRUNO</v>
      </c>
      <c r="T21" s="111" t="str">
        <f>JORNADAS!C21</f>
        <v>QUARTA-FEIRA</v>
      </c>
      <c r="U21" s="110">
        <f>JORNADAS!J21</f>
        <v>0.33680555555555547</v>
      </c>
      <c r="V21" s="110">
        <f>IFERROR(HLOOKUP(VLOOKUP($S21,$A$3:$I$11,C$2,FALSE),$A$16:$O$22,$R21,FALSE),0)-VLOOKUP($S21,$A$3:$I$11,I$2,FALSE)</f>
        <v>0.22569444444444445</v>
      </c>
      <c r="W21" s="119">
        <f t="shared" si="4"/>
        <v>0.67010309278350533</v>
      </c>
      <c r="X21" s="110">
        <f t="shared" si="5"/>
        <v>0.11111111111111102</v>
      </c>
      <c r="Y21" s="119">
        <f t="shared" si="6"/>
        <v>0.32989690721649467</v>
      </c>
      <c r="Z21" s="110">
        <f t="shared" si="0"/>
        <v>3.1249999999999445E-2</v>
      </c>
      <c r="AA21" s="119">
        <f t="shared" si="7"/>
        <v>9.2783505154637555E-2</v>
      </c>
    </row>
    <row r="22" spans="1:27" ht="15.6" thickTop="1" thickBot="1" x14ac:dyDescent="0.35">
      <c r="A22" s="85" t="s">
        <v>259</v>
      </c>
      <c r="B22" s="110">
        <f>ANALISE!D72</f>
        <v>8.8888888888888878E-2</v>
      </c>
      <c r="C22" s="110">
        <f>ANALISE!F72</f>
        <v>0.23749999999999999</v>
      </c>
      <c r="D22" s="110">
        <f>ANALISE!H72</f>
        <v>0.2270833333333333</v>
      </c>
      <c r="E22" s="110">
        <f>ANALISE!J72</f>
        <v>0.23194444444444445</v>
      </c>
      <c r="F22" s="110">
        <f>ANALISE!L72</f>
        <v>0.23194444444444448</v>
      </c>
      <c r="G22" s="110">
        <f>ANALISE!N72</f>
        <v>0.24513888888888891</v>
      </c>
      <c r="H22" s="110">
        <f>ANALISE!P72</f>
        <v>0.26250000000000007</v>
      </c>
      <c r="I22" s="110">
        <f>ANALISE!R72</f>
        <v>0.2895833333333333</v>
      </c>
      <c r="J22" s="110">
        <f>ANALISE!T72</f>
        <v>0.24791666666666667</v>
      </c>
      <c r="K22" s="110">
        <f>ANALISE!V72</f>
        <v>0.2895833333333333</v>
      </c>
      <c r="L22" s="110">
        <f>ANALISE!X72</f>
        <v>0.25624999999999998</v>
      </c>
      <c r="M22" s="110">
        <f>ANALISE!Z72</f>
        <v>0.26874999999999993</v>
      </c>
      <c r="N22" s="110">
        <v>2.7777777777777776E-2</v>
      </c>
      <c r="O22" s="110">
        <v>2.7777777777777801E-2</v>
      </c>
      <c r="P22">
        <v>7</v>
      </c>
      <c r="R22" s="2">
        <f t="shared" si="3"/>
        <v>4</v>
      </c>
      <c r="S22" s="81" t="str">
        <f>JORNADAS!B22</f>
        <v>DANIEL</v>
      </c>
      <c r="T22" s="111" t="str">
        <f>JORNADAS!C22</f>
        <v>QUARTA-FEIRA</v>
      </c>
      <c r="U22" s="110">
        <f>JORNADAS!J22</f>
        <v>0.30555555555555552</v>
      </c>
      <c r="V22" s="110">
        <f>IFERROR(HLOOKUP(VLOOKUP($S22,$A$3:$I$11,C$2,FALSE),$A$16:$O$22,$R22,FALSE),0)-VLOOKUP($S22,$A$3:$I$11,I$2,FALSE)</f>
        <v>0.15347222222222226</v>
      </c>
      <c r="W22" s="119">
        <f t="shared" si="4"/>
        <v>0.50227272727272743</v>
      </c>
      <c r="X22" s="110">
        <f t="shared" si="5"/>
        <v>0.15208333333333326</v>
      </c>
      <c r="Y22" s="119">
        <f t="shared" si="6"/>
        <v>0.49772727272727257</v>
      </c>
      <c r="Z22" s="110">
        <f t="shared" si="0"/>
        <v>0</v>
      </c>
      <c r="AA22" s="119">
        <f t="shared" si="7"/>
        <v>0</v>
      </c>
    </row>
    <row r="23" spans="1:27" ht="15.6" thickTop="1" thickBot="1" x14ac:dyDescent="0.35">
      <c r="R23" s="2">
        <f t="shared" si="3"/>
        <v>4</v>
      </c>
      <c r="S23" s="81" t="str">
        <f>JORNADAS!B23</f>
        <v>ERIKA</v>
      </c>
      <c r="T23" s="111" t="str">
        <f>JORNADAS!C23</f>
        <v>QUARTA-FEIRA</v>
      </c>
      <c r="U23" s="110">
        <f>JORNADAS!J23</f>
        <v>0.29652777777777778</v>
      </c>
      <c r="V23" s="110">
        <f>IFERROR(HLOOKUP(VLOOKUP($S23,$A$3:$I$11,C$2,FALSE),$A$16:$O$22,$R23,FALSE),0)-VLOOKUP($S23,$A$3:$I$11,I$2,FALSE)</f>
        <v>0.25694444444444453</v>
      </c>
      <c r="W23" s="119">
        <f t="shared" si="4"/>
        <v>0.86651053864168648</v>
      </c>
      <c r="X23" s="110">
        <f t="shared" si="5"/>
        <v>3.9583333333333248E-2</v>
      </c>
      <c r="Y23" s="119">
        <f t="shared" si="6"/>
        <v>0.13348946135831352</v>
      </c>
      <c r="Z23" s="110">
        <f t="shared" si="0"/>
        <v>0</v>
      </c>
      <c r="AA23" s="119">
        <f t="shared" si="7"/>
        <v>0</v>
      </c>
    </row>
    <row r="24" spans="1:27" ht="15.6" thickTop="1" thickBot="1" x14ac:dyDescent="0.35">
      <c r="R24" s="2">
        <f t="shared" si="3"/>
        <v>4</v>
      </c>
      <c r="S24" s="81" t="str">
        <f>JORNADAS!B24</f>
        <v>FABIOLA</v>
      </c>
      <c r="T24" s="111" t="str">
        <f>JORNADAS!C24</f>
        <v>QUARTA-FEIRA</v>
      </c>
      <c r="U24" s="110">
        <f>JORNADAS!J24</f>
        <v>0.36666666666666664</v>
      </c>
      <c r="V24" s="110">
        <f>IFERROR(HLOOKUP(VLOOKUP($S24,$A$3:$I$11,C$2,FALSE),$A$16:$O$22,$R24,FALSE),0)-VLOOKUP($S24,$A$3:$I$11,I$2,FALSE)</f>
        <v>0.25694444444444453</v>
      </c>
      <c r="W24" s="119">
        <f t="shared" si="4"/>
        <v>0.70075757575757602</v>
      </c>
      <c r="X24" s="110">
        <f t="shared" si="5"/>
        <v>0.10972222222222211</v>
      </c>
      <c r="Y24" s="119">
        <f t="shared" si="6"/>
        <v>0.29924242424242398</v>
      </c>
      <c r="Z24" s="110">
        <f t="shared" si="0"/>
        <v>6.1111111111110616E-2</v>
      </c>
      <c r="AA24" s="119">
        <f t="shared" si="7"/>
        <v>0.16666666666666533</v>
      </c>
    </row>
    <row r="25" spans="1:27" ht="28.2" customHeight="1" thickTop="1" thickBot="1" x14ac:dyDescent="0.35">
      <c r="R25" s="2">
        <f t="shared" si="3"/>
        <v>4</v>
      </c>
      <c r="S25" s="81" t="str">
        <f>JORNADAS!B25</f>
        <v>JACIARA</v>
      </c>
      <c r="T25" s="111" t="str">
        <f>JORNADAS!C25</f>
        <v>QUARTA-FEIRA</v>
      </c>
      <c r="U25" s="110">
        <f>JORNADAS!J25</f>
        <v>0</v>
      </c>
      <c r="V25" s="110">
        <f>IFERROR(HLOOKUP(VLOOKUP($S25,$A$3:$I$11,C$2,FALSE),$A$16:$O$22,$R25,FALSE),0)-VLOOKUP($S25,$A$3:$I$11,I$2,FALSE)</f>
        <v>0.25694444444444453</v>
      </c>
      <c r="W25" s="119">
        <f t="shared" si="4"/>
        <v>1</v>
      </c>
      <c r="X25" s="110">
        <f t="shared" si="5"/>
        <v>0</v>
      </c>
      <c r="Y25" s="119">
        <f t="shared" si="6"/>
        <v>0</v>
      </c>
      <c r="Z25" s="110">
        <f t="shared" si="0"/>
        <v>0</v>
      </c>
      <c r="AA25" s="119">
        <f t="shared" si="7"/>
        <v>0</v>
      </c>
    </row>
    <row r="26" spans="1:27" ht="15.6" thickTop="1" thickBot="1" x14ac:dyDescent="0.35">
      <c r="R26" s="2">
        <f t="shared" si="3"/>
        <v>4</v>
      </c>
      <c r="S26" s="81" t="str">
        <f>JORNADAS!B26</f>
        <v>MARCOS</v>
      </c>
      <c r="T26" s="111" t="str">
        <f>JORNADAS!C26</f>
        <v>QUARTA-FEIRA</v>
      </c>
      <c r="U26" s="110">
        <f>JORNADAS!J26</f>
        <v>0.34791666666666671</v>
      </c>
      <c r="V26" s="110">
        <f>IFERROR(HLOOKUP(VLOOKUP($S26,$A$3:$I$11,C$2,FALSE),$A$16:$O$22,$R26,FALSE),0)-VLOOKUP($S26,$A$3:$I$11,I$2,FALSE)</f>
        <v>0.2395833333333334</v>
      </c>
      <c r="W26" s="119">
        <f t="shared" si="4"/>
        <v>0.68862275449101806</v>
      </c>
      <c r="X26" s="110">
        <f t="shared" si="5"/>
        <v>0.10833333333333331</v>
      </c>
      <c r="Y26" s="119">
        <f t="shared" si="6"/>
        <v>0.31137724550898194</v>
      </c>
      <c r="Z26" s="110">
        <f t="shared" si="0"/>
        <v>4.2361111111110683E-2</v>
      </c>
      <c r="AA26" s="119">
        <f t="shared" si="7"/>
        <v>0.12175648702594685</v>
      </c>
    </row>
    <row r="27" spans="1:27" ht="15.6" thickTop="1" thickBot="1" x14ac:dyDescent="0.35">
      <c r="R27" s="2">
        <f t="shared" si="3"/>
        <v>4</v>
      </c>
      <c r="S27" s="81" t="str">
        <f>JORNADAS!B27</f>
        <v>RODOLFO</v>
      </c>
      <c r="T27" s="111" t="str">
        <f>JORNADAS!C27</f>
        <v>QUARTA-FEIRA</v>
      </c>
      <c r="U27" s="110">
        <f>JORNADAS!J27</f>
        <v>0</v>
      </c>
      <c r="V27" s="110">
        <f>IFERROR(HLOOKUP(VLOOKUP($S27,$A$3:$I$11,C$2,FALSE),$A$16:$O$22,$R27,FALSE),0)-VLOOKUP($S27,$A$3:$I$11,I$2,FALSE)</f>
        <v>6.6666666666666735E-2</v>
      </c>
      <c r="W27" s="119">
        <f t="shared" si="4"/>
        <v>1</v>
      </c>
      <c r="X27" s="110">
        <f t="shared" si="5"/>
        <v>0</v>
      </c>
      <c r="Y27" s="119">
        <f t="shared" si="6"/>
        <v>0</v>
      </c>
      <c r="Z27" s="110">
        <f t="shared" si="0"/>
        <v>0</v>
      </c>
      <c r="AA27" s="119">
        <f t="shared" si="7"/>
        <v>0</v>
      </c>
    </row>
    <row r="28" spans="1:27" ht="15.6" thickTop="1" thickBot="1" x14ac:dyDescent="0.35">
      <c r="R28" s="2">
        <f t="shared" si="3"/>
        <v>5</v>
      </c>
      <c r="S28" s="81" t="str">
        <f>JORNADAS!B28</f>
        <v>AUGUSTO</v>
      </c>
      <c r="T28" s="111" t="str">
        <f>JORNADAS!C28</f>
        <v>QUINTA-FEIRA</v>
      </c>
      <c r="U28" s="110">
        <f>JORNADAS!J28</f>
        <v>0.41319444444444442</v>
      </c>
      <c r="V28" s="110">
        <f>IFERROR(HLOOKUP(VLOOKUP($S28,$A$3:$I$11,C$2,FALSE),$A$16:$O$22,$R28,FALSE),0)-VLOOKUP($S28,$A$3:$I$11,I$2,FALSE)</f>
        <v>0.23888888888888887</v>
      </c>
      <c r="W28" s="119">
        <f t="shared" si="4"/>
        <v>0.57815126050420163</v>
      </c>
      <c r="X28" s="110">
        <f t="shared" si="5"/>
        <v>0.17430555555555555</v>
      </c>
      <c r="Y28" s="119">
        <f t="shared" si="6"/>
        <v>0.42184873949579837</v>
      </c>
      <c r="Z28" s="110">
        <f t="shared" si="0"/>
        <v>0.1076388888888884</v>
      </c>
      <c r="AA28" s="119">
        <f t="shared" si="7"/>
        <v>0.26050420168067107</v>
      </c>
    </row>
    <row r="29" spans="1:27" ht="15.6" thickTop="1" thickBot="1" x14ac:dyDescent="0.35">
      <c r="R29" s="2">
        <f t="shared" si="3"/>
        <v>5</v>
      </c>
      <c r="S29" s="81" t="str">
        <f>JORNADAS!B29</f>
        <v>BRUNO</v>
      </c>
      <c r="T29" s="111" t="str">
        <f>JORNADAS!C29</f>
        <v>QUINTA-FEIRA</v>
      </c>
      <c r="U29" s="110">
        <f>JORNADAS!J29</f>
        <v>0.41527777777777775</v>
      </c>
      <c r="V29" s="110">
        <f>IFERROR(HLOOKUP(VLOOKUP($S29,$A$3:$I$11,C$2,FALSE),$A$16:$O$22,$R29,FALSE),0)-VLOOKUP($S29,$A$3:$I$11,I$2,FALSE)</f>
        <v>0.28472222222222221</v>
      </c>
      <c r="W29" s="119">
        <f t="shared" si="4"/>
        <v>0.68561872909698995</v>
      </c>
      <c r="X29" s="110">
        <f t="shared" si="5"/>
        <v>0.13055555555555554</v>
      </c>
      <c r="Y29" s="119">
        <f t="shared" si="6"/>
        <v>0.31438127090301005</v>
      </c>
      <c r="Z29" s="110">
        <f t="shared" si="0"/>
        <v>0.10972222222222172</v>
      </c>
      <c r="AA29" s="119">
        <f t="shared" si="7"/>
        <v>0.2642140468227413</v>
      </c>
    </row>
    <row r="30" spans="1:27" ht="15.6" thickTop="1" thickBot="1" x14ac:dyDescent="0.35">
      <c r="R30" s="2">
        <f t="shared" si="3"/>
        <v>5</v>
      </c>
      <c r="S30" s="81" t="str">
        <f>JORNADAS!B30</f>
        <v>DANIEL</v>
      </c>
      <c r="T30" s="111" t="str">
        <f>JORNADAS!C30</f>
        <v>QUINTA-FEIRA</v>
      </c>
      <c r="U30" s="110">
        <f>JORNADAS!J30</f>
        <v>0.2979166666666665</v>
      </c>
      <c r="V30" s="110">
        <f>IFERROR(HLOOKUP(VLOOKUP($S30,$A$3:$I$11,C$2,FALSE),$A$16:$O$22,$R30,FALSE),0)-VLOOKUP($S30,$A$3:$I$11,I$2,FALSE)</f>
        <v>0.19305555555555554</v>
      </c>
      <c r="W30" s="119">
        <f t="shared" si="4"/>
        <v>0.64801864801864828</v>
      </c>
      <c r="X30" s="110">
        <f t="shared" si="5"/>
        <v>0.10486111111111096</v>
      </c>
      <c r="Y30" s="119">
        <f t="shared" si="6"/>
        <v>0.35198135198135172</v>
      </c>
      <c r="Z30" s="110">
        <f t="shared" si="0"/>
        <v>0</v>
      </c>
      <c r="AA30" s="119">
        <f t="shared" si="7"/>
        <v>0</v>
      </c>
    </row>
    <row r="31" spans="1:27" ht="15.6" thickTop="1" thickBot="1" x14ac:dyDescent="0.35">
      <c r="R31" s="2">
        <f t="shared" si="3"/>
        <v>5</v>
      </c>
      <c r="S31" s="81" t="str">
        <f>JORNADAS!B31</f>
        <v>ERIKA</v>
      </c>
      <c r="T31" s="111" t="str">
        <f>JORNADAS!C31</f>
        <v>QUINTA-FEIRA</v>
      </c>
      <c r="U31" s="110">
        <f>JORNADAS!J31</f>
        <v>0</v>
      </c>
      <c r="V31" s="110">
        <f>IFERROR(HLOOKUP(VLOOKUP($S31,$A$3:$I$11,C$2,FALSE),$A$16:$O$22,$R31,FALSE),0)-VLOOKUP($S31,$A$3:$I$11,I$2,FALSE)</f>
        <v>0.25694444444444453</v>
      </c>
      <c r="W31" s="119">
        <f t="shared" si="4"/>
        <v>1</v>
      </c>
      <c r="X31" s="110">
        <f t="shared" si="5"/>
        <v>0</v>
      </c>
      <c r="Y31" s="119">
        <f t="shared" si="6"/>
        <v>0</v>
      </c>
      <c r="Z31" s="110">
        <f t="shared" si="0"/>
        <v>0</v>
      </c>
      <c r="AA31" s="119">
        <f t="shared" si="7"/>
        <v>0</v>
      </c>
    </row>
    <row r="32" spans="1:27" ht="15.6" thickTop="1" thickBot="1" x14ac:dyDescent="0.35">
      <c r="R32" s="2">
        <f t="shared" si="3"/>
        <v>5</v>
      </c>
      <c r="S32" s="81" t="str">
        <f>JORNADAS!B32</f>
        <v>FABIOLA</v>
      </c>
      <c r="T32" s="111" t="str">
        <f>JORNADAS!C32</f>
        <v>QUINTA-FEIRA</v>
      </c>
      <c r="U32" s="110">
        <f>JORNADAS!J32</f>
        <v>0.41319444444444448</v>
      </c>
      <c r="V32" s="110">
        <f>IFERROR(HLOOKUP(VLOOKUP($S32,$A$3:$I$11,C$2,FALSE),$A$16:$O$22,$R32,FALSE),0)-VLOOKUP($S32,$A$3:$I$11,I$2,FALSE)</f>
        <v>0.25694444444444453</v>
      </c>
      <c r="W32" s="119">
        <f t="shared" si="4"/>
        <v>0.62184873949579844</v>
      </c>
      <c r="X32" s="110">
        <f t="shared" si="5"/>
        <v>0.15624999999999994</v>
      </c>
      <c r="Y32" s="119">
        <f t="shared" si="6"/>
        <v>0.37815126050420156</v>
      </c>
      <c r="Z32" s="110">
        <f t="shared" si="0"/>
        <v>0.10763888888888845</v>
      </c>
      <c r="AA32" s="119">
        <f t="shared" si="7"/>
        <v>0.26050420168067118</v>
      </c>
    </row>
    <row r="33" spans="18:27" ht="15.6" thickTop="1" thickBot="1" x14ac:dyDescent="0.35">
      <c r="R33" s="2">
        <f t="shared" si="3"/>
        <v>5</v>
      </c>
      <c r="S33" s="81" t="str">
        <f>JORNADAS!B33</f>
        <v>JACIARA</v>
      </c>
      <c r="T33" s="111" t="str">
        <f>JORNADAS!C33</f>
        <v>QUINTA-FEIRA</v>
      </c>
      <c r="U33" s="110">
        <f>JORNADAS!J33</f>
        <v>0</v>
      </c>
      <c r="V33" s="110">
        <f>IFERROR(HLOOKUP(VLOOKUP($S33,$A$3:$I$11,C$2,FALSE),$A$16:$O$22,$R33,FALSE),0)-VLOOKUP($S33,$A$3:$I$11,I$2,FALSE)</f>
        <v>0.25694444444444453</v>
      </c>
      <c r="W33" s="119">
        <f t="shared" si="4"/>
        <v>1</v>
      </c>
      <c r="X33" s="110">
        <f t="shared" si="5"/>
        <v>0</v>
      </c>
      <c r="Y33" s="119">
        <f t="shared" si="6"/>
        <v>0</v>
      </c>
      <c r="Z33" s="110">
        <f t="shared" si="0"/>
        <v>0</v>
      </c>
      <c r="AA33" s="119">
        <f t="shared" si="7"/>
        <v>0</v>
      </c>
    </row>
    <row r="34" spans="18:27" ht="15.6" thickTop="1" thickBot="1" x14ac:dyDescent="0.35">
      <c r="R34" s="2">
        <f t="shared" si="3"/>
        <v>5</v>
      </c>
      <c r="S34" s="81" t="str">
        <f>JORNADAS!B34</f>
        <v>MARCOS</v>
      </c>
      <c r="T34" s="111" t="str">
        <f>JORNADAS!C34</f>
        <v>QUINTA-FEIRA</v>
      </c>
      <c r="U34" s="110">
        <f>JORNADAS!J34</f>
        <v>0.34791666666666665</v>
      </c>
      <c r="V34" s="110">
        <f>IFERROR(HLOOKUP(VLOOKUP($S34,$A$3:$I$11,C$2,FALSE),$A$16:$O$22,$R34,FALSE),0)-VLOOKUP($S34,$A$3:$I$11,I$2,FALSE)</f>
        <v>0.27916666666666667</v>
      </c>
      <c r="W34" s="119">
        <f t="shared" si="4"/>
        <v>0.80239520958083843</v>
      </c>
      <c r="X34" s="110">
        <f t="shared" si="5"/>
        <v>6.8749999999999978E-2</v>
      </c>
      <c r="Y34" s="119">
        <f t="shared" si="6"/>
        <v>0.19760479041916157</v>
      </c>
      <c r="Z34" s="110">
        <f t="shared" si="0"/>
        <v>4.2361111111110628E-2</v>
      </c>
      <c r="AA34" s="119">
        <f t="shared" si="7"/>
        <v>0.12175648702594671</v>
      </c>
    </row>
    <row r="35" spans="18:27" ht="15.6" thickTop="1" thickBot="1" x14ac:dyDescent="0.35">
      <c r="R35" s="2">
        <f t="shared" si="3"/>
        <v>5</v>
      </c>
      <c r="S35" s="81" t="str">
        <f>JORNADAS!B35</f>
        <v>RODOLFO</v>
      </c>
      <c r="T35" s="111" t="str">
        <f>JORNADAS!C35</f>
        <v>QUINTA-FEIRA</v>
      </c>
      <c r="U35" s="110">
        <f>JORNADAS!J35</f>
        <v>0</v>
      </c>
      <c r="V35" s="110">
        <f>IFERROR(HLOOKUP(VLOOKUP($S35,$A$3:$I$11,C$2,FALSE),$A$16:$O$22,$R35,FALSE),0)-VLOOKUP($S35,$A$3:$I$11,I$2,FALSE)</f>
        <v>9.999999999999995E-2</v>
      </c>
      <c r="W35" s="119">
        <f t="shared" si="4"/>
        <v>1</v>
      </c>
      <c r="X35" s="110">
        <f t="shared" si="5"/>
        <v>0</v>
      </c>
      <c r="Y35" s="119">
        <f t="shared" si="6"/>
        <v>0</v>
      </c>
      <c r="Z35" s="110">
        <f t="shared" si="0"/>
        <v>0</v>
      </c>
      <c r="AA35" s="119">
        <f t="shared" si="7"/>
        <v>0</v>
      </c>
    </row>
    <row r="36" spans="18:27" ht="15.6" thickTop="1" thickBot="1" x14ac:dyDescent="0.35">
      <c r="R36" s="2">
        <f t="shared" si="3"/>
        <v>6</v>
      </c>
      <c r="S36" s="81" t="str">
        <f>JORNADAS!B36</f>
        <v>AUGUSTO</v>
      </c>
      <c r="T36" s="111" t="str">
        <f>JORNADAS!C36</f>
        <v>SEXTA-FEIRA</v>
      </c>
      <c r="U36" s="110">
        <f>JORNADAS!J36</f>
        <v>0.33263888888888893</v>
      </c>
      <c r="V36" s="110">
        <f>IFERROR(HLOOKUP(VLOOKUP($S36,$A$3:$I$11,C$2,FALSE),$A$16:$O$22,$R36,FALSE),0)-VLOOKUP($S36,$A$3:$I$11,I$2,FALSE)</f>
        <v>0.19930555555555557</v>
      </c>
      <c r="W36" s="119">
        <f t="shared" si="4"/>
        <v>0.59916492693110646</v>
      </c>
      <c r="X36" s="110">
        <f t="shared" si="5"/>
        <v>0.13333333333333336</v>
      </c>
      <c r="Y36" s="119">
        <f t="shared" si="6"/>
        <v>0.40083507306889354</v>
      </c>
      <c r="Z36" s="110">
        <f t="shared" si="0"/>
        <v>2.7083333333332904E-2</v>
      </c>
      <c r="AA36" s="119">
        <f t="shared" si="7"/>
        <v>8.1419624217117695E-2</v>
      </c>
    </row>
    <row r="37" spans="18:27" ht="15.6" thickTop="1" thickBot="1" x14ac:dyDescent="0.35">
      <c r="R37" s="2">
        <f t="shared" si="3"/>
        <v>6</v>
      </c>
      <c r="S37" s="81" t="str">
        <f>JORNADAS!B37</f>
        <v>BRUNO</v>
      </c>
      <c r="T37" s="111" t="str">
        <f>JORNADAS!C37</f>
        <v>SEXTA-FEIRA</v>
      </c>
      <c r="U37" s="110">
        <f>JORNADAS!J37</f>
        <v>0.31944444444444448</v>
      </c>
      <c r="V37" s="110">
        <f>IFERROR(HLOOKUP(VLOOKUP($S37,$A$3:$I$11,C$2,FALSE),$A$16:$O$22,$R37,FALSE),0)-VLOOKUP($S37,$A$3:$I$11,I$2,FALSE)</f>
        <v>0.20486111111111108</v>
      </c>
      <c r="W37" s="119">
        <f t="shared" si="4"/>
        <v>0.64130434782608681</v>
      </c>
      <c r="X37" s="110">
        <f t="shared" si="5"/>
        <v>0.1145833333333334</v>
      </c>
      <c r="Y37" s="119">
        <f t="shared" si="6"/>
        <v>0.35869565217391319</v>
      </c>
      <c r="Z37" s="110">
        <f t="shared" si="0"/>
        <v>1.3888888888888451E-2</v>
      </c>
      <c r="AA37" s="119">
        <f t="shared" si="7"/>
        <v>4.3478260869563842E-2</v>
      </c>
    </row>
    <row r="38" spans="18:27" ht="15.6" thickTop="1" thickBot="1" x14ac:dyDescent="0.35">
      <c r="R38" s="2">
        <f t="shared" si="3"/>
        <v>6</v>
      </c>
      <c r="S38" s="81" t="str">
        <f>JORNADAS!B38</f>
        <v>DANIEL</v>
      </c>
      <c r="T38" s="111" t="str">
        <f>JORNADAS!C38</f>
        <v>SEXTA-FEIRA</v>
      </c>
      <c r="U38" s="110">
        <f>JORNADAS!J38</f>
        <v>0.35416666666666657</v>
      </c>
      <c r="V38" s="110">
        <f>IFERROR(HLOOKUP(VLOOKUP($S38,$A$3:$I$11,C$2,FALSE),$A$16:$O$22,$R38,FALSE),0)-VLOOKUP($S38,$A$3:$I$11,I$2,FALSE)</f>
        <v>0.13263888888888889</v>
      </c>
      <c r="W38" s="119">
        <f t="shared" si="4"/>
        <v>0.37450980392156874</v>
      </c>
      <c r="X38" s="110">
        <f t="shared" si="5"/>
        <v>0.22152777777777768</v>
      </c>
      <c r="Y38" s="119">
        <f t="shared" si="6"/>
        <v>0.62549019607843126</v>
      </c>
      <c r="Z38" s="110">
        <f t="shared" si="0"/>
        <v>4.861111111111055E-2</v>
      </c>
      <c r="AA38" s="119">
        <f t="shared" si="7"/>
        <v>0.13725490196078277</v>
      </c>
    </row>
    <row r="39" spans="18:27" ht="15.6" thickTop="1" thickBot="1" x14ac:dyDescent="0.35">
      <c r="R39" s="2">
        <f t="shared" si="3"/>
        <v>6</v>
      </c>
      <c r="S39" s="81" t="str">
        <f>JORNADAS!B39</f>
        <v>ERIKA</v>
      </c>
      <c r="T39" s="111" t="str">
        <f>JORNADAS!C39</f>
        <v>SEXTA-FEIRA</v>
      </c>
      <c r="U39" s="110">
        <f>JORNADAS!J39</f>
        <v>0.30277777777777776</v>
      </c>
      <c r="V39" s="110">
        <f>IFERROR(HLOOKUP(VLOOKUP($S39,$A$3:$I$11,C$2,FALSE),$A$16:$O$22,$R39,FALSE),0)-VLOOKUP($S39,$A$3:$I$11,I$2,FALSE)</f>
        <v>0.23611111111111116</v>
      </c>
      <c r="W39" s="119">
        <f t="shared" si="4"/>
        <v>0.7798165137614681</v>
      </c>
      <c r="X39" s="110">
        <f t="shared" si="5"/>
        <v>6.6666666666666596E-2</v>
      </c>
      <c r="Y39" s="119">
        <f t="shared" si="6"/>
        <v>0.2201834862385319</v>
      </c>
      <c r="Z39" s="110">
        <f t="shared" si="0"/>
        <v>0</v>
      </c>
      <c r="AA39" s="119">
        <f t="shared" si="7"/>
        <v>0</v>
      </c>
    </row>
    <row r="40" spans="18:27" ht="15.6" thickTop="1" thickBot="1" x14ac:dyDescent="0.35">
      <c r="R40" s="2">
        <f t="shared" si="3"/>
        <v>6</v>
      </c>
      <c r="S40" s="81" t="str">
        <f>JORNADAS!B40</f>
        <v>FABIOLA</v>
      </c>
      <c r="T40" s="111" t="str">
        <f>JORNADAS!C40</f>
        <v>SEXTA-FEIRA</v>
      </c>
      <c r="U40" s="110">
        <f>JORNADAS!J40</f>
        <v>0.38541666666666663</v>
      </c>
      <c r="V40" s="110">
        <f>IFERROR(HLOOKUP(VLOOKUP($S40,$A$3:$I$11,C$2,FALSE),$A$16:$O$22,$R40,FALSE),0)-VLOOKUP($S40,$A$3:$I$11,I$2,FALSE)</f>
        <v>0.23611111111111116</v>
      </c>
      <c r="W40" s="119">
        <f t="shared" si="4"/>
        <v>0.61261261261261279</v>
      </c>
      <c r="X40" s="110">
        <f t="shared" si="5"/>
        <v>0.14930555555555547</v>
      </c>
      <c r="Y40" s="119">
        <f t="shared" si="6"/>
        <v>0.38738738738738721</v>
      </c>
      <c r="Z40" s="110">
        <f t="shared" si="0"/>
        <v>7.9861111111110605E-2</v>
      </c>
      <c r="AA40" s="119">
        <f t="shared" si="7"/>
        <v>0.20720720720720592</v>
      </c>
    </row>
    <row r="41" spans="18:27" ht="15.6" thickTop="1" thickBot="1" x14ac:dyDescent="0.35">
      <c r="R41" s="2">
        <f t="shared" si="3"/>
        <v>6</v>
      </c>
      <c r="S41" s="81" t="str">
        <f>JORNADAS!B41</f>
        <v>JACIARA</v>
      </c>
      <c r="T41" s="111" t="str">
        <f>JORNADAS!C41</f>
        <v>SEXTA-FEIRA</v>
      </c>
      <c r="U41" s="110">
        <f>JORNADAS!J41</f>
        <v>0</v>
      </c>
      <c r="V41" s="110">
        <f>IFERROR(HLOOKUP(VLOOKUP($S41,$A$3:$I$11,C$2,FALSE),$A$16:$O$22,$R41,FALSE),0)-VLOOKUP($S41,$A$3:$I$11,I$2,FALSE)</f>
        <v>0.23611111111111116</v>
      </c>
      <c r="W41" s="119">
        <f t="shared" si="4"/>
        <v>1</v>
      </c>
      <c r="X41" s="110">
        <f t="shared" si="5"/>
        <v>0</v>
      </c>
      <c r="Y41" s="119">
        <f t="shared" si="6"/>
        <v>0</v>
      </c>
      <c r="Z41" s="110">
        <f t="shared" si="0"/>
        <v>0</v>
      </c>
      <c r="AA41" s="119">
        <f t="shared" si="7"/>
        <v>0</v>
      </c>
    </row>
    <row r="42" spans="18:27" ht="15.6" thickTop="1" thickBot="1" x14ac:dyDescent="0.35">
      <c r="R42" s="2">
        <f t="shared" si="3"/>
        <v>6</v>
      </c>
      <c r="S42" s="81" t="str">
        <f>JORNADAS!B42</f>
        <v>MARCOS</v>
      </c>
      <c r="T42" s="111" t="str">
        <f>JORNADAS!C42</f>
        <v>SEXTA-FEIRA</v>
      </c>
      <c r="U42" s="110">
        <f>JORNADAS!J42</f>
        <v>0.3520833333333333</v>
      </c>
      <c r="V42" s="110">
        <f>IFERROR(HLOOKUP(VLOOKUP($S42,$A$3:$I$11,C$2,FALSE),$A$16:$O$22,$R42,FALSE),0)-VLOOKUP($S42,$A$3:$I$11,I$2,FALSE)</f>
        <v>0.21875000000000003</v>
      </c>
      <c r="W42" s="119">
        <f t="shared" si="4"/>
        <v>0.62130177514792917</v>
      </c>
      <c r="X42" s="110">
        <f t="shared" si="5"/>
        <v>0.13333333333333328</v>
      </c>
      <c r="Y42" s="119">
        <f t="shared" si="6"/>
        <v>0.37869822485207083</v>
      </c>
      <c r="Z42" s="110">
        <f t="shared" si="0"/>
        <v>4.6527777777777279E-2</v>
      </c>
      <c r="AA42" s="119">
        <f t="shared" si="7"/>
        <v>0.1321499013806692</v>
      </c>
    </row>
    <row r="43" spans="18:27" ht="15.6" thickTop="1" thickBot="1" x14ac:dyDescent="0.35">
      <c r="R43" s="2">
        <f t="shared" si="3"/>
        <v>6</v>
      </c>
      <c r="S43" s="81" t="str">
        <f>JORNADAS!B43</f>
        <v>RODOLFO</v>
      </c>
      <c r="T43" s="111" t="str">
        <f>JORNADAS!C43</f>
        <v>SEXTA-FEIRA</v>
      </c>
      <c r="U43" s="110">
        <f>JORNADAS!J43</f>
        <v>0</v>
      </c>
      <c r="V43" s="110">
        <f>IFERROR(HLOOKUP(VLOOKUP($S43,$A$3:$I$11,C$2,FALSE),$A$16:$O$22,$R43,FALSE),0)-VLOOKUP($S43,$A$3:$I$11,I$2,FALSE)</f>
        <v>7.2222222222222271E-2</v>
      </c>
      <c r="W43" s="119">
        <f t="shared" si="4"/>
        <v>1</v>
      </c>
      <c r="X43" s="110">
        <f t="shared" si="5"/>
        <v>0</v>
      </c>
      <c r="Y43" s="119">
        <f t="shared" si="6"/>
        <v>0</v>
      </c>
      <c r="Z43" s="110">
        <f t="shared" si="0"/>
        <v>0</v>
      </c>
      <c r="AA43" s="119">
        <f t="shared" si="7"/>
        <v>0</v>
      </c>
    </row>
    <row r="44" spans="18:27" ht="15.6" thickTop="1" thickBot="1" x14ac:dyDescent="0.35">
      <c r="R44" s="2">
        <f t="shared" si="3"/>
        <v>7</v>
      </c>
      <c r="S44" s="81" t="str">
        <f>JORNADAS!B44</f>
        <v>AUGUSTO</v>
      </c>
      <c r="T44" s="111" t="str">
        <f>JORNADAS!C44</f>
        <v>SÁBADO</v>
      </c>
      <c r="U44" s="110">
        <f>JORNADAS!J44</f>
        <v>0.4229166666666665</v>
      </c>
      <c r="V44" s="110">
        <f>IFERROR(HLOOKUP(VLOOKUP($S44,$A$3:$I$11,C$2,FALSE),$A$16:$O$22,$R44,FALSE),0)-VLOOKUP($S44,$A$3:$I$11,I$2,FALSE)</f>
        <v>0.23194444444444448</v>
      </c>
      <c r="W44" s="119">
        <f t="shared" si="4"/>
        <v>0.54844006568144532</v>
      </c>
      <c r="X44" s="110">
        <f t="shared" si="5"/>
        <v>0.19097222222222202</v>
      </c>
      <c r="Y44" s="119">
        <f t="shared" si="6"/>
        <v>0.45155993431855468</v>
      </c>
      <c r="Z44" s="110">
        <f t="shared" si="0"/>
        <v>0.11736111111111047</v>
      </c>
      <c r="AA44" s="119">
        <f t="shared" si="7"/>
        <v>0.27750410509031059</v>
      </c>
    </row>
    <row r="45" spans="18:27" ht="15.6" thickTop="1" thickBot="1" x14ac:dyDescent="0.35">
      <c r="R45" s="2">
        <f t="shared" si="3"/>
        <v>7</v>
      </c>
      <c r="S45" s="81" t="str">
        <f>JORNADAS!B45</f>
        <v>BRUNO</v>
      </c>
      <c r="T45" s="111" t="str">
        <f>JORNADAS!C45</f>
        <v>SÁBADO</v>
      </c>
      <c r="U45" s="110">
        <f>JORNADAS!J45</f>
        <v>0.41874999999999996</v>
      </c>
      <c r="V45" s="110">
        <f>IFERROR(HLOOKUP(VLOOKUP($S45,$A$3:$I$11,C$2,FALSE),$A$16:$O$22,$R45,FALSE),0)-VLOOKUP($S45,$A$3:$I$11,I$2,FALSE)</f>
        <v>0.23749999999999999</v>
      </c>
      <c r="W45" s="119">
        <f t="shared" si="4"/>
        <v>0.56716417910447769</v>
      </c>
      <c r="X45" s="110">
        <f t="shared" si="5"/>
        <v>0.18124999999999997</v>
      </c>
      <c r="Y45" s="119">
        <f t="shared" si="6"/>
        <v>0.43283582089552231</v>
      </c>
      <c r="Z45" s="110">
        <f t="shared" si="0"/>
        <v>0.11319444444444393</v>
      </c>
      <c r="AA45" s="119">
        <f t="shared" si="7"/>
        <v>0.27031509121061242</v>
      </c>
    </row>
    <row r="46" spans="18:27" ht="15.6" thickTop="1" thickBot="1" x14ac:dyDescent="0.35">
      <c r="R46" s="2">
        <f t="shared" si="3"/>
        <v>7</v>
      </c>
      <c r="S46" s="81" t="str">
        <f>JORNADAS!B46</f>
        <v>DANIEL</v>
      </c>
      <c r="T46" s="111" t="str">
        <f>JORNADAS!C46</f>
        <v>SÁBADO</v>
      </c>
      <c r="U46" s="110">
        <f>JORNADAS!J46</f>
        <v>0.44791666666666663</v>
      </c>
      <c r="V46" s="110">
        <f>IFERROR(HLOOKUP(VLOOKUP($S46,$A$3:$I$11,C$2,FALSE),$A$16:$O$22,$R46,FALSE),0)-VLOOKUP($S46,$A$3:$I$11,I$2,FALSE)</f>
        <v>0.17638888888888893</v>
      </c>
      <c r="W46" s="119">
        <f t="shared" si="4"/>
        <v>0.39379844961240323</v>
      </c>
      <c r="X46" s="110">
        <f t="shared" si="5"/>
        <v>0.2715277777777777</v>
      </c>
      <c r="Y46" s="119">
        <f t="shared" si="6"/>
        <v>0.60620155038759682</v>
      </c>
      <c r="Z46" s="110">
        <f t="shared" si="0"/>
        <v>0.14236111111111061</v>
      </c>
      <c r="AA46" s="119">
        <f t="shared" si="7"/>
        <v>0.31782945736433998</v>
      </c>
    </row>
    <row r="47" spans="18:27" ht="15.6" thickTop="1" thickBot="1" x14ac:dyDescent="0.35">
      <c r="R47" s="2">
        <f t="shared" si="3"/>
        <v>7</v>
      </c>
      <c r="S47" s="81" t="str">
        <f>JORNADAS!B47</f>
        <v>ERIKA</v>
      </c>
      <c r="T47" s="111" t="str">
        <f>JORNADAS!C47</f>
        <v>SÁBADO</v>
      </c>
      <c r="U47" s="110">
        <f>JORNADAS!J47</f>
        <v>0.3118055555555555</v>
      </c>
      <c r="V47" s="110">
        <f>IFERROR(HLOOKUP(VLOOKUP($S47,$A$3:$I$11,C$2,FALSE),$A$16:$O$22,$R47,FALSE),0)-VLOOKUP($S47,$A$3:$I$11,I$2,FALSE)</f>
        <v>0.26874999999999993</v>
      </c>
      <c r="W47" s="119">
        <f t="shared" si="4"/>
        <v>0.86191536748329611</v>
      </c>
      <c r="X47" s="110">
        <f t="shared" si="5"/>
        <v>4.3055555555555569E-2</v>
      </c>
      <c r="Y47" s="119">
        <f t="shared" si="6"/>
        <v>0.13808463251670389</v>
      </c>
      <c r="Z47" s="110">
        <f t="shared" si="0"/>
        <v>6.2499999999994782E-3</v>
      </c>
      <c r="AA47" s="119">
        <f t="shared" si="7"/>
        <v>2.0044543429842427E-2</v>
      </c>
    </row>
    <row r="48" spans="18:27" ht="15.6" thickTop="1" thickBot="1" x14ac:dyDescent="0.35">
      <c r="R48" s="2">
        <f t="shared" si="3"/>
        <v>7</v>
      </c>
      <c r="S48" s="81" t="str">
        <f>JORNADAS!B48</f>
        <v>FABIOLA</v>
      </c>
      <c r="T48" s="111" t="str">
        <f>JORNADAS!C48</f>
        <v>SÁBADO</v>
      </c>
      <c r="U48" s="110">
        <f>JORNADAS!J48</f>
        <v>0.40069444444444435</v>
      </c>
      <c r="V48" s="110">
        <f>IFERROR(HLOOKUP(VLOOKUP($S48,$A$3:$I$11,C$2,FALSE),$A$16:$O$22,$R48,FALSE),0)-VLOOKUP($S48,$A$3:$I$11,I$2,FALSE)</f>
        <v>0.26874999999999993</v>
      </c>
      <c r="W48" s="119">
        <f t="shared" si="4"/>
        <v>0.6707105719237435</v>
      </c>
      <c r="X48" s="110">
        <f t="shared" si="5"/>
        <v>0.13194444444444442</v>
      </c>
      <c r="Y48" s="119">
        <f t="shared" si="6"/>
        <v>0.3292894280762565</v>
      </c>
      <c r="Z48" s="110">
        <f t="shared" si="0"/>
        <v>9.5138888888888329E-2</v>
      </c>
      <c r="AA48" s="119">
        <f t="shared" si="7"/>
        <v>0.23743500866550993</v>
      </c>
    </row>
    <row r="49" spans="18:27" ht="15.6" thickTop="1" thickBot="1" x14ac:dyDescent="0.35">
      <c r="R49" s="2">
        <f t="shared" si="3"/>
        <v>7</v>
      </c>
      <c r="S49" s="81" t="str">
        <f>JORNADAS!B49</f>
        <v>JACIARA</v>
      </c>
      <c r="T49" s="111" t="str">
        <f>JORNADAS!C49</f>
        <v>SÁBADO</v>
      </c>
      <c r="U49" s="110">
        <f>JORNADAS!J49</f>
        <v>0</v>
      </c>
      <c r="V49" s="110">
        <f>IFERROR(HLOOKUP(VLOOKUP($S49,$A$3:$I$11,C$2,FALSE),$A$16:$O$22,$R49,FALSE),0)-VLOOKUP($S49,$A$3:$I$11,I$2,FALSE)</f>
        <v>0.26874999999999993</v>
      </c>
      <c r="W49" s="119">
        <f t="shared" si="4"/>
        <v>1</v>
      </c>
      <c r="X49" s="110">
        <f t="shared" si="5"/>
        <v>0</v>
      </c>
      <c r="Y49" s="119">
        <f t="shared" si="6"/>
        <v>0</v>
      </c>
      <c r="Z49" s="110">
        <f t="shared" si="0"/>
        <v>0</v>
      </c>
      <c r="AA49" s="119">
        <f t="shared" si="7"/>
        <v>0</v>
      </c>
    </row>
    <row r="50" spans="18:27" ht="15.6" thickTop="1" thickBot="1" x14ac:dyDescent="0.35">
      <c r="R50" s="2">
        <f t="shared" si="3"/>
        <v>7</v>
      </c>
      <c r="S50" s="81" t="str">
        <f>JORNADAS!B50</f>
        <v>MARCOS</v>
      </c>
      <c r="T50" s="111" t="str">
        <f>JORNADAS!C50</f>
        <v>SÁBADO</v>
      </c>
      <c r="U50" s="110">
        <f>JORNADAS!J50</f>
        <v>0.45277777777777772</v>
      </c>
      <c r="V50" s="110">
        <f>IFERROR(HLOOKUP(VLOOKUP($S50,$A$3:$I$11,C$2,FALSE),$A$16:$O$22,$R50,FALSE),0)-VLOOKUP($S50,$A$3:$I$11,I$2,FALSE)</f>
        <v>0.26250000000000007</v>
      </c>
      <c r="W50" s="119">
        <f t="shared" si="4"/>
        <v>0.57975460122699407</v>
      </c>
      <c r="X50" s="110">
        <f t="shared" si="5"/>
        <v>0.19027777777777766</v>
      </c>
      <c r="Y50" s="119">
        <f t="shared" si="6"/>
        <v>0.42024539877300593</v>
      </c>
      <c r="Z50" s="110">
        <f t="shared" si="0"/>
        <v>0.1472222222222217</v>
      </c>
      <c r="AA50" s="119">
        <f t="shared" si="7"/>
        <v>0.32515337423312773</v>
      </c>
    </row>
    <row r="51" spans="18:27" ht="15.6" thickTop="1" thickBot="1" x14ac:dyDescent="0.35">
      <c r="R51" s="2">
        <f t="shared" si="3"/>
        <v>7</v>
      </c>
      <c r="S51" s="81" t="str">
        <f>JORNADAS!B51</f>
        <v>RODOLFO</v>
      </c>
      <c r="T51" s="111" t="str">
        <f>JORNADAS!C51</f>
        <v>SÁBADO</v>
      </c>
      <c r="U51" s="110">
        <f>JORNADAS!J51</f>
        <v>0</v>
      </c>
      <c r="V51" s="110">
        <f>IFERROR(HLOOKUP(VLOOKUP($S51,$A$3:$I$11,C$2,FALSE),$A$16:$O$22,$R51,FALSE),0)-VLOOKUP($S51,$A$3:$I$11,I$2,FALSE)</f>
        <v>8.8888888888888878E-2</v>
      </c>
      <c r="W51" s="119">
        <f t="shared" si="4"/>
        <v>1</v>
      </c>
      <c r="X51" s="110">
        <f t="shared" si="5"/>
        <v>0</v>
      </c>
      <c r="Y51" s="119">
        <f t="shared" si="6"/>
        <v>0</v>
      </c>
      <c r="Z51" s="110">
        <f t="shared" si="0"/>
        <v>0</v>
      </c>
      <c r="AA51" s="118">
        <f t="shared" si="7"/>
        <v>0</v>
      </c>
    </row>
    <row r="52" spans="18:27" ht="15" thickTop="1" x14ac:dyDescent="0.3"/>
  </sheetData>
  <conditionalFormatting sqref="H13 H15:K16 B17:O22 N15:O15 G3:H11 S4:U51 AB3:XFD11">
    <cfRule type="cellIs" dxfId="150" priority="127" operator="equal">
      <formula>0</formula>
    </cfRule>
  </conditionalFormatting>
  <conditionalFormatting sqref="A3:B3 G3:H3">
    <cfRule type="cellIs" dxfId="149" priority="126" operator="equal">
      <formula>0</formula>
    </cfRule>
  </conditionalFormatting>
  <conditionalFormatting sqref="C3">
    <cfRule type="cellIs" dxfId="148" priority="125" operator="equal">
      <formula>0</formula>
    </cfRule>
  </conditionalFormatting>
  <conditionalFormatting sqref="A4:A10">
    <cfRule type="cellIs" dxfId="147" priority="124" operator="equal">
      <formula>0</formula>
    </cfRule>
  </conditionalFormatting>
  <conditionalFormatting sqref="B4:B11">
    <cfRule type="cellIs" dxfId="146" priority="123" operator="equal">
      <formula>0</formula>
    </cfRule>
  </conditionalFormatting>
  <conditionalFormatting sqref="G4:H10 H5:H11">
    <cfRule type="cellIs" dxfId="145" priority="122" operator="equal">
      <formula>0</formula>
    </cfRule>
  </conditionalFormatting>
  <conditionalFormatting sqref="C4:C10">
    <cfRule type="cellIs" dxfId="144" priority="121" operator="equal">
      <formula>0</formula>
    </cfRule>
  </conditionalFormatting>
  <conditionalFormatting sqref="G11">
    <cfRule type="cellIs" dxfId="143" priority="93" operator="equal">
      <formula>0</formula>
    </cfRule>
  </conditionalFormatting>
  <conditionalFormatting sqref="C11">
    <cfRule type="cellIs" dxfId="142" priority="92" operator="equal">
      <formula>0</formula>
    </cfRule>
  </conditionalFormatting>
  <conditionalFormatting sqref="E3">
    <cfRule type="cellIs" dxfId="141" priority="76" operator="equal">
      <formula>0</formula>
    </cfRule>
  </conditionalFormatting>
  <conditionalFormatting sqref="M16">
    <cfRule type="cellIs" dxfId="140" priority="45" operator="equal">
      <formula>0</formula>
    </cfRule>
  </conditionalFormatting>
  <conditionalFormatting sqref="D4:D10">
    <cfRule type="cellIs" dxfId="139" priority="78" operator="equal">
      <formula>0</formula>
    </cfRule>
  </conditionalFormatting>
  <conditionalFormatting sqref="D11">
    <cfRule type="cellIs" dxfId="138" priority="77" operator="equal">
      <formula>0</formula>
    </cfRule>
  </conditionalFormatting>
  <conditionalFormatting sqref="D3">
    <cfRule type="cellIs" dxfId="137" priority="79" operator="equal">
      <formula>0</formula>
    </cfRule>
  </conditionalFormatting>
  <conditionalFormatting sqref="E4:E10">
    <cfRule type="cellIs" dxfId="136" priority="75" operator="equal">
      <formula>0</formula>
    </cfRule>
  </conditionalFormatting>
  <conditionalFormatting sqref="E11">
    <cfRule type="cellIs" dxfId="135" priority="74" operator="equal">
      <formula>0</formula>
    </cfRule>
  </conditionalFormatting>
  <conditionalFormatting sqref="F3">
    <cfRule type="cellIs" dxfId="134" priority="73" operator="equal">
      <formula>0</formula>
    </cfRule>
  </conditionalFormatting>
  <conditionalFormatting sqref="F4:F10">
    <cfRule type="cellIs" dxfId="133" priority="72" operator="equal">
      <formula>0</formula>
    </cfRule>
  </conditionalFormatting>
  <conditionalFormatting sqref="F11">
    <cfRule type="cellIs" dxfId="132" priority="71" operator="equal">
      <formula>0</formula>
    </cfRule>
  </conditionalFormatting>
  <conditionalFormatting sqref="A11">
    <cfRule type="cellIs" dxfId="131" priority="70" operator="equal">
      <formula>0</formula>
    </cfRule>
  </conditionalFormatting>
  <conditionalFormatting sqref="S3">
    <cfRule type="cellIs" dxfId="130" priority="62" operator="equal">
      <formula>0</formula>
    </cfRule>
  </conditionalFormatting>
  <conditionalFormatting sqref="T3">
    <cfRule type="cellIs" dxfId="129" priority="61" operator="equal">
      <formula>0</formula>
    </cfRule>
  </conditionalFormatting>
  <conditionalFormatting sqref="U3">
    <cfRule type="cellIs" dxfId="128" priority="60" operator="equal">
      <formula>0</formula>
    </cfRule>
  </conditionalFormatting>
  <conditionalFormatting sqref="A22">
    <cfRule type="cellIs" dxfId="127" priority="53" operator="equal">
      <formula>0</formula>
    </cfRule>
  </conditionalFormatting>
  <conditionalFormatting sqref="A17:A22">
    <cfRule type="cellIs" dxfId="126" priority="52" operator="equal">
      <formula>0</formula>
    </cfRule>
  </conditionalFormatting>
  <conditionalFormatting sqref="A16:A22">
    <cfRule type="cellIs" dxfId="125" priority="51" operator="equal">
      <formula>0</formula>
    </cfRule>
  </conditionalFormatting>
  <conditionalFormatting sqref="B16:H16">
    <cfRule type="cellIs" dxfId="124" priority="50" operator="equal">
      <formula>0</formula>
    </cfRule>
  </conditionalFormatting>
  <conditionalFormatting sqref="I16">
    <cfRule type="cellIs" dxfId="123" priority="49" operator="equal">
      <formula>0</formula>
    </cfRule>
  </conditionalFormatting>
  <conditionalFormatting sqref="J16">
    <cfRule type="cellIs" dxfId="122" priority="48" operator="equal">
      <formula>0</formula>
    </cfRule>
  </conditionalFormatting>
  <conditionalFormatting sqref="K16">
    <cfRule type="cellIs" dxfId="121" priority="47" operator="equal">
      <formula>0</formula>
    </cfRule>
  </conditionalFormatting>
  <conditionalFormatting sqref="L16">
    <cfRule type="cellIs" dxfId="120" priority="46" operator="equal">
      <formula>0</formula>
    </cfRule>
  </conditionalFormatting>
  <conditionalFormatting sqref="N16">
    <cfRule type="cellIs" dxfId="115" priority="17" operator="equal">
      <formula>0</formula>
    </cfRule>
  </conditionalFormatting>
  <conditionalFormatting sqref="O16">
    <cfRule type="cellIs" dxfId="114" priority="16" operator="equal">
      <formula>0</formula>
    </cfRule>
  </conditionalFormatting>
  <conditionalFormatting sqref="I3:I11">
    <cfRule type="cellIs" dxfId="113" priority="15" operator="equal">
      <formula>0</formula>
    </cfRule>
  </conditionalFormatting>
  <conditionalFormatting sqref="I3">
    <cfRule type="cellIs" dxfId="112" priority="14" operator="equal">
      <formula>0</formula>
    </cfRule>
  </conditionalFormatting>
  <conditionalFormatting sqref="I4:I11">
    <cfRule type="cellIs" dxfId="111" priority="13" operator="equal">
      <formula>0</formula>
    </cfRule>
  </conditionalFormatting>
  <conditionalFormatting sqref="V4:V51">
    <cfRule type="cellIs" dxfId="11" priority="12" operator="equal">
      <formula>0</formula>
    </cfRule>
  </conditionalFormatting>
  <conditionalFormatting sqref="V3">
    <cfRule type="cellIs" dxfId="10" priority="11" operator="equal">
      <formula>0</formula>
    </cfRule>
  </conditionalFormatting>
  <conditionalFormatting sqref="W4:W51">
    <cfRule type="cellIs" dxfId="9" priority="10" operator="equal">
      <formula>0</formula>
    </cfRule>
  </conditionalFormatting>
  <conditionalFormatting sqref="W3">
    <cfRule type="cellIs" dxfId="8" priority="9" operator="equal">
      <formula>0</formula>
    </cfRule>
  </conditionalFormatting>
  <conditionalFormatting sqref="X4:X51">
    <cfRule type="cellIs" dxfId="7" priority="8" operator="equal">
      <formula>0</formula>
    </cfRule>
  </conditionalFormatting>
  <conditionalFormatting sqref="X3">
    <cfRule type="cellIs" dxfId="6" priority="7" operator="equal">
      <formula>0</formula>
    </cfRule>
  </conditionalFormatting>
  <conditionalFormatting sqref="Y4:Y51">
    <cfRule type="cellIs" dxfId="5" priority="6" operator="equal">
      <formula>0</formula>
    </cfRule>
  </conditionalFormatting>
  <conditionalFormatting sqref="Y3">
    <cfRule type="cellIs" dxfId="4" priority="5" operator="equal">
      <formula>0</formula>
    </cfRule>
  </conditionalFormatting>
  <conditionalFormatting sqref="Z4:Z51">
    <cfRule type="cellIs" dxfId="3" priority="4" operator="equal">
      <formula>0</formula>
    </cfRule>
  </conditionalFormatting>
  <conditionalFormatting sqref="Z3">
    <cfRule type="cellIs" dxfId="2" priority="3" operator="equal">
      <formula>0</formula>
    </cfRule>
  </conditionalFormatting>
  <conditionalFormatting sqref="AA4:AA51">
    <cfRule type="cellIs" dxfId="1" priority="2" operator="equal">
      <formula>0</formula>
    </cfRule>
  </conditionalFormatting>
  <conditionalFormatting sqref="AA3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FA1D-7180-4C1B-8760-4023D97F0056}">
  <sheetPr codeName="Planilha16"/>
  <dimension ref="A1:AB76"/>
  <sheetViews>
    <sheetView showGridLines="0" topLeftCell="A43" zoomScale="55" zoomScaleNormal="55" workbookViewId="0">
      <selection activeCell="A62" sqref="A62"/>
    </sheetView>
  </sheetViews>
  <sheetFormatPr defaultRowHeight="14.4" x14ac:dyDescent="0.3"/>
  <cols>
    <col min="1" max="1" width="20.44140625" customWidth="1"/>
    <col min="2" max="2" width="21.77734375" customWidth="1"/>
    <col min="3" max="3" width="18.77734375" bestFit="1" customWidth="1"/>
    <col min="4" max="4" width="13" bestFit="1" customWidth="1"/>
    <col min="5" max="5" width="11.44140625" bestFit="1" customWidth="1"/>
    <col min="6" max="6" width="15.77734375" bestFit="1" customWidth="1"/>
    <col min="7" max="7" width="9.44140625" bestFit="1" customWidth="1"/>
    <col min="8" max="8" width="13" bestFit="1" customWidth="1"/>
    <col min="9" max="9" width="14.88671875" bestFit="1" customWidth="1"/>
    <col min="10" max="10" width="16.44140625" bestFit="1" customWidth="1"/>
    <col min="11" max="11" width="16.44140625" customWidth="1"/>
    <col min="12" max="12" width="15.21875" bestFit="1" customWidth="1"/>
    <col min="13" max="13" width="14.21875" bestFit="1" customWidth="1"/>
    <col min="14" max="14" width="17" customWidth="1"/>
    <col min="15" max="15" width="13.88671875" bestFit="1" customWidth="1"/>
    <col min="16" max="16" width="14.21875" customWidth="1"/>
    <col min="17" max="17" width="14.21875" bestFit="1" customWidth="1"/>
    <col min="18" max="19" width="18.109375" bestFit="1" customWidth="1"/>
    <col min="20" max="20" width="16.88671875" bestFit="1" customWidth="1"/>
    <col min="21" max="22" width="17.109375" bestFit="1" customWidth="1"/>
    <col min="23" max="24" width="12.44140625" bestFit="1" customWidth="1"/>
    <col min="25" max="26" width="12.21875" bestFit="1" customWidth="1"/>
    <col min="27" max="27" width="11.44140625" bestFit="1" customWidth="1"/>
  </cols>
  <sheetData>
    <row r="1" spans="1:15" x14ac:dyDescent="0.3">
      <c r="B1" s="44">
        <v>0.66748842592592583</v>
      </c>
    </row>
    <row r="4" spans="1:15" ht="16.8" x14ac:dyDescent="0.4">
      <c r="E4" s="43"/>
    </row>
    <row r="5" spans="1:15" s="26" customFormat="1" x14ac:dyDescent="0.3">
      <c r="A5" s="89" t="s">
        <v>110</v>
      </c>
      <c r="B5" s="89" t="s">
        <v>111</v>
      </c>
      <c r="C5" s="88" t="s">
        <v>90</v>
      </c>
      <c r="D5" s="88" t="s">
        <v>95</v>
      </c>
      <c r="E5" s="88" t="s">
        <v>96</v>
      </c>
      <c r="F5" s="88" t="s">
        <v>97</v>
      </c>
      <c r="G5" s="88" t="s">
        <v>98</v>
      </c>
      <c r="H5" s="88" t="s">
        <v>77</v>
      </c>
      <c r="I5" s="88" t="s">
        <v>105</v>
      </c>
      <c r="J5" s="88" t="s">
        <v>99</v>
      </c>
      <c r="K5" s="88" t="s">
        <v>107</v>
      </c>
      <c r="L5" s="88" t="s">
        <v>108</v>
      </c>
      <c r="M5" s="88" t="s">
        <v>109</v>
      </c>
    </row>
    <row r="6" spans="1:15" s="22" customFormat="1" ht="30" customHeight="1" thickBot="1" x14ac:dyDescent="0.35">
      <c r="A6" s="89"/>
      <c r="B6" s="90"/>
      <c r="C6" s="91"/>
      <c r="D6" s="91"/>
      <c r="E6" s="91"/>
      <c r="F6" s="91"/>
      <c r="G6" s="91"/>
      <c r="H6" s="88"/>
      <c r="I6" s="88"/>
      <c r="J6" s="88"/>
      <c r="K6" s="88"/>
      <c r="L6" s="88"/>
      <c r="M6" s="88"/>
    </row>
    <row r="7" spans="1:15" ht="15.6" thickTop="1" thickBot="1" x14ac:dyDescent="0.35">
      <c r="A7" s="50">
        <v>43241</v>
      </c>
      <c r="B7" s="62" t="s">
        <v>84</v>
      </c>
      <c r="C7" s="51">
        <f>MAX(Crono_Seg!Q:Q)-MIN(Crono_Seg!D:D)</f>
        <v>0.56041666666666656</v>
      </c>
      <c r="D7" s="52">
        <f>SUMIFS(ENCOMENDA!$K:$K,ENCOMENDA!$M:$M,D$5,ENCOMENDA!$L:$L,"seg")</f>
        <v>80.550000000000011</v>
      </c>
      <c r="E7" s="52">
        <f>SUMIFS(ENCOMENDA!$K:$K,ENCOMENDA!$M:$M,E$5,ENCOMENDA!$L:$L,"seg")</f>
        <v>74.099999999999994</v>
      </c>
      <c r="F7" s="52">
        <f>SUMIFS(ENCOMENDA!$K:$K,ENCOMENDA!$M:$M,F$5,ENCOMENDA!$L:$L,"seg")</f>
        <v>0</v>
      </c>
      <c r="G7" s="52">
        <f>SUMIFS(ENCOMENDA!$K:$K,ENCOMENDA!$M:$M,G$5,ENCOMENDA!$L:$L,"seg")</f>
        <v>0</v>
      </c>
      <c r="H7" s="52">
        <f>SUM(D7:G7)</f>
        <v>154.65</v>
      </c>
      <c r="I7" s="53">
        <f>IFERROR(H7/(C7*24),"")</f>
        <v>11.498141263940523</v>
      </c>
      <c r="J7" s="54">
        <f>SUM(AP_CRONO_SEG!W:W)</f>
        <v>943.48162900023965</v>
      </c>
      <c r="K7" s="55">
        <f>IFERROR(J7/(C7*24),"")</f>
        <v>70.147333011170247</v>
      </c>
      <c r="L7" s="54">
        <f>SUMIFS(ENCOMENDA!I:I,ENCOMENDA!$L:$L,"seg")</f>
        <v>2536.7500000000005</v>
      </c>
      <c r="M7" s="55">
        <f>IFERROR(L7/(C7*24),"")</f>
        <v>188.60594795539041</v>
      </c>
      <c r="N7" s="45">
        <f>L7-J7</f>
        <v>1593.2683709997609</v>
      </c>
      <c r="O7" s="20">
        <f>IFERROR(N7/L7,"")</f>
        <v>0.62807465102976667</v>
      </c>
    </row>
    <row r="8" spans="1:15" ht="15.6" thickTop="1" thickBot="1" x14ac:dyDescent="0.35">
      <c r="A8" s="50">
        <f>A7+1</f>
        <v>43242</v>
      </c>
      <c r="B8" s="62" t="s">
        <v>85</v>
      </c>
      <c r="C8" s="51">
        <f>MAX(Crono_Ter!Q:Q)-MIN(Crono_Ter!D:D)</f>
        <v>0.54999999999999993</v>
      </c>
      <c r="D8" s="52">
        <f>SUMIFS(ENCOMENDA!$K:$K,ENCOMENDA!$M:$M,D$5,ENCOMENDA!$L:$L,"ter")</f>
        <v>129.22000000000003</v>
      </c>
      <c r="E8" s="52">
        <f>SUMIFS(ENCOMENDA!$K:$K,ENCOMENDA!$M:$M,E$5,ENCOMENDA!$L:$L,"ter")</f>
        <v>31.029999999999998</v>
      </c>
      <c r="F8" s="52">
        <f>SUMIFS(ENCOMENDA!$K:$K,ENCOMENDA!$M:$M,F$5,ENCOMENDA!$L:$L,"ter")</f>
        <v>2.3000000000000003</v>
      </c>
      <c r="G8" s="52">
        <f>SUMIFS(ENCOMENDA!$K:$K,ENCOMENDA!$M:$M,G$5,ENCOMENDA!$L:$L,"ter")</f>
        <v>0</v>
      </c>
      <c r="H8" s="52">
        <f>SUM(D8:G8)</f>
        <v>162.55000000000004</v>
      </c>
      <c r="I8" s="53">
        <f>IFERROR(H8/(C8*24),"")</f>
        <v>12.314393939393943</v>
      </c>
      <c r="J8" s="54">
        <f>SUM(AP_CRONO_TER!W:W)</f>
        <v>815.13883103200783</v>
      </c>
      <c r="K8" s="55">
        <f>IFERROR(J8/(C8*24),"")</f>
        <v>61.752941744849082</v>
      </c>
      <c r="L8" s="54">
        <f>SUMIFS(ENCOMENDA!I:I,ENCOMENDA!L:L,"ter")</f>
        <v>2750.9600000000005</v>
      </c>
      <c r="M8" s="55">
        <f>IFERROR(L8/(C8*24),"")</f>
        <v>208.40606060606066</v>
      </c>
      <c r="N8" s="45">
        <f>L8-J8</f>
        <v>1935.8211689679927</v>
      </c>
      <c r="O8" s="20">
        <f>IFERROR(N8/L8,"")</f>
        <v>0.70368931898973175</v>
      </c>
    </row>
    <row r="9" spans="1:15" ht="15.6" thickTop="1" thickBot="1" x14ac:dyDescent="0.35">
      <c r="A9" s="50">
        <f>A8+1</f>
        <v>43243</v>
      </c>
      <c r="B9" s="62" t="s">
        <v>86</v>
      </c>
      <c r="C9" s="51">
        <f>MAX(Crono_Qua!Q:Q)-MIN(Crono_Qua!D:D)</f>
        <v>0.52638888888888891</v>
      </c>
      <c r="D9" s="52">
        <f>SUMIFS(ENCOMENDA!$K:$K,ENCOMENDA!$M:$M,D$5,ENCOMENDA!$L:$L,"qua")</f>
        <v>131.88000000000002</v>
      </c>
      <c r="E9" s="52">
        <f>SUMIFS(ENCOMENDA!$K:$K,ENCOMENDA!$M:$M,E$5,ENCOMENDA!$L:$L,"qua")</f>
        <v>13.44</v>
      </c>
      <c r="F9" s="52">
        <f>SUMIFS(ENCOMENDA!$K:$K,ENCOMENDA!$M:$M,F$5,ENCOMENDA!$L:$L,"qua")</f>
        <v>0</v>
      </c>
      <c r="G9" s="52">
        <f>SUMIFS(ENCOMENDA!$K:$K,ENCOMENDA!$M:$M,G$5,ENCOMENDA!$L:$L,"qua")</f>
        <v>0</v>
      </c>
      <c r="H9" s="52">
        <f>SUM(D9:G9)</f>
        <v>145.32000000000002</v>
      </c>
      <c r="I9" s="53">
        <f>IFERROR(H9/(C9*24),"")</f>
        <v>11.502902374670187</v>
      </c>
      <c r="J9" s="54">
        <f>SUM(AP_CRONO_qua!W:W)</f>
        <v>661.45904682053003</v>
      </c>
      <c r="K9" s="55">
        <f>IFERROR(J9/(C9*24),"")</f>
        <v>52.358235896084174</v>
      </c>
      <c r="L9" s="54">
        <f>SUMIFS(ENCOMENDA!I:I,ENCOMENDA!L:L,"qua")</f>
        <v>2133.3600000000006</v>
      </c>
      <c r="M9" s="55">
        <f>IFERROR(L9/(C9*24),"")</f>
        <v>168.86754617414255</v>
      </c>
      <c r="N9" s="45">
        <f>L9-J9</f>
        <v>1471.9009531794704</v>
      </c>
      <c r="O9" s="20">
        <f>IFERROR(N9/L9,"")</f>
        <v>0.68994494749103297</v>
      </c>
    </row>
    <row r="10" spans="1:15" ht="15.6" thickTop="1" thickBot="1" x14ac:dyDescent="0.35">
      <c r="A10" s="50">
        <f>A9+1</f>
        <v>43244</v>
      </c>
      <c r="B10" s="62" t="s">
        <v>87</v>
      </c>
      <c r="C10" s="51">
        <f>MAX(Crono_Qui!Q:Q)-MIN(Crono_Qui!D:D)</f>
        <v>0.52986111111111112</v>
      </c>
      <c r="D10" s="52">
        <f>SUMIFS(ENCOMENDA!$K:$K,ENCOMENDA!$M:$M,D$5,ENCOMENDA!$L:$L,"qui")</f>
        <v>206.70000000000002</v>
      </c>
      <c r="E10" s="52">
        <f>SUMIFS(ENCOMENDA!$K:$K,ENCOMENDA!$M:$M,E$5,ENCOMENDA!$L:$L,"qui")</f>
        <v>51.71</v>
      </c>
      <c r="F10" s="52">
        <f>SUMIFS(ENCOMENDA!$K:$K,ENCOMENDA!$M:$M,F$5,ENCOMENDA!$L:$L,"qui")</f>
        <v>0.52800000000000002</v>
      </c>
      <c r="G10" s="52">
        <f>SUMIFS(ENCOMENDA!$K:$K,ENCOMENDA!$M:$M,G$5,ENCOMENDA!$L:$L,"qui")</f>
        <v>0</v>
      </c>
      <c r="H10" s="52">
        <f>SUM(D10:G10)</f>
        <v>258.93800000000005</v>
      </c>
      <c r="I10" s="53">
        <f>IFERROR(H10/(C10*24),"")</f>
        <v>20.362096985583229</v>
      </c>
      <c r="J10" s="54">
        <f>SUM(AP_CRONO_Qui!W:W)</f>
        <v>888.46058764478198</v>
      </c>
      <c r="K10" s="55">
        <f>IFERROR(J10/(C10*24),"")</f>
        <v>69.865839133272502</v>
      </c>
      <c r="L10" s="54">
        <f>SUMIFS(ENCOMENDA!I:I,ENCOMENDA!L:L,"qui")</f>
        <v>4153.6699999999983</v>
      </c>
      <c r="M10" s="55">
        <f>IFERROR(L10/(C10*24),"")</f>
        <v>326.63197903014401</v>
      </c>
      <c r="N10" s="45">
        <f>L10-J10</f>
        <v>3265.209412355216</v>
      </c>
      <c r="O10" s="20">
        <f>IFERROR(N10/L10,"")</f>
        <v>0.78610226916322612</v>
      </c>
    </row>
    <row r="11" spans="1:15" ht="15.6" thickTop="1" thickBot="1" x14ac:dyDescent="0.35">
      <c r="A11" s="50">
        <f>A10+1</f>
        <v>43245</v>
      </c>
      <c r="B11" s="62" t="s">
        <v>88</v>
      </c>
      <c r="C11" s="51">
        <f>MAX(Crono_Sex!Q:Q)-MIN(Crono_Sex!D:D)</f>
        <v>0.50902777777777775</v>
      </c>
      <c r="D11" s="52">
        <f>SUMIFS(ENCOMENDA!$K:$K,ENCOMENDA!$M:$M,D$5,ENCOMENDA!$L:$L,"sex")</f>
        <v>300.98</v>
      </c>
      <c r="E11" s="52">
        <f>SUMIFS(ENCOMENDA!$K:$K,ENCOMENDA!$M:$M,E$5,ENCOMENDA!$L:$L,"sex")</f>
        <v>52.400000000000006</v>
      </c>
      <c r="F11" s="52">
        <f>SUMIFS(ENCOMENDA!$K:$K,ENCOMENDA!$M:$M,F$5,ENCOMENDA!$L:$L,"sex")</f>
        <v>0</v>
      </c>
      <c r="G11" s="52">
        <f>SUMIFS(ENCOMENDA!$K:$K,ENCOMENDA!$M:$M,G$5,ENCOMENDA!$L:$L,"sex")</f>
        <v>0</v>
      </c>
      <c r="H11" s="52">
        <f>SUM(D11:G11)</f>
        <v>353.38</v>
      </c>
      <c r="I11" s="53">
        <f>IFERROR(H11/(C11*24),"")</f>
        <v>28.926057298772172</v>
      </c>
      <c r="J11" s="54">
        <f>SUM(AP_CRONO_Sex!W:W)</f>
        <v>1682.4211455292309</v>
      </c>
      <c r="K11" s="55">
        <f>IFERROR(J11/(C11*24),"")</f>
        <v>137.71523701467103</v>
      </c>
      <c r="L11" s="54">
        <f>SUMIFS(ENCOMENDA!I:I,ENCOMENDA!L:L,"sex")</f>
        <v>6083.8600000000015</v>
      </c>
      <c r="M11" s="55">
        <f>IFERROR(L11/(C11*24),"")</f>
        <v>497.99672578444768</v>
      </c>
      <c r="N11" s="45">
        <f>L11-J11</f>
        <v>4401.4388544707708</v>
      </c>
      <c r="O11" s="20">
        <f>IFERROR(N11/L11,"")</f>
        <v>0.72346156132303663</v>
      </c>
    </row>
    <row r="12" spans="1:15" ht="15.6" thickTop="1" thickBot="1" x14ac:dyDescent="0.35">
      <c r="A12" s="50">
        <f>A11+1</f>
        <v>43246</v>
      </c>
      <c r="B12" s="62" t="s">
        <v>89</v>
      </c>
      <c r="C12" s="51">
        <f>MAX(Crono_Sab!Q:Q)-MIN(Crono_Sab!D:D)</f>
        <v>0.54374999999999996</v>
      </c>
      <c r="D12" s="52">
        <f>SUMIFS(ENCOMENDA!$K:$K,ENCOMENDA!$M:$M,D$5,ENCOMENDA!$L:$L,"Sáb")</f>
        <v>254.30999999999997</v>
      </c>
      <c r="E12" s="52">
        <f>SUMIFS(ENCOMENDA!$K:$K,ENCOMENDA!$M:$M,E$5,ENCOMENDA!$L:$L,"Sáb")</f>
        <v>21.799999999999997</v>
      </c>
      <c r="F12" s="52">
        <f>SUMIFS(ENCOMENDA!$K:$K,ENCOMENDA!$M:$M,F$5,ENCOMENDA!$L:$L,"Sáb")</f>
        <v>0</v>
      </c>
      <c r="G12" s="52">
        <f>SUMIFS(ENCOMENDA!$K:$K,ENCOMENDA!$M:$M,G$5,ENCOMENDA!$L:$L,"Sáb")</f>
        <v>0</v>
      </c>
      <c r="H12" s="52">
        <f>SUM(D12:G12)</f>
        <v>276.10999999999996</v>
      </c>
      <c r="I12" s="53">
        <f>IFERROR(H12/(C12*24),"")</f>
        <v>21.157854406130266</v>
      </c>
      <c r="J12" s="54">
        <f>SUM(AP_CRONO_Sab!W:W)</f>
        <v>978.73292787824903</v>
      </c>
      <c r="K12" s="55">
        <f>IFERROR(J12/(C12*24),"")</f>
        <v>74.998691791436713</v>
      </c>
      <c r="L12" s="54">
        <f>SUMIFS(ENCOMENDA!I:I,ENCOMENDA!L:L,"sáb")</f>
        <v>4183.7000000000007</v>
      </c>
      <c r="M12" s="55">
        <f>IFERROR(L12/(C12*24),"")</f>
        <v>320.59003831417635</v>
      </c>
      <c r="N12" s="45">
        <f>L12-J12</f>
        <v>3204.9670721217517</v>
      </c>
      <c r="O12" s="20">
        <f>IFERROR(N12/L12,"")</f>
        <v>0.76606044222141911</v>
      </c>
    </row>
    <row r="13" spans="1:15" s="26" customFormat="1" ht="19.2" thickTop="1" thickBot="1" x14ac:dyDescent="0.35">
      <c r="A13" s="56"/>
      <c r="B13" s="56" t="s">
        <v>77</v>
      </c>
      <c r="C13" s="57">
        <f>SUM(C7:C12)</f>
        <v>3.219444444444445</v>
      </c>
      <c r="D13" s="58">
        <f>SUM(D7:D12)</f>
        <v>1103.6400000000001</v>
      </c>
      <c r="E13" s="58">
        <f>SUM(E7:E12)</f>
        <v>244.48000000000002</v>
      </c>
      <c r="F13" s="58">
        <f>SUM(F7:F12)</f>
        <v>2.8280000000000003</v>
      </c>
      <c r="G13" s="58">
        <f>SUM(G7:G12)</f>
        <v>0</v>
      </c>
      <c r="H13" s="58">
        <f>SUM(H7:H12)</f>
        <v>1350.9480000000001</v>
      </c>
      <c r="I13" s="59"/>
      <c r="J13" s="60">
        <f>SUM(J7:J12)</f>
        <v>5969.6941679050396</v>
      </c>
      <c r="K13" s="61">
        <f>SUM(K7:K12)</f>
        <v>466.8382785914838</v>
      </c>
      <c r="L13" s="60">
        <f>SUM(L7:L12)</f>
        <v>21842.300000000003</v>
      </c>
      <c r="M13" s="61"/>
      <c r="N13" s="63" t="s">
        <v>112</v>
      </c>
    </row>
    <row r="14" spans="1:15" ht="19.2" thickTop="1" thickBot="1" x14ac:dyDescent="0.4">
      <c r="N14" s="64">
        <f>(L13-J13)</f>
        <v>15872.605832094963</v>
      </c>
    </row>
    <row r="15" spans="1:15" ht="19.2" thickTop="1" thickBot="1" x14ac:dyDescent="0.4">
      <c r="N15" s="65">
        <f>IFERROR(N14/L13,"")</f>
        <v>0.72669113747613401</v>
      </c>
    </row>
    <row r="16" spans="1:15" ht="15" thickTop="1" x14ac:dyDescent="0.3"/>
    <row r="32" spans="1:13" s="26" customFormat="1" x14ac:dyDescent="0.3">
      <c r="A32" s="89" t="s">
        <v>110</v>
      </c>
      <c r="B32" s="89" t="s">
        <v>111</v>
      </c>
      <c r="C32" s="88" t="s">
        <v>90</v>
      </c>
      <c r="D32" s="88" t="s">
        <v>95</v>
      </c>
      <c r="E32" s="88" t="s">
        <v>96</v>
      </c>
      <c r="F32" s="88" t="s">
        <v>97</v>
      </c>
      <c r="G32" s="88" t="s">
        <v>98</v>
      </c>
      <c r="H32" s="88" t="s">
        <v>77</v>
      </c>
      <c r="I32" s="88" t="s">
        <v>105</v>
      </c>
      <c r="J32" s="88" t="s">
        <v>99</v>
      </c>
      <c r="K32" s="88" t="s">
        <v>107</v>
      </c>
      <c r="L32" s="88" t="s">
        <v>108</v>
      </c>
      <c r="M32" s="88" t="s">
        <v>109</v>
      </c>
    </row>
    <row r="33" spans="1:15" s="22" customFormat="1" ht="30" customHeight="1" thickBot="1" x14ac:dyDescent="0.35">
      <c r="A33" s="89"/>
      <c r="B33" s="90"/>
      <c r="C33" s="91"/>
      <c r="D33" s="91"/>
      <c r="E33" s="91"/>
      <c r="F33" s="91"/>
      <c r="G33" s="91"/>
      <c r="H33" s="88"/>
      <c r="I33" s="88"/>
      <c r="J33" s="88"/>
      <c r="K33" s="88"/>
      <c r="L33" s="88"/>
      <c r="M33" s="88"/>
    </row>
    <row r="34" spans="1:15" ht="15.6" thickTop="1" thickBot="1" x14ac:dyDescent="0.35">
      <c r="A34" s="50">
        <v>43241</v>
      </c>
      <c r="B34" s="62" t="s">
        <v>84</v>
      </c>
      <c r="C34" s="51">
        <f>MAX(Crono_Seg!Q:Q)-MIN(Crono_Seg!D:D)</f>
        <v>0.56041666666666656</v>
      </c>
      <c r="D34" s="70">
        <f>SUMIFS(ENCOMENDA!$N:$N,ENCOMENDA!$M:$M,D$5,ENCOMENDA!$L:$L,"seg")</f>
        <v>851</v>
      </c>
      <c r="E34" s="70">
        <f>SUMIFS(ENCOMENDA!$N:$N,ENCOMENDA!$M:$M,E$5,ENCOMENDA!$L:$L,"seg")</f>
        <v>369</v>
      </c>
      <c r="F34" s="70">
        <f>SUMIFS(ENCOMENDA!$N:$N,ENCOMENDA!$M:$M,F$5,ENCOMENDA!$L:$L,"seg")</f>
        <v>0</v>
      </c>
      <c r="G34" s="52">
        <f>SUMIFS(ENCOMENDA!$N:$N,ENCOMENDA!$M:$M,G$5,ENCOMENDA!$L:$L,"seg")</f>
        <v>0</v>
      </c>
      <c r="H34" s="70">
        <f>SUM(D34:G34)</f>
        <v>1220</v>
      </c>
      <c r="I34" s="72">
        <f>IFERROR(H34/(C34*24),"")</f>
        <v>90.706319702602244</v>
      </c>
      <c r="J34" s="54">
        <f>SUM(AP_CRONO_SEG!W:W)</f>
        <v>943.48162900023965</v>
      </c>
      <c r="K34" s="55">
        <f>IFERROR(J34/(C34*24),"")</f>
        <v>70.147333011170247</v>
      </c>
      <c r="L34" s="54">
        <f>SUMIFS(ENCOMENDA!I:I,ENCOMENDA!$L:$L,"seg")</f>
        <v>2536.7500000000005</v>
      </c>
      <c r="M34" s="55">
        <f>IFERROR(L34/(C34*24),"")</f>
        <v>188.60594795539041</v>
      </c>
    </row>
    <row r="35" spans="1:15" ht="15.6" thickTop="1" thickBot="1" x14ac:dyDescent="0.35">
      <c r="A35" s="50">
        <f>A34+1</f>
        <v>43242</v>
      </c>
      <c r="B35" s="62" t="s">
        <v>85</v>
      </c>
      <c r="C35" s="51">
        <f>MAX(Crono_Ter!Q:Q)-MIN(Crono_Ter!D:D)</f>
        <v>0.54999999999999993</v>
      </c>
      <c r="D35" s="70">
        <f>SUMIFS(ENCOMENDA!$N:$N,ENCOMENDA!$M:$M,D$5,ENCOMENDA!$L:$L,"ter")</f>
        <v>1257</v>
      </c>
      <c r="E35" s="70">
        <f>SUMIFS(ENCOMENDA!$N:$N,ENCOMENDA!$M:$M,E$5,ENCOMENDA!$L:$L,"ter")</f>
        <v>152</v>
      </c>
      <c r="F35" s="70">
        <f>SUMIFS(ENCOMENDA!$N:$N,ENCOMENDA!$M:$M,F$5,ENCOMENDA!$L:$L,"ter")</f>
        <v>22</v>
      </c>
      <c r="G35" s="52">
        <f>SUMIFS(ENCOMENDA!$N:$N,ENCOMENDA!$M:$M,G$5,ENCOMENDA!$L:$L,"ter")</f>
        <v>0</v>
      </c>
      <c r="H35" s="70">
        <f>SUM(D35:G35)</f>
        <v>1431</v>
      </c>
      <c r="I35" s="72">
        <f>IFERROR(H35/(C35*24),"")</f>
        <v>108.40909090909092</v>
      </c>
      <c r="J35" s="54">
        <f>SUM(AP_CRONO_TER!W:W)</f>
        <v>815.13883103200783</v>
      </c>
      <c r="K35" s="55">
        <f>IFERROR(J35/(C35*24),"")</f>
        <v>61.752941744849082</v>
      </c>
      <c r="L35" s="54">
        <f>SUMIFS(ENCOMENDA!I:I,ENCOMENDA!L:L,"ter")</f>
        <v>2750.9600000000005</v>
      </c>
      <c r="M35" s="55">
        <f>IFERROR(L35/(C35*24),"")</f>
        <v>208.40606060606066</v>
      </c>
    </row>
    <row r="36" spans="1:15" ht="15.6" thickTop="1" thickBot="1" x14ac:dyDescent="0.35">
      <c r="A36" s="50">
        <f>A35+1</f>
        <v>43243</v>
      </c>
      <c r="B36" s="62" t="s">
        <v>86</v>
      </c>
      <c r="C36" s="51">
        <f>MAX(Crono_Qua!Q:Q)-MIN(Crono_Qua!D:D)</f>
        <v>0.52638888888888891</v>
      </c>
      <c r="D36" s="70">
        <f>SUMIFS(ENCOMENDA!$N:$N,ENCOMENDA!$M:$M,D$5,ENCOMENDA!$L:$L,"qua")</f>
        <v>1519</v>
      </c>
      <c r="E36" s="70">
        <f>SUMIFS(ENCOMENDA!$N:$N,ENCOMENDA!$M:$M,E$5,ENCOMENDA!$L:$L,"qua")</f>
        <v>168</v>
      </c>
      <c r="F36" s="70">
        <f>SUMIFS(ENCOMENDA!$N:$N,ENCOMENDA!$M:$M,F$5,ENCOMENDA!$L:$L,"qua")</f>
        <v>0</v>
      </c>
      <c r="G36" s="52">
        <f>SUMIFS(ENCOMENDA!$N:$N,ENCOMENDA!$M:$M,G$5,ENCOMENDA!$L:$L,"qua")</f>
        <v>0</v>
      </c>
      <c r="H36" s="70">
        <f>SUM(D36:G36)</f>
        <v>1687</v>
      </c>
      <c r="I36" s="72">
        <f>IFERROR(H36/(C36*24),"")</f>
        <v>133.53562005277044</v>
      </c>
      <c r="J36" s="54">
        <f>SUM(AP_CRONO_qua!W:W)</f>
        <v>661.45904682053003</v>
      </c>
      <c r="K36" s="55">
        <f>IFERROR(J36/(C36*24),"")</f>
        <v>52.358235896084174</v>
      </c>
      <c r="L36" s="54">
        <f>SUMIFS(ENCOMENDA!I:I,ENCOMENDA!L:L,"qua")</f>
        <v>2133.3600000000006</v>
      </c>
      <c r="M36" s="55">
        <f>IFERROR(L36/(C36*24),"")</f>
        <v>168.86754617414255</v>
      </c>
    </row>
    <row r="37" spans="1:15" ht="15.6" thickTop="1" thickBot="1" x14ac:dyDescent="0.35">
      <c r="A37" s="50">
        <f>A36+1</f>
        <v>43244</v>
      </c>
      <c r="B37" s="62" t="s">
        <v>87</v>
      </c>
      <c r="C37" s="51">
        <f>MAX(Crono_Qui!Q:Q)-MIN(Crono_Qui!D:D)</f>
        <v>0.52986111111111112</v>
      </c>
      <c r="D37" s="70">
        <f>SUMIFS(ENCOMENDA!$N:$N,ENCOMENDA!$M:$M,D$5,ENCOMENDA!$L:$L,"qui")</f>
        <v>2089</v>
      </c>
      <c r="E37" s="70">
        <f>SUMIFS(ENCOMENDA!$N:$N,ENCOMENDA!$M:$M,E$5,ENCOMENDA!$L:$L,"qui")</f>
        <v>233</v>
      </c>
      <c r="F37" s="70">
        <f>SUMIFS(ENCOMENDA!$N:$N,ENCOMENDA!$M:$M,F$5,ENCOMENDA!$L:$L,"qui")</f>
        <v>8</v>
      </c>
      <c r="G37" s="52">
        <f>SUMIFS(ENCOMENDA!$N:$N,ENCOMENDA!$M:$M,G$5,ENCOMENDA!$L:$L,"qui")</f>
        <v>0</v>
      </c>
      <c r="H37" s="70">
        <f>SUM(D37:G37)</f>
        <v>2330</v>
      </c>
      <c r="I37" s="72">
        <f>IFERROR(H37/(C37*24),"")</f>
        <v>183.22411533420708</v>
      </c>
      <c r="J37" s="54">
        <f>SUM(AP_CRONO_Qui!W:W)</f>
        <v>888.46058764478198</v>
      </c>
      <c r="K37" s="55">
        <f>IFERROR(J37/(C37*24),"")</f>
        <v>69.865839133272502</v>
      </c>
      <c r="L37" s="54">
        <f>SUMIFS(ENCOMENDA!I:I,ENCOMENDA!L:L,"qui")</f>
        <v>4153.6699999999983</v>
      </c>
      <c r="M37" s="55">
        <f>IFERROR(L37/(C37*24),"")</f>
        <v>326.63197903014401</v>
      </c>
    </row>
    <row r="38" spans="1:15" ht="15.6" thickTop="1" thickBot="1" x14ac:dyDescent="0.35">
      <c r="A38" s="50">
        <f>A37+1</f>
        <v>43245</v>
      </c>
      <c r="B38" s="62" t="s">
        <v>88</v>
      </c>
      <c r="C38" s="51">
        <f>MAX(Crono_Sex!Q:Q)-MIN(Crono_Sex!D:D)</f>
        <v>0.50902777777777775</v>
      </c>
      <c r="D38" s="70">
        <f>SUMIFS(ENCOMENDA!$N:$N,ENCOMENDA!$M:$M,D$5,ENCOMENDA!$L:$L,"sex")</f>
        <v>3267</v>
      </c>
      <c r="E38" s="70">
        <f>SUMIFS(ENCOMENDA!$N:$N,ENCOMENDA!$M:$M,E$5,ENCOMENDA!$L:$L,"sex")</f>
        <v>175</v>
      </c>
      <c r="F38" s="70">
        <f>SUMIFS(ENCOMENDA!$N:$N,ENCOMENDA!$M:$M,F$5,ENCOMENDA!$L:$L,"sex")</f>
        <v>0</v>
      </c>
      <c r="G38" s="52">
        <f>SUMIFS(ENCOMENDA!$N:$N,ENCOMENDA!$M:$M,G$5,ENCOMENDA!$L:$L,"sex")</f>
        <v>0</v>
      </c>
      <c r="H38" s="70">
        <f>SUM(D38:G38)</f>
        <v>3442</v>
      </c>
      <c r="I38" s="72">
        <f>IFERROR(H38/(C38*24),"")</f>
        <v>281.74624829467945</v>
      </c>
      <c r="J38" s="54">
        <f>SUM(AP_CRONO_Sex!W:W)</f>
        <v>1682.4211455292309</v>
      </c>
      <c r="K38" s="55">
        <f>IFERROR(J38/(C38*24),"")</f>
        <v>137.71523701467103</v>
      </c>
      <c r="L38" s="54">
        <f>SUMIFS(ENCOMENDA!I:I,ENCOMENDA!L:L,"sex")</f>
        <v>6083.8600000000015</v>
      </c>
      <c r="M38" s="55">
        <f>IFERROR(L38/(C38*24),"")</f>
        <v>497.99672578444768</v>
      </c>
    </row>
    <row r="39" spans="1:15" ht="15.6" thickTop="1" thickBot="1" x14ac:dyDescent="0.35">
      <c r="A39" s="50">
        <f>A38+1</f>
        <v>43246</v>
      </c>
      <c r="B39" s="62" t="s">
        <v>89</v>
      </c>
      <c r="C39" s="51">
        <f>MAX(Crono_Sab!Q:Q)-MIN(Crono_Sab!D:D)</f>
        <v>0.54374999999999996</v>
      </c>
      <c r="D39" s="70">
        <f>SUMIFS(ENCOMENDA!$N:$N,ENCOMENDA!$M:$M,D$5,ENCOMENDA!$L:$L,"Sáb")</f>
        <v>2740</v>
      </c>
      <c r="E39" s="70">
        <f>SUMIFS(ENCOMENDA!$N:$N,ENCOMENDA!$M:$M,E$5,ENCOMENDA!$L:$L,"Sáb")</f>
        <v>51</v>
      </c>
      <c r="F39" s="70">
        <f>SUMIFS(ENCOMENDA!$N:$N,ENCOMENDA!$M:$M,F$5,ENCOMENDA!$L:$L,"Sáb")</f>
        <v>0</v>
      </c>
      <c r="G39" s="70">
        <f>SUMIFS(ENCOMENDA!$N:$N,ENCOMENDA!$M:$M,G$5,ENCOMENDA!$L:$L,"Sáb")</f>
        <v>0</v>
      </c>
      <c r="H39" s="70">
        <f>SUM(D39:G39)</f>
        <v>2791</v>
      </c>
      <c r="I39" s="72">
        <f>IFERROR(H39/(C39*24),"")</f>
        <v>213.86973180076629</v>
      </c>
      <c r="J39" s="54">
        <f>SUM(AP_CRONO_Sab!W:W)</f>
        <v>978.73292787824903</v>
      </c>
      <c r="K39" s="55">
        <f>IFERROR(J39/(C39*24),"")</f>
        <v>74.998691791436713</v>
      </c>
      <c r="L39" s="54">
        <f>SUMIFS(ENCOMENDA!I:I,ENCOMENDA!L:L,"sáb")</f>
        <v>4183.7000000000007</v>
      </c>
      <c r="M39" s="55">
        <f>IFERROR(L39/(C39*24),"")</f>
        <v>320.59003831417635</v>
      </c>
    </row>
    <row r="40" spans="1:15" s="26" customFormat="1" ht="15" thickTop="1" x14ac:dyDescent="0.3">
      <c r="A40" s="68"/>
      <c r="B40" s="68" t="s">
        <v>77</v>
      </c>
      <c r="C40" s="57">
        <f>SUM(C34:C39)</f>
        <v>3.219444444444445</v>
      </c>
      <c r="D40" s="71">
        <f>SUM(D34:D39)</f>
        <v>11723</v>
      </c>
      <c r="E40" s="71">
        <f>SUM(E34:E39)</f>
        <v>1148</v>
      </c>
      <c r="F40" s="71">
        <f>SUM(F34:F39)</f>
        <v>30</v>
      </c>
      <c r="G40" s="71">
        <f>SUM(G34:G39)</f>
        <v>0</v>
      </c>
      <c r="H40" s="71">
        <f>SUM(H34:H39)</f>
        <v>12901</v>
      </c>
      <c r="I40" s="59"/>
      <c r="J40" s="60">
        <f>SUM(J34:J39)</f>
        <v>5969.6941679050396</v>
      </c>
      <c r="K40" s="61">
        <f>SUM(K34:K39)</f>
        <v>466.8382785914838</v>
      </c>
      <c r="L40" s="60">
        <f>SUM(L34:L39)</f>
        <v>21842.300000000003</v>
      </c>
      <c r="M40" s="61"/>
      <c r="N40"/>
      <c r="O40"/>
    </row>
    <row r="59" spans="1:28" ht="14.4" customHeight="1" x14ac:dyDescent="0.3">
      <c r="D59" s="88" t="s">
        <v>1</v>
      </c>
      <c r="E59" s="88"/>
      <c r="F59" s="88" t="s">
        <v>2</v>
      </c>
      <c r="G59" s="88" t="s">
        <v>2</v>
      </c>
      <c r="H59" s="88" t="s">
        <v>3</v>
      </c>
      <c r="I59" s="88" t="s">
        <v>3</v>
      </c>
      <c r="J59" s="88" t="s">
        <v>4</v>
      </c>
      <c r="K59" s="88" t="s">
        <v>4</v>
      </c>
      <c r="L59" s="88" t="s">
        <v>5</v>
      </c>
      <c r="M59" s="88" t="s">
        <v>5</v>
      </c>
      <c r="N59" s="88" t="s">
        <v>6</v>
      </c>
      <c r="O59" s="88" t="s">
        <v>6</v>
      </c>
      <c r="P59" s="88" t="s">
        <v>7</v>
      </c>
      <c r="Q59" s="88" t="s">
        <v>7</v>
      </c>
      <c r="R59" s="88" t="s">
        <v>122</v>
      </c>
      <c r="S59" s="88" t="s">
        <v>122</v>
      </c>
      <c r="T59" s="88" t="s">
        <v>9</v>
      </c>
      <c r="U59" s="88" t="s">
        <v>10</v>
      </c>
      <c r="V59" s="88" t="s">
        <v>10</v>
      </c>
      <c r="W59" s="88" t="s">
        <v>11</v>
      </c>
      <c r="X59" s="88" t="s">
        <v>11</v>
      </c>
      <c r="Y59" s="88" t="s">
        <v>121</v>
      </c>
      <c r="Z59" s="88" t="s">
        <v>121</v>
      </c>
      <c r="AA59" s="88"/>
    </row>
    <row r="60" spans="1:28" s="22" customFormat="1" ht="31.2" customHeight="1" thickBot="1" x14ac:dyDescent="0.35">
      <c r="A60" s="73" t="s">
        <v>110</v>
      </c>
      <c r="B60" s="73" t="s">
        <v>111</v>
      </c>
      <c r="C60" s="73" t="s">
        <v>90</v>
      </c>
      <c r="D60" s="85" t="s">
        <v>123</v>
      </c>
      <c r="E60" s="85" t="s">
        <v>124</v>
      </c>
      <c r="F60" s="85" t="s">
        <v>123</v>
      </c>
      <c r="G60" s="85" t="s">
        <v>124</v>
      </c>
      <c r="H60" s="85" t="s">
        <v>123</v>
      </c>
      <c r="I60" s="85" t="s">
        <v>124</v>
      </c>
      <c r="J60" s="85" t="s">
        <v>123</v>
      </c>
      <c r="K60" s="85" t="s">
        <v>124</v>
      </c>
      <c r="L60" s="85" t="s">
        <v>123</v>
      </c>
      <c r="M60" s="85" t="s">
        <v>124</v>
      </c>
      <c r="N60" s="85" t="s">
        <v>123</v>
      </c>
      <c r="O60" s="85" t="s">
        <v>124</v>
      </c>
      <c r="P60" s="85" t="s">
        <v>123</v>
      </c>
      <c r="Q60" s="85" t="s">
        <v>124</v>
      </c>
      <c r="R60" s="85" t="s">
        <v>123</v>
      </c>
      <c r="S60" s="85" t="s">
        <v>124</v>
      </c>
      <c r="T60" s="85" t="s">
        <v>123</v>
      </c>
      <c r="U60" s="85" t="s">
        <v>124</v>
      </c>
      <c r="V60" s="85" t="s">
        <v>123</v>
      </c>
      <c r="W60" s="85" t="s">
        <v>124</v>
      </c>
      <c r="X60" s="85" t="s">
        <v>123</v>
      </c>
      <c r="Y60" s="85" t="s">
        <v>124</v>
      </c>
      <c r="Z60" s="85" t="s">
        <v>123</v>
      </c>
      <c r="AA60" s="85" t="s">
        <v>124</v>
      </c>
    </row>
    <row r="61" spans="1:28" ht="15.6" thickTop="1" thickBot="1" x14ac:dyDescent="0.35">
      <c r="A61" s="74">
        <v>43241</v>
      </c>
      <c r="B61" s="75" t="s">
        <v>84</v>
      </c>
      <c r="C61" s="51">
        <f>MAX(Crono_Seg!Q:Q)-MIN(Crono_Seg!D:D)</f>
        <v>0.56041666666666656</v>
      </c>
      <c r="D61" s="82">
        <f>MIN(Crono_Seg!D:D)</f>
        <v>0.19305555555555556</v>
      </c>
      <c r="E61" s="83">
        <f>MAX(Crono_Seg!D:D)</f>
        <v>0.29305555555555551</v>
      </c>
      <c r="F61" s="82">
        <f>MIN(Crono_Seg!E:F)</f>
        <v>0.20833333333333334</v>
      </c>
      <c r="G61" s="83">
        <f>MAX(Crono_Seg!E:F)</f>
        <v>0.44097222222222221</v>
      </c>
      <c r="H61" s="82">
        <f>MIN(Crono_Seg!G:H)</f>
        <v>0.22222222222222224</v>
      </c>
      <c r="I61" s="83">
        <f>MAX(Crono_Seg!G:H)</f>
        <v>0.44444444444444442</v>
      </c>
      <c r="J61" s="82">
        <f>MIN(Crono_Seg!H:I)</f>
        <v>0.22569444444444445</v>
      </c>
      <c r="K61" s="83">
        <f>MAX(Crono_Seg!H:I)</f>
        <v>0.48958333333333331</v>
      </c>
      <c r="L61" s="82">
        <f>MIN(Crono_Seg!I:J)</f>
        <v>0.23402777777777778</v>
      </c>
      <c r="M61" s="83">
        <f>MAX(Crono_Seg!I:J)</f>
        <v>0.51041666666666663</v>
      </c>
      <c r="N61" s="82">
        <f>MIN(Crono_Seg!J:K)</f>
        <v>0.24236111111111111</v>
      </c>
      <c r="O61" s="83">
        <f>MAX(Crono_Seg!J:K)</f>
        <v>0.54166666666666663</v>
      </c>
      <c r="P61" s="82">
        <f>MIN(Crono_Seg!K:L)</f>
        <v>0.24583333333333332</v>
      </c>
      <c r="Q61" s="83">
        <f>MAX(Crono_Seg!K:L)</f>
        <v>0.5625</v>
      </c>
      <c r="R61" s="82">
        <f>MIN(Crono_Seg!L:M)</f>
        <v>0.27361111111111108</v>
      </c>
      <c r="S61" s="83">
        <f>MAX(Crono_Seg!L:M)</f>
        <v>0.60763888888888884</v>
      </c>
      <c r="T61" s="82">
        <f>MIN(Crono_Seg!M:N)</f>
        <v>0.33958333333333329</v>
      </c>
      <c r="U61" s="83">
        <f>MAX(Crono_Seg!M:N)</f>
        <v>0.63888888888888884</v>
      </c>
      <c r="V61" s="82">
        <f>MIN(Crono_Seg!N:O)</f>
        <v>0.36388888888888882</v>
      </c>
      <c r="W61" s="83">
        <f>MAX(Crono_Seg!N:O)</f>
        <v>0.70486111111111105</v>
      </c>
      <c r="X61" s="82">
        <f>MIN(Crono_Seg!O:P)</f>
        <v>0.42986111111111103</v>
      </c>
      <c r="Y61" s="83">
        <f>MAX(Crono_Seg!O:P)</f>
        <v>0.70833333333333326</v>
      </c>
      <c r="Z61" s="82">
        <f>MIN(Crono_Seg!P:Q)</f>
        <v>0.46249999999999991</v>
      </c>
      <c r="AA61" s="83">
        <f>MAX(Crono_Seg!P:Q)</f>
        <v>0.7534722222222221</v>
      </c>
    </row>
    <row r="62" spans="1:28" ht="15.6" thickTop="1" thickBot="1" x14ac:dyDescent="0.35">
      <c r="A62" s="74"/>
      <c r="B62" s="75" t="s">
        <v>126</v>
      </c>
      <c r="C62" s="75"/>
      <c r="D62" s="109">
        <f>E61-D61</f>
        <v>9.999999999999995E-2</v>
      </c>
      <c r="E62" s="109"/>
      <c r="F62" s="109">
        <f>G61-F61</f>
        <v>0.23263888888888887</v>
      </c>
      <c r="G62" s="109"/>
      <c r="H62" s="109">
        <f>I61-H61</f>
        <v>0.22222222222222218</v>
      </c>
      <c r="I62" s="109"/>
      <c r="J62" s="109">
        <f>K61-J61</f>
        <v>0.26388888888888884</v>
      </c>
      <c r="K62" s="109"/>
      <c r="L62" s="109">
        <f>M61-L61</f>
        <v>0.27638888888888885</v>
      </c>
      <c r="M62" s="109"/>
      <c r="N62" s="109">
        <f>O61-N61</f>
        <v>0.29930555555555549</v>
      </c>
      <c r="O62" s="109"/>
      <c r="P62" s="109">
        <f>Q61-P61</f>
        <v>0.31666666666666665</v>
      </c>
      <c r="Q62" s="109"/>
      <c r="R62" s="109">
        <f>S61-R61</f>
        <v>0.33402777777777776</v>
      </c>
      <c r="S62" s="109"/>
      <c r="T62" s="109">
        <f>U61-T61</f>
        <v>0.29930555555555555</v>
      </c>
      <c r="U62" s="109"/>
      <c r="V62" s="109">
        <f>W61-V61</f>
        <v>0.34097222222222223</v>
      </c>
      <c r="W62" s="109"/>
      <c r="X62" s="109">
        <f>Y61-X61</f>
        <v>0.27847222222222223</v>
      </c>
      <c r="Y62" s="109"/>
      <c r="Z62" s="109">
        <f>AA61-Z61</f>
        <v>0.29097222222222219</v>
      </c>
      <c r="AA62" s="109"/>
      <c r="AB62" s="79"/>
    </row>
    <row r="63" spans="1:28" ht="15.6" thickTop="1" thickBot="1" x14ac:dyDescent="0.35">
      <c r="A63" s="50">
        <f>A61+1</f>
        <v>43242</v>
      </c>
      <c r="B63" s="62" t="s">
        <v>85</v>
      </c>
      <c r="C63" s="51">
        <f>MAX(Crono_Ter!Q:Q)-MIN(Crono_Ter!D:D)</f>
        <v>0.54999999999999993</v>
      </c>
      <c r="D63" s="82">
        <f>MIN(Crono_Ter!D:D)</f>
        <v>0.19305555555555556</v>
      </c>
      <c r="E63" s="83">
        <f>MAX(Crono_Ter!D:D)</f>
        <v>0.2597222222222223</v>
      </c>
      <c r="F63" s="82">
        <f>MIN(Crono_Ter!E:F)</f>
        <v>0.20833333333333334</v>
      </c>
      <c r="G63" s="83">
        <f>MAX(Crono_Ter!E:F)</f>
        <v>0.43055555555555558</v>
      </c>
      <c r="H63" s="82">
        <f>MIN(Crono_Ter!G:H)</f>
        <v>0.22222222222222224</v>
      </c>
      <c r="I63" s="83">
        <f>MAX(Crono_Ter!G:H)</f>
        <v>0.43402777777777779</v>
      </c>
      <c r="J63" s="82">
        <f>MIN(Crono_Ter!H:I)</f>
        <v>0.22569444444444445</v>
      </c>
      <c r="K63" s="83">
        <f>MAX(Crono_Ter!H:I)</f>
        <v>0.47916666666666669</v>
      </c>
      <c r="L63" s="82">
        <f>MIN(Crono_Ter!I:J)</f>
        <v>0.23402777777777778</v>
      </c>
      <c r="M63" s="83">
        <f>MAX(Crono_Ter!I:J)</f>
        <v>0.5</v>
      </c>
      <c r="N63" s="82">
        <f>MIN(Crono_Ter!J:K)</f>
        <v>0.24236111111111111</v>
      </c>
      <c r="O63" s="83">
        <f>MAX(Crono_Ter!J:K)</f>
        <v>0.53125</v>
      </c>
      <c r="P63" s="82">
        <f>MIN(Crono_Ter!K:L)</f>
        <v>0.24583333333333332</v>
      </c>
      <c r="Q63" s="83">
        <f>MAX(Crono_Ter!K:L)</f>
        <v>0.55208333333333337</v>
      </c>
      <c r="R63" s="82">
        <f>MIN(Crono_Ter!L:M)</f>
        <v>0.27361111111111108</v>
      </c>
      <c r="S63" s="83">
        <f>MAX(Crono_Ter!L:M)</f>
        <v>0.59722222222222221</v>
      </c>
      <c r="T63" s="82">
        <f>MIN(Crono_Ter!M:N)</f>
        <v>0.33958333333333329</v>
      </c>
      <c r="U63" s="83">
        <f>MAX(Crono_Ter!M:N)</f>
        <v>0.62847222222222221</v>
      </c>
      <c r="V63" s="82">
        <f>MIN(Crono_Ter!N:O)</f>
        <v>0.36388888888888882</v>
      </c>
      <c r="W63" s="83">
        <f>MAX(Crono_Ter!N:O)</f>
        <v>0.69444444444444442</v>
      </c>
      <c r="X63" s="82">
        <f>MIN(Crono_Ter!O:P)</f>
        <v>0.42986111111111103</v>
      </c>
      <c r="Y63" s="83">
        <f>MAX(Crono_Ter!O:P)</f>
        <v>0.69791666666666663</v>
      </c>
      <c r="Z63" s="82">
        <f>MIN(Crono_Ter!P:Q)</f>
        <v>0.46249999999999991</v>
      </c>
      <c r="AA63" s="83">
        <f>MAX(Crono_Ter!P:Q)</f>
        <v>0.74305555555555547</v>
      </c>
    </row>
    <row r="64" spans="1:28" ht="15.6" thickTop="1" thickBot="1" x14ac:dyDescent="0.35">
      <c r="A64" s="50"/>
      <c r="B64" s="75" t="s">
        <v>126</v>
      </c>
      <c r="C64" s="51"/>
      <c r="D64" s="109">
        <f>E63-D63</f>
        <v>6.6666666666666735E-2</v>
      </c>
      <c r="E64" s="109"/>
      <c r="F64" s="109">
        <f>G63-F63</f>
        <v>0.22222222222222224</v>
      </c>
      <c r="G64" s="109"/>
      <c r="H64" s="109">
        <f>I63-H63</f>
        <v>0.21180555555555555</v>
      </c>
      <c r="I64" s="109"/>
      <c r="J64" s="109">
        <f>K63-J63</f>
        <v>0.25347222222222221</v>
      </c>
      <c r="K64" s="109"/>
      <c r="L64" s="109">
        <f>M63-L63</f>
        <v>0.26597222222222222</v>
      </c>
      <c r="M64" s="109"/>
      <c r="N64" s="109">
        <f>O63-N63</f>
        <v>0.28888888888888886</v>
      </c>
      <c r="O64" s="109"/>
      <c r="P64" s="109">
        <f>Q63-P63</f>
        <v>0.30625000000000002</v>
      </c>
      <c r="Q64" s="109"/>
      <c r="R64" s="109">
        <f>S63-R63</f>
        <v>0.32361111111111113</v>
      </c>
      <c r="S64" s="109"/>
      <c r="T64" s="109">
        <f>U63-T63</f>
        <v>0.28888888888888892</v>
      </c>
      <c r="U64" s="109"/>
      <c r="V64" s="109">
        <f>W63-V63</f>
        <v>0.3305555555555556</v>
      </c>
      <c r="W64" s="109"/>
      <c r="X64" s="109">
        <f>Y63-X63</f>
        <v>0.2680555555555556</v>
      </c>
      <c r="Y64" s="109"/>
      <c r="Z64" s="109">
        <f>AA63-Z63</f>
        <v>0.28055555555555556</v>
      </c>
      <c r="AA64" s="109"/>
    </row>
    <row r="65" spans="1:27" ht="15.6" thickTop="1" thickBot="1" x14ac:dyDescent="0.35">
      <c r="A65" s="50">
        <f>A63+1</f>
        <v>43243</v>
      </c>
      <c r="B65" s="62" t="s">
        <v>86</v>
      </c>
      <c r="C65" s="51">
        <f>MAX(Crono_Qua!Q:Q)-MIN(Crono_Qua!D:D)</f>
        <v>0.52638888888888891</v>
      </c>
      <c r="D65" s="82">
        <f>MIN(Crono_Qua!D:D)</f>
        <v>0.19305555555555556</v>
      </c>
      <c r="E65" s="83">
        <f>MAX(Crono_Qua!D:D)</f>
        <v>0.2597222222222223</v>
      </c>
      <c r="F65" s="82">
        <f>MIN(Crono_Qua!E:F)</f>
        <v>0.20833333333333334</v>
      </c>
      <c r="G65" s="83">
        <f>MAX(Crono_Qua!E:F)</f>
        <v>0.43402777777777779</v>
      </c>
      <c r="H65" s="82">
        <f>MIN(Crono_Qua!G:H)</f>
        <v>0.22222222222222224</v>
      </c>
      <c r="I65" s="83">
        <f>MAX(Crono_Qua!G:H)</f>
        <v>0.4375</v>
      </c>
      <c r="J65" s="82">
        <f>MIN(Crono_Qua!H:I)</f>
        <v>0.22569444444444445</v>
      </c>
      <c r="K65" s="83">
        <f>MAX(Crono_Qua!H:I)</f>
        <v>0.44583333333333336</v>
      </c>
      <c r="L65" s="82">
        <f>MIN(Crono_Qua!I:J)</f>
        <v>0.23402777777777778</v>
      </c>
      <c r="M65" s="83">
        <f>MAX(Crono_Qua!I:J)</f>
        <v>0.45416666666666672</v>
      </c>
      <c r="N65" s="82">
        <f>MIN(Crono_Qua!J:K)</f>
        <v>0.24236111111111111</v>
      </c>
      <c r="O65" s="83">
        <f>MAX(Crono_Qua!J:K)</f>
        <v>0.45763888888888893</v>
      </c>
      <c r="P65" s="82">
        <f>MIN(Crono_Qua!K:L)</f>
        <v>0.24583333333333332</v>
      </c>
      <c r="Q65" s="83">
        <f>MAX(Crono_Qua!K:L)</f>
        <v>0.48541666666666672</v>
      </c>
      <c r="R65" s="82">
        <f>MIN(Crono_Qua!L:M)</f>
        <v>0.27361111111111108</v>
      </c>
      <c r="S65" s="83">
        <f>MAX(Crono_Qua!L:M)</f>
        <v>0.55138888888888893</v>
      </c>
      <c r="T65" s="82">
        <f>MIN(Crono_Qua!M:N)</f>
        <v>0.33958333333333329</v>
      </c>
      <c r="U65" s="83">
        <f>MAX(Crono_Qua!M:N)</f>
        <v>0.57569444444444451</v>
      </c>
      <c r="V65" s="82">
        <f>MIN(Crono_Qua!N:O)</f>
        <v>0.36388888888888882</v>
      </c>
      <c r="W65" s="83">
        <f>MAX(Crono_Qua!N:O)</f>
        <v>0.64166666666666672</v>
      </c>
      <c r="X65" s="82">
        <f>MIN(Crono_Qua!O:P)</f>
        <v>0.42986111111111103</v>
      </c>
      <c r="Y65" s="83">
        <f>MAX(Crono_Qua!O:P)</f>
        <v>0.6743055555555556</v>
      </c>
      <c r="Z65" s="82">
        <f>MIN(Crono_Qua!P:Q)</f>
        <v>0.46249999999999991</v>
      </c>
      <c r="AA65" s="83">
        <f>MAX(Crono_Qua!P:Q)</f>
        <v>0.71944444444444444</v>
      </c>
    </row>
    <row r="66" spans="1:27" ht="15.6" thickTop="1" thickBot="1" x14ac:dyDescent="0.35">
      <c r="A66" s="50"/>
      <c r="B66" s="75" t="s">
        <v>126</v>
      </c>
      <c r="C66" s="51"/>
      <c r="D66" s="109">
        <f>E65-D65</f>
        <v>6.6666666666666735E-2</v>
      </c>
      <c r="E66" s="109"/>
      <c r="F66" s="109">
        <f>G65-F65</f>
        <v>0.22569444444444445</v>
      </c>
      <c r="G66" s="109"/>
      <c r="H66" s="109">
        <f>I65-H65</f>
        <v>0.21527777777777776</v>
      </c>
      <c r="I66" s="109"/>
      <c r="J66" s="109">
        <f>K65-J65</f>
        <v>0.22013888888888891</v>
      </c>
      <c r="K66" s="109"/>
      <c r="L66" s="109">
        <f>M65-L65</f>
        <v>0.22013888888888894</v>
      </c>
      <c r="M66" s="109"/>
      <c r="N66" s="109">
        <f>O65-N65</f>
        <v>0.21527777777777782</v>
      </c>
      <c r="O66" s="109"/>
      <c r="P66" s="109">
        <f>Q65-P65</f>
        <v>0.2395833333333334</v>
      </c>
      <c r="Q66" s="109"/>
      <c r="R66" s="109">
        <f>S65-R65</f>
        <v>0.27777777777777785</v>
      </c>
      <c r="S66" s="109"/>
      <c r="T66" s="109">
        <f>U65-T65</f>
        <v>0.23611111111111122</v>
      </c>
      <c r="U66" s="109"/>
      <c r="V66" s="109">
        <f>W65-V65</f>
        <v>0.2777777777777779</v>
      </c>
      <c r="W66" s="109"/>
      <c r="X66" s="109">
        <f>Y65-X65</f>
        <v>0.24444444444444458</v>
      </c>
      <c r="Y66" s="109"/>
      <c r="Z66" s="109">
        <f>AA65-Z65</f>
        <v>0.25694444444444453</v>
      </c>
      <c r="AA66" s="109"/>
    </row>
    <row r="67" spans="1:27" ht="15.6" thickTop="1" thickBot="1" x14ac:dyDescent="0.35">
      <c r="A67" s="50">
        <f>A65+1</f>
        <v>43244</v>
      </c>
      <c r="B67" s="62" t="s">
        <v>87</v>
      </c>
      <c r="C67" s="51">
        <f>MAX(Crono_Qui!Q:Q)-MIN(Crono_Qui!D:D)</f>
        <v>0.52986111111111112</v>
      </c>
      <c r="D67" s="82">
        <f>MIN(Crono_Qui!D:D)</f>
        <v>0.19305555555555556</v>
      </c>
      <c r="E67" s="83">
        <f>MAX(Crono_Qui!D:D)</f>
        <v>0.29305555555555551</v>
      </c>
      <c r="F67" s="82">
        <f>MIN(Crono_Qui!E:F)</f>
        <v>0.21180555555555555</v>
      </c>
      <c r="G67" s="83">
        <f>MAX(Crono_Qui!E:F)</f>
        <v>0.49652777777777773</v>
      </c>
      <c r="H67" s="82">
        <f>MIN(Crono_Qui!G:H)</f>
        <v>0.22569444444444445</v>
      </c>
      <c r="I67" s="83">
        <f>MAX(Crono_Qui!G:H)</f>
        <v>0.44097222222222221</v>
      </c>
      <c r="J67" s="82">
        <f>MIN(Crono_Qui!H:I)</f>
        <v>0.22916666666666666</v>
      </c>
      <c r="K67" s="83">
        <f>MAX(Crono_Qui!H:I)</f>
        <v>0.45555555555555555</v>
      </c>
      <c r="L67" s="82">
        <f>MIN(Crono_Qui!I:J)</f>
        <v>0.23749999999999999</v>
      </c>
      <c r="M67" s="83">
        <f>MAX(Crono_Qui!I:J)</f>
        <v>0.47638888888888886</v>
      </c>
      <c r="N67" s="82">
        <f>MIN(Crono_Qui!J:K)</f>
        <v>0.24583333333333332</v>
      </c>
      <c r="O67" s="83">
        <f>MAX(Crono_Qui!J:K)</f>
        <v>0.50763888888888886</v>
      </c>
      <c r="P67" s="82">
        <f>MIN(Crono_Qui!K:L)</f>
        <v>0.24930555555555553</v>
      </c>
      <c r="Q67" s="83">
        <f>MAX(Crono_Qui!K:L)</f>
        <v>0.52847222222222223</v>
      </c>
      <c r="R67" s="82">
        <f>MIN(Crono_Qui!L:M)</f>
        <v>0.27708333333333329</v>
      </c>
      <c r="S67" s="83">
        <f>MAX(Crono_Qui!L:M)</f>
        <v>0.57361111111111107</v>
      </c>
      <c r="T67" s="82">
        <f>MIN(Crono_Qui!M:N)</f>
        <v>0.3430555555555555</v>
      </c>
      <c r="U67" s="83">
        <f>MAX(Crono_Qui!M:N)</f>
        <v>0.60486111111111107</v>
      </c>
      <c r="V67" s="82">
        <f>MIN(Crono_Qui!N:O)</f>
        <v>0.36736111111111103</v>
      </c>
      <c r="W67" s="83">
        <f>MAX(Crono_Qui!N:O)</f>
        <v>0.67083333333333328</v>
      </c>
      <c r="X67" s="82">
        <f>MIN(Crono_Qui!O:P)</f>
        <v>0.43333333333333324</v>
      </c>
      <c r="Y67" s="83">
        <f>MAX(Crono_Qui!O:P)</f>
        <v>0.67777777777777781</v>
      </c>
      <c r="Z67" s="82">
        <f>MIN(Crono_Qui!P:Q)</f>
        <v>0.46597222222222212</v>
      </c>
      <c r="AA67" s="83">
        <f>MAX(Crono_Qui!P:Q)</f>
        <v>0.72291666666666665</v>
      </c>
    </row>
    <row r="68" spans="1:27" ht="15.6" thickTop="1" thickBot="1" x14ac:dyDescent="0.35">
      <c r="A68" s="50"/>
      <c r="B68" s="75" t="s">
        <v>126</v>
      </c>
      <c r="C68" s="51"/>
      <c r="D68" s="109">
        <f>E67-D67</f>
        <v>9.999999999999995E-2</v>
      </c>
      <c r="E68" s="109"/>
      <c r="F68" s="109">
        <f>G67-F67</f>
        <v>0.28472222222222221</v>
      </c>
      <c r="G68" s="109"/>
      <c r="H68" s="109">
        <f>I67-H67</f>
        <v>0.21527777777777776</v>
      </c>
      <c r="I68" s="109"/>
      <c r="J68" s="109">
        <f>K67-J67</f>
        <v>0.22638888888888889</v>
      </c>
      <c r="K68" s="109"/>
      <c r="L68" s="109">
        <f>M67-L67</f>
        <v>0.23888888888888887</v>
      </c>
      <c r="M68" s="109"/>
      <c r="N68" s="109">
        <f>O67-N67</f>
        <v>0.26180555555555551</v>
      </c>
      <c r="O68" s="109"/>
      <c r="P68" s="109">
        <f>Q67-P67</f>
        <v>0.27916666666666667</v>
      </c>
      <c r="Q68" s="109"/>
      <c r="R68" s="109">
        <f>S67-R67</f>
        <v>0.29652777777777778</v>
      </c>
      <c r="S68" s="109"/>
      <c r="T68" s="109">
        <f>U67-T67</f>
        <v>0.26180555555555557</v>
      </c>
      <c r="U68" s="109"/>
      <c r="V68" s="109">
        <f>W67-V67</f>
        <v>0.30347222222222225</v>
      </c>
      <c r="W68" s="109"/>
      <c r="X68" s="109">
        <f>Y67-X67</f>
        <v>0.24444444444444458</v>
      </c>
      <c r="Y68" s="109"/>
      <c r="Z68" s="109">
        <f>AA67-Z67</f>
        <v>0.25694444444444453</v>
      </c>
      <c r="AA68" s="109"/>
    </row>
    <row r="69" spans="1:27" ht="15.6" customHeight="1" thickTop="1" thickBot="1" x14ac:dyDescent="0.35">
      <c r="A69" s="50">
        <f>A67+1</f>
        <v>43245</v>
      </c>
      <c r="B69" s="62" t="s">
        <v>88</v>
      </c>
      <c r="C69" s="51">
        <f>MAX(Crono_Sex!Q:Q)-MIN(Crono_Sex!D:D)</f>
        <v>0.50902777777777775</v>
      </c>
      <c r="D69" s="82">
        <f>MIN(Crono_Sex!D:D)</f>
        <v>0.19305555555555556</v>
      </c>
      <c r="E69" s="83">
        <f>MAX(Crono_Sex!D:D)</f>
        <v>0.26527777777777783</v>
      </c>
      <c r="F69" s="82">
        <f>MIN(Crono_Sex!E:F)</f>
        <v>0.21180555555555555</v>
      </c>
      <c r="G69" s="83">
        <f>MAX(Crono_Sex!E:F)</f>
        <v>0.41666666666666663</v>
      </c>
      <c r="H69" s="82">
        <f>MIN(Crono_Sex!G:H)</f>
        <v>0.22569444444444445</v>
      </c>
      <c r="I69" s="83">
        <f>MAX(Crono_Sex!G:H)</f>
        <v>0.42013888888888884</v>
      </c>
      <c r="J69" s="82">
        <f>MIN(Crono_Sex!H:I)</f>
        <v>0.22916666666666666</v>
      </c>
      <c r="K69" s="83">
        <f>MAX(Crono_Sex!H:I)</f>
        <v>0.4284722222222222</v>
      </c>
      <c r="L69" s="82">
        <f>MIN(Crono_Sex!I:J)</f>
        <v>0.23749999999999999</v>
      </c>
      <c r="M69" s="83">
        <f>MAX(Crono_Sex!I:J)</f>
        <v>0.43680555555555556</v>
      </c>
      <c r="N69" s="82">
        <f>MIN(Crono_Sex!J:K)</f>
        <v>0.24583333333333332</v>
      </c>
      <c r="O69" s="83">
        <f>MAX(Crono_Sex!J:K)</f>
        <v>0.44027777777777777</v>
      </c>
      <c r="P69" s="82">
        <f>MIN(Crono_Sex!K:L)</f>
        <v>0.24930555555555553</v>
      </c>
      <c r="Q69" s="83">
        <f>MAX(Crono_Sex!K:L)</f>
        <v>0.46805555555555556</v>
      </c>
      <c r="R69" s="82">
        <f>MIN(Crono_Sex!L:M)</f>
        <v>0.27708333333333329</v>
      </c>
      <c r="S69" s="83">
        <f>MAX(Crono_Sex!L:M)</f>
        <v>0.53402777777777777</v>
      </c>
      <c r="T69" s="82">
        <f>MIN(Crono_Sex!M:N)</f>
        <v>0.3430555555555555</v>
      </c>
      <c r="U69" s="83">
        <f>MAX(Crono_Sex!M:N)</f>
        <v>0.55833333333333335</v>
      </c>
      <c r="V69" s="82">
        <f>MIN(Crono_Sex!N:O)</f>
        <v>0.36736111111111103</v>
      </c>
      <c r="W69" s="83">
        <f>MAX(Crono_Sex!N:O)</f>
        <v>0.62430555555555556</v>
      </c>
      <c r="X69" s="82">
        <f>MIN(Crono_Sex!O:P)</f>
        <v>0.43333333333333324</v>
      </c>
      <c r="Y69" s="83">
        <f>MAX(Crono_Sex!O:P)</f>
        <v>0.65694444444444444</v>
      </c>
      <c r="Z69" s="82">
        <f>MIN(Crono_Sex!P:Q)</f>
        <v>0.46597222222222212</v>
      </c>
      <c r="AA69" s="83">
        <f>MAX(Crono_Sex!P:Q)</f>
        <v>0.70208333333333328</v>
      </c>
    </row>
    <row r="70" spans="1:27" ht="15.6" customHeight="1" thickTop="1" thickBot="1" x14ac:dyDescent="0.35">
      <c r="A70" s="50"/>
      <c r="B70" s="75" t="s">
        <v>126</v>
      </c>
      <c r="C70" s="51"/>
      <c r="D70" s="109">
        <f>E69-D69</f>
        <v>7.2222222222222271E-2</v>
      </c>
      <c r="E70" s="109"/>
      <c r="F70" s="109">
        <f>G69-F69</f>
        <v>0.20486111111111108</v>
      </c>
      <c r="G70" s="109"/>
      <c r="H70" s="109">
        <f>I69-H69</f>
        <v>0.19444444444444439</v>
      </c>
      <c r="I70" s="109"/>
      <c r="J70" s="109">
        <f>K69-J69</f>
        <v>0.19930555555555554</v>
      </c>
      <c r="K70" s="109"/>
      <c r="L70" s="109">
        <f>M69-L69</f>
        <v>0.19930555555555557</v>
      </c>
      <c r="M70" s="109"/>
      <c r="N70" s="109">
        <f>O69-N69</f>
        <v>0.19444444444444445</v>
      </c>
      <c r="O70" s="109"/>
      <c r="P70" s="109">
        <f>Q69-P69</f>
        <v>0.21875000000000003</v>
      </c>
      <c r="Q70" s="109"/>
      <c r="R70" s="109">
        <f>S69-R69</f>
        <v>0.25694444444444448</v>
      </c>
      <c r="S70" s="109"/>
      <c r="T70" s="109">
        <f>U69-T69</f>
        <v>0.21527777777777785</v>
      </c>
      <c r="U70" s="109"/>
      <c r="V70" s="109">
        <f>W69-V69</f>
        <v>0.25694444444444453</v>
      </c>
      <c r="W70" s="109"/>
      <c r="X70" s="109">
        <f>Y69-X69</f>
        <v>0.2236111111111112</v>
      </c>
      <c r="Y70" s="109"/>
      <c r="Z70" s="109">
        <f>AA69-Z69</f>
        <v>0.23611111111111116</v>
      </c>
      <c r="AA70" s="109"/>
    </row>
    <row r="71" spans="1:27" ht="15.6" customHeight="1" thickTop="1" thickBot="1" x14ac:dyDescent="0.35">
      <c r="A71" s="50">
        <f>A69+1</f>
        <v>43246</v>
      </c>
      <c r="B71" s="62" t="s">
        <v>89</v>
      </c>
      <c r="C71" s="51">
        <f>MAX(Crono_Sab!Q:Q)-MIN(Crono_Sab!D:D)</f>
        <v>0.54374999999999996</v>
      </c>
      <c r="D71" s="82">
        <f>MIN(Crono_Sab!D:D)</f>
        <v>0.19305555555555556</v>
      </c>
      <c r="E71" s="83">
        <f>MAX(Crono_Sab!D:D)</f>
        <v>0.28194444444444444</v>
      </c>
      <c r="F71" s="82">
        <f>MIN(Crono_Sab!E:F)</f>
        <v>0.21388888888888891</v>
      </c>
      <c r="G71" s="83">
        <f>MAX(Crono_Sab!E:F)</f>
        <v>0.4513888888888889</v>
      </c>
      <c r="H71" s="82">
        <f>MIN(Crono_Sab!G:H)</f>
        <v>0.2277777777777778</v>
      </c>
      <c r="I71" s="83">
        <f>MAX(Crono_Sab!G:H)</f>
        <v>0.4548611111111111</v>
      </c>
      <c r="J71" s="82">
        <f>MIN(Crono_Sab!H:I)</f>
        <v>0.23125000000000001</v>
      </c>
      <c r="K71" s="83">
        <f>MAX(Crono_Sab!H:I)</f>
        <v>0.46319444444444446</v>
      </c>
      <c r="L71" s="82">
        <f>MIN(Crono_Sab!I:J)</f>
        <v>0.23958333333333334</v>
      </c>
      <c r="M71" s="83">
        <f>MAX(Crono_Sab!I:J)</f>
        <v>0.47152777777777782</v>
      </c>
      <c r="N71" s="82">
        <f>MIN(Crono_Sab!J:K)</f>
        <v>0.24791666666666667</v>
      </c>
      <c r="O71" s="83">
        <f>MAX(Crono_Sab!J:K)</f>
        <v>0.49305555555555558</v>
      </c>
      <c r="P71" s="82">
        <f>MIN(Crono_Sab!K:L)</f>
        <v>0.25138888888888888</v>
      </c>
      <c r="Q71" s="83">
        <f>MAX(Crono_Sab!K:L)</f>
        <v>0.51388888888888895</v>
      </c>
      <c r="R71" s="82">
        <f>MIN(Crono_Sab!L:M)</f>
        <v>0.27916666666666667</v>
      </c>
      <c r="S71" s="83">
        <f>MAX(Crono_Sab!L:M)</f>
        <v>0.56874999999999998</v>
      </c>
      <c r="T71" s="82">
        <f>MIN(Crono_Sab!M:N)</f>
        <v>0.34513888888888888</v>
      </c>
      <c r="U71" s="83">
        <f>MAX(Crono_Sab!M:N)</f>
        <v>0.59305555555555556</v>
      </c>
      <c r="V71" s="82">
        <f>MIN(Crono_Sab!N:O)</f>
        <v>0.36944444444444446</v>
      </c>
      <c r="W71" s="83">
        <f>MAX(Crono_Sab!N:O)</f>
        <v>0.65902777777777777</v>
      </c>
      <c r="X71" s="82">
        <f>MIN(Crono_Sab!O:P)</f>
        <v>0.43541666666666667</v>
      </c>
      <c r="Y71" s="83">
        <f>MAX(Crono_Sab!O:P)</f>
        <v>0.69166666666666665</v>
      </c>
      <c r="Z71" s="82">
        <f>MIN(Crono_Sab!P:Q)</f>
        <v>0.46805555555555556</v>
      </c>
      <c r="AA71" s="83">
        <f>MAX(Crono_Sab!P:Q)</f>
        <v>0.73680555555555549</v>
      </c>
    </row>
    <row r="72" spans="1:27" ht="15.6" customHeight="1" thickTop="1" thickBot="1" x14ac:dyDescent="0.35">
      <c r="A72" s="76"/>
      <c r="B72" s="75" t="s">
        <v>126</v>
      </c>
      <c r="C72" s="77"/>
      <c r="D72" s="109">
        <f>E71-D71</f>
        <v>8.8888888888888878E-2</v>
      </c>
      <c r="E72" s="109"/>
      <c r="F72" s="109">
        <f>G71-F71</f>
        <v>0.23749999999999999</v>
      </c>
      <c r="G72" s="109"/>
      <c r="H72" s="109">
        <f>I71-H71</f>
        <v>0.2270833333333333</v>
      </c>
      <c r="I72" s="109"/>
      <c r="J72" s="109">
        <f>K71-J71</f>
        <v>0.23194444444444445</v>
      </c>
      <c r="K72" s="109"/>
      <c r="L72" s="109">
        <f>M71-L71</f>
        <v>0.23194444444444448</v>
      </c>
      <c r="M72" s="109"/>
      <c r="N72" s="109">
        <f>O71-N71</f>
        <v>0.24513888888888891</v>
      </c>
      <c r="O72" s="109"/>
      <c r="P72" s="109">
        <f>Q71-P71</f>
        <v>0.26250000000000007</v>
      </c>
      <c r="Q72" s="109"/>
      <c r="R72" s="109">
        <f>S71-R71</f>
        <v>0.2895833333333333</v>
      </c>
      <c r="S72" s="109"/>
      <c r="T72" s="109">
        <f>U71-T71</f>
        <v>0.24791666666666667</v>
      </c>
      <c r="U72" s="109"/>
      <c r="V72" s="109">
        <f>W71-V71</f>
        <v>0.2895833333333333</v>
      </c>
      <c r="W72" s="109"/>
      <c r="X72" s="109">
        <f>Y71-X71</f>
        <v>0.25624999999999998</v>
      </c>
      <c r="Y72" s="109"/>
      <c r="Z72" s="109">
        <f>AA71-Z71</f>
        <v>0.26874999999999993</v>
      </c>
      <c r="AA72" s="109"/>
    </row>
    <row r="73" spans="1:27" ht="15" customHeight="1" thickTop="1" x14ac:dyDescent="0.3">
      <c r="A73" s="86"/>
      <c r="B73" s="113" t="s">
        <v>125</v>
      </c>
      <c r="C73" s="114">
        <f>AVERAGE(C61:C71)</f>
        <v>0.5365740740740742</v>
      </c>
      <c r="D73" s="87">
        <f>AVERAGE(D61,D63,D65,D67,D69)</f>
        <v>0.19305555555555556</v>
      </c>
      <c r="E73" s="87">
        <f>AVERAGE(E61,E63,E65,E67,E69)</f>
        <v>0.27416666666666673</v>
      </c>
      <c r="F73" s="80">
        <f>AVERAGE(F61,F63,F65,F67,F69)</f>
        <v>0.20972222222222223</v>
      </c>
      <c r="G73" s="87">
        <f>AVERAGE(G61,G63,G65,G67,G69)</f>
        <v>0.44374999999999998</v>
      </c>
      <c r="H73" s="87">
        <f>AVERAGE(H61,H63,H65,H67,H69)</f>
        <v>0.22361111111111112</v>
      </c>
      <c r="I73" s="87">
        <f>AVERAGE(I61,I63,I65,I67,I69)</f>
        <v>0.43541666666666667</v>
      </c>
      <c r="J73" s="80">
        <f>AVERAGE(J61,J63,J65,J67,J69)</f>
        <v>0.22708333333333336</v>
      </c>
      <c r="K73" s="87">
        <f>AVERAGE(K61,K63,K65,K67,K69)</f>
        <v>0.45972222222222225</v>
      </c>
      <c r="L73" s="80">
        <f>AVERAGE(L61,L63,L65,L67,L69)</f>
        <v>0.23541666666666669</v>
      </c>
      <c r="M73" s="87">
        <f>AVERAGE(M61,M63,M65,M67,M69)</f>
        <v>0.47555555555555545</v>
      </c>
      <c r="N73" s="87">
        <f>AVERAGE(N61,N63,N65,N67,N69)</f>
        <v>0.24374999999999999</v>
      </c>
      <c r="O73" s="87">
        <f>AVERAGE(O61,O63,O65,O67,O69)</f>
        <v>0.49569444444444438</v>
      </c>
      <c r="P73" s="80">
        <f>AVERAGE(P61,P63,P65,P67,P69)</f>
        <v>0.24722222222222218</v>
      </c>
      <c r="Q73" s="87">
        <f>AVERAGE(Q61,Q63,Q65,Q67,Q69)</f>
        <v>0.51930555555555558</v>
      </c>
      <c r="R73" s="87">
        <f>AVERAGE(R61,R63,R65,R67,R69)</f>
        <v>0.27500000000000002</v>
      </c>
      <c r="S73" s="87">
        <f>AVERAGE(S61,S63,S65,S67,S69)</f>
        <v>0.57277777777777783</v>
      </c>
      <c r="T73" s="80">
        <f>AVERAGE(T61,T63,T65,T67,T69)</f>
        <v>0.34097222222222212</v>
      </c>
      <c r="U73" s="87">
        <f>AVERAGE(U61,U63,U65,U67,U69)</f>
        <v>0.60125000000000006</v>
      </c>
      <c r="V73" s="87">
        <f>AVERAGE(V61,V63,V65,V67,V69)</f>
        <v>0.3652777777777777</v>
      </c>
      <c r="W73" s="87">
        <f>AVERAGE(W61,W63,W65,W67,W69)</f>
        <v>0.66722222222222216</v>
      </c>
      <c r="X73" s="80">
        <f>AVERAGE(X61,X63,X65,X67,X69)</f>
        <v>0.43124999999999991</v>
      </c>
      <c r="Y73" s="87">
        <f>AVERAGE(Y61,Y63,Y65,Y67,Y69)</f>
        <v>0.68305555555555564</v>
      </c>
      <c r="Z73" s="80">
        <f>AVERAGE(Z61,Z63,Z65,Z67,Z69)</f>
        <v>0.46388888888888885</v>
      </c>
      <c r="AA73" s="87">
        <f>AVERAGE(AA61,AA63,AA65,AA67,AA69)</f>
        <v>0.72819444444444448</v>
      </c>
    </row>
    <row r="74" spans="1:27" ht="15.6" x14ac:dyDescent="0.3">
      <c r="A74" s="86"/>
      <c r="B74" s="113"/>
      <c r="C74" s="114"/>
      <c r="D74" s="112">
        <f>AVERAGE(D62,D64,D66,D68,D70)</f>
        <v>8.1111111111111134E-2</v>
      </c>
      <c r="E74" s="112"/>
      <c r="F74" s="112">
        <f>AVERAGE(F62,F64,F66,F68,F70)</f>
        <v>0.23402777777777778</v>
      </c>
      <c r="G74" s="112"/>
      <c r="H74" s="112">
        <f>AVERAGE(H62,H64,H66,H68,H70)</f>
        <v>0.21180555555555552</v>
      </c>
      <c r="I74" s="112"/>
      <c r="J74" s="112">
        <f>AVERAGE(J62,J64,J66,J68,J70)</f>
        <v>0.2326388888888889</v>
      </c>
      <c r="K74" s="112"/>
      <c r="L74" s="112">
        <f>AVERAGE(L62,L64,L66,L68,L70)</f>
        <v>0.2401388888888889</v>
      </c>
      <c r="M74" s="112"/>
      <c r="N74" s="112">
        <f>AVERAGE(N62,N64,N66,N68,N70)</f>
        <v>0.25194444444444442</v>
      </c>
      <c r="O74" s="112"/>
      <c r="P74" s="112">
        <f>AVERAGE(P62,P64,P66,P68,P70)</f>
        <v>0.27208333333333334</v>
      </c>
      <c r="Q74" s="112"/>
      <c r="R74" s="112">
        <f>AVERAGE(R62,R64,R66,R68,R70)</f>
        <v>0.29777777777777781</v>
      </c>
      <c r="S74" s="112"/>
      <c r="T74" s="112">
        <f>AVERAGE(T62,T64,T66,T68,T70)</f>
        <v>0.26027777777777783</v>
      </c>
      <c r="U74" s="112"/>
      <c r="V74" s="112">
        <f>AVERAGE(V62,V64,V66,V68,V70)</f>
        <v>0.30194444444444446</v>
      </c>
      <c r="W74" s="112"/>
      <c r="X74" s="112">
        <f>AVERAGE(X62,X64,X66,X68,X70)</f>
        <v>0.25180555555555562</v>
      </c>
      <c r="Y74" s="112"/>
      <c r="Z74" s="112">
        <f>AVERAGE(Z62,Z64,Z66,Z68,Z70)</f>
        <v>0.26430555555555557</v>
      </c>
      <c r="AA74" s="112"/>
    </row>
    <row r="75" spans="1:27" ht="14.4" customHeight="1" x14ac:dyDescent="0.3">
      <c r="D75" s="73" t="s">
        <v>1</v>
      </c>
      <c r="E75" s="73"/>
      <c r="F75" s="73" t="s">
        <v>2</v>
      </c>
      <c r="G75" s="73" t="s">
        <v>2</v>
      </c>
      <c r="H75" s="73" t="s">
        <v>3</v>
      </c>
      <c r="I75" s="73" t="s">
        <v>3</v>
      </c>
      <c r="J75" s="73" t="s">
        <v>4</v>
      </c>
      <c r="K75" s="73" t="s">
        <v>4</v>
      </c>
      <c r="L75" s="73" t="s">
        <v>5</v>
      </c>
      <c r="M75" s="73" t="s">
        <v>5</v>
      </c>
      <c r="N75" s="73" t="s">
        <v>6</v>
      </c>
      <c r="O75" s="73" t="s">
        <v>6</v>
      </c>
      <c r="P75" s="73" t="s">
        <v>7</v>
      </c>
      <c r="Q75" s="73" t="s">
        <v>7</v>
      </c>
      <c r="R75" s="73" t="s">
        <v>122</v>
      </c>
      <c r="S75" s="73" t="s">
        <v>122</v>
      </c>
      <c r="T75" s="73" t="s">
        <v>9</v>
      </c>
      <c r="U75" s="73" t="s">
        <v>10</v>
      </c>
      <c r="V75" s="73" t="s">
        <v>10</v>
      </c>
      <c r="W75" s="73" t="s">
        <v>11</v>
      </c>
      <c r="X75" s="73" t="s">
        <v>11</v>
      </c>
      <c r="Y75" s="73" t="s">
        <v>121</v>
      </c>
      <c r="Z75" s="73" t="s">
        <v>121</v>
      </c>
      <c r="AA75" s="73"/>
    </row>
    <row r="76" spans="1:27" x14ac:dyDescent="0.3">
      <c r="D76" s="1"/>
      <c r="E76" s="1"/>
      <c r="F76" s="1"/>
      <c r="G76" s="1"/>
    </row>
  </sheetData>
  <mergeCells count="38">
    <mergeCell ref="L5:L6"/>
    <mergeCell ref="M5:M6"/>
    <mergeCell ref="A5:A6"/>
    <mergeCell ref="B5:B6"/>
    <mergeCell ref="C5:C6"/>
    <mergeCell ref="H5:H6"/>
    <mergeCell ref="I5:I6"/>
    <mergeCell ref="J5:J6"/>
    <mergeCell ref="K5:K6"/>
    <mergeCell ref="D5:D6"/>
    <mergeCell ref="E5:E6"/>
    <mergeCell ref="F5:F6"/>
    <mergeCell ref="G5:G6"/>
    <mergeCell ref="L32:L33"/>
    <mergeCell ref="M32:M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D59:E59"/>
    <mergeCell ref="F59:G59"/>
    <mergeCell ref="H59:I59"/>
    <mergeCell ref="J59:K59"/>
    <mergeCell ref="L59:M59"/>
    <mergeCell ref="N59:O59"/>
    <mergeCell ref="P59:Q59"/>
    <mergeCell ref="R59:S59"/>
    <mergeCell ref="Z59:AA59"/>
    <mergeCell ref="T59:U59"/>
    <mergeCell ref="V59:W59"/>
    <mergeCell ref="X59:Y59"/>
  </mergeCells>
  <conditionalFormatting sqref="M17:M19 A5:D5 A17:J19 A59:C59 D62 AC62:XFD62 F62 H62 J62 L62 N62 P62 R62 T62 V62 X62 Z62 N6:XFD6 P7:XFD12 H5:XFD5 A20:XFD31 A1:XFD4 A58:AA58 AB58:XFD60 D61:XFD61 N33:XFD33 H32:XFD32 A47:XFD57 D74 AB63:XFD77 A75 A76:AA77 A7:M16 O13:XFD19 N13:N15 A40:M43 O43:XFD46 P34:XFD42 A87:XFD1048576">
    <cfRule type="cellIs" dxfId="110" priority="499" operator="equal">
      <formula>0</formula>
    </cfRule>
  </conditionalFormatting>
  <conditionalFormatting sqref="N7:O12">
    <cfRule type="cellIs" dxfId="109" priority="498" operator="equal">
      <formula>0</formula>
    </cfRule>
  </conditionalFormatting>
  <conditionalFormatting sqref="E5">
    <cfRule type="cellIs" dxfId="108" priority="497" operator="equal">
      <formula>0</formula>
    </cfRule>
  </conditionalFormatting>
  <conditionalFormatting sqref="F5">
    <cfRule type="cellIs" dxfId="107" priority="496" operator="equal">
      <formula>0</formula>
    </cfRule>
  </conditionalFormatting>
  <conditionalFormatting sqref="G5">
    <cfRule type="cellIs" dxfId="106" priority="495" operator="equal">
      <formula>0</formula>
    </cfRule>
  </conditionalFormatting>
  <conditionalFormatting sqref="M44:M46 A32:D32 A44:J46 A34:M39">
    <cfRule type="cellIs" dxfId="105" priority="494" operator="equal">
      <formula>0</formula>
    </cfRule>
  </conditionalFormatting>
  <conditionalFormatting sqref="E32">
    <cfRule type="cellIs" dxfId="104" priority="492" operator="equal">
      <formula>0</formula>
    </cfRule>
  </conditionalFormatting>
  <conditionalFormatting sqref="F32">
    <cfRule type="cellIs" dxfId="103" priority="491" operator="equal">
      <formula>0</formula>
    </cfRule>
  </conditionalFormatting>
  <conditionalFormatting sqref="G32">
    <cfRule type="cellIs" dxfId="102" priority="490" operator="equal">
      <formula>0</formula>
    </cfRule>
  </conditionalFormatting>
  <conditionalFormatting sqref="A60:C73 A74">
    <cfRule type="cellIs" dxfId="101" priority="489" operator="equal">
      <formula>0</formula>
    </cfRule>
  </conditionalFormatting>
  <conditionalFormatting sqref="E61">
    <cfRule type="cellIs" dxfId="100" priority="132" operator="equal">
      <formula>0</formula>
    </cfRule>
  </conditionalFormatting>
  <conditionalFormatting sqref="F59">
    <cfRule type="cellIs" dxfId="99" priority="81" operator="equal">
      <formula>0</formula>
    </cfRule>
  </conditionalFormatting>
  <conditionalFormatting sqref="D60 F60 H60 J60 L60 N60 P60 R60 T60 V60 X60 Z60">
    <cfRule type="cellIs" dxfId="98" priority="116" operator="equal">
      <formula>0</formula>
    </cfRule>
  </conditionalFormatting>
  <conditionalFormatting sqref="E60 G60 I60 K60 M60 O60 Q60 S60 U60 W60 Y60 AA60">
    <cfRule type="cellIs" dxfId="97" priority="115" operator="equal">
      <formula>0</formula>
    </cfRule>
  </conditionalFormatting>
  <conditionalFormatting sqref="D59">
    <cfRule type="cellIs" dxfId="96" priority="113" operator="equal">
      <formula>0</formula>
    </cfRule>
  </conditionalFormatting>
  <conditionalFormatting sqref="L59">
    <cfRule type="cellIs" dxfId="95" priority="78" operator="equal">
      <formula>0</formula>
    </cfRule>
  </conditionalFormatting>
  <conditionalFormatting sqref="N59">
    <cfRule type="cellIs" dxfId="94" priority="77" operator="equal">
      <formula>0</formula>
    </cfRule>
  </conditionalFormatting>
  <conditionalFormatting sqref="J59">
    <cfRule type="cellIs" dxfId="93" priority="79" operator="equal">
      <formula>0</formula>
    </cfRule>
  </conditionalFormatting>
  <conditionalFormatting sqref="V59">
    <cfRule type="cellIs" dxfId="92" priority="73" operator="equal">
      <formula>0</formula>
    </cfRule>
  </conditionalFormatting>
  <conditionalFormatting sqref="Z59">
    <cfRule type="cellIs" dxfId="91" priority="71" operator="equal">
      <formula>0</formula>
    </cfRule>
  </conditionalFormatting>
  <conditionalFormatting sqref="X59">
    <cfRule type="cellIs" dxfId="90" priority="72" operator="equal">
      <formula>0</formula>
    </cfRule>
  </conditionalFormatting>
  <conditionalFormatting sqref="H59">
    <cfRule type="cellIs" dxfId="89" priority="80" operator="equal">
      <formula>0</formula>
    </cfRule>
  </conditionalFormatting>
  <conditionalFormatting sqref="P59">
    <cfRule type="cellIs" dxfId="88" priority="76" operator="equal">
      <formula>0</formula>
    </cfRule>
  </conditionalFormatting>
  <conditionalFormatting sqref="T59">
    <cfRule type="cellIs" dxfId="87" priority="74" operator="equal">
      <formula>0</formula>
    </cfRule>
  </conditionalFormatting>
  <conditionalFormatting sqref="R59">
    <cfRule type="cellIs" dxfId="86" priority="75" operator="equal">
      <formula>0</formula>
    </cfRule>
  </conditionalFormatting>
  <conditionalFormatting sqref="D72 D63:AA63 D65:AA65 D67:AA67 D69:AA69 D71:AA71 F72 H72 J72 L72 N72 P72 R72 T72 V72 X72 Z72">
    <cfRule type="cellIs" dxfId="85" priority="69" operator="equal">
      <formula>0</formula>
    </cfRule>
  </conditionalFormatting>
  <conditionalFormatting sqref="E63 E65 E67 E69 E71">
    <cfRule type="cellIs" dxfId="84" priority="68" operator="equal">
      <formula>0</formula>
    </cfRule>
  </conditionalFormatting>
  <conditionalFormatting sqref="G61 I61 K61 M61 O61 Q61 S61 U61 W61 Y61 AA61">
    <cfRule type="cellIs" dxfId="83" priority="67" operator="equal">
      <formula>0</formula>
    </cfRule>
  </conditionalFormatting>
  <conditionalFormatting sqref="G63 I63 K63 M63 O63 Q63 S63 U63 W63 Y63 AA63">
    <cfRule type="cellIs" dxfId="82" priority="66" operator="equal">
      <formula>0</formula>
    </cfRule>
  </conditionalFormatting>
  <conditionalFormatting sqref="G65 I65 K65 M65 O65 Q65 S65 U65 W65 Y65 AA65">
    <cfRule type="cellIs" dxfId="81" priority="65" operator="equal">
      <formula>0</formula>
    </cfRule>
  </conditionalFormatting>
  <conditionalFormatting sqref="G67 I67 K67 M67 O67 Q67 S67 U67 W67 Y67 AA67">
    <cfRule type="cellIs" dxfId="80" priority="64" operator="equal">
      <formula>0</formula>
    </cfRule>
  </conditionalFormatting>
  <conditionalFormatting sqref="G69 I69 K69 M69 O69 Q69 S69 U69 W69 Y69 AA69">
    <cfRule type="cellIs" dxfId="79" priority="63" operator="equal">
      <formula>0</formula>
    </cfRule>
  </conditionalFormatting>
  <conditionalFormatting sqref="G71 I71 K71 M71 O71 Q71 S71 U71 W71 Y71 AA71">
    <cfRule type="cellIs" dxfId="78" priority="62" operator="equal">
      <formula>0</formula>
    </cfRule>
  </conditionalFormatting>
  <conditionalFormatting sqref="D64 F64 H64 J64 L64 N64 P64 R64 T64 V64 X64 Z64">
    <cfRule type="cellIs" dxfId="77" priority="61" operator="equal">
      <formula>0</formula>
    </cfRule>
  </conditionalFormatting>
  <conditionalFormatting sqref="D66 F66 H66 J66 L66 N66 P66 R66 T66 V66 X66 Z66">
    <cfRule type="cellIs" dxfId="76" priority="60" operator="equal">
      <formula>0</formula>
    </cfRule>
  </conditionalFormatting>
  <conditionalFormatting sqref="D68 F68 H68 J68 L68 N68 P68 R68 T68 V68 X68 Z68">
    <cfRule type="cellIs" dxfId="75" priority="59" operator="equal">
      <formula>0</formula>
    </cfRule>
  </conditionalFormatting>
  <conditionalFormatting sqref="D70 F70 H70 J70 L70 N70 P70 R70 T70 V70 X70 Z70">
    <cfRule type="cellIs" dxfId="74" priority="58" operator="equal">
      <formula>0</formula>
    </cfRule>
  </conditionalFormatting>
  <conditionalFormatting sqref="D73">
    <cfRule type="cellIs" dxfId="73" priority="57" operator="equal">
      <formula>0</formula>
    </cfRule>
  </conditionalFormatting>
  <conditionalFormatting sqref="E73">
    <cfRule type="cellIs" dxfId="72" priority="56" operator="equal">
      <formula>0</formula>
    </cfRule>
  </conditionalFormatting>
  <conditionalFormatting sqref="F73">
    <cfRule type="cellIs" dxfId="71" priority="55" operator="equal">
      <formula>0</formula>
    </cfRule>
  </conditionalFormatting>
  <conditionalFormatting sqref="G73">
    <cfRule type="cellIs" dxfId="70" priority="54" operator="equal">
      <formula>0</formula>
    </cfRule>
  </conditionalFormatting>
  <conditionalFormatting sqref="H73">
    <cfRule type="cellIs" dxfId="69" priority="53" operator="equal">
      <formula>0</formula>
    </cfRule>
  </conditionalFormatting>
  <conditionalFormatting sqref="I73">
    <cfRule type="cellIs" dxfId="68" priority="52" operator="equal">
      <formula>0</formula>
    </cfRule>
  </conditionalFormatting>
  <conditionalFormatting sqref="J73">
    <cfRule type="cellIs" dxfId="67" priority="51" operator="equal">
      <formula>0</formula>
    </cfRule>
  </conditionalFormatting>
  <conditionalFormatting sqref="K73">
    <cfRule type="cellIs" dxfId="66" priority="50" operator="equal">
      <formula>0</formula>
    </cfRule>
  </conditionalFormatting>
  <conditionalFormatting sqref="L73">
    <cfRule type="cellIs" dxfId="65" priority="49" operator="equal">
      <formula>0</formula>
    </cfRule>
  </conditionalFormatting>
  <conditionalFormatting sqref="M73">
    <cfRule type="cellIs" dxfId="64" priority="48" operator="equal">
      <formula>0</formula>
    </cfRule>
  </conditionalFormatting>
  <conditionalFormatting sqref="O73">
    <cfRule type="cellIs" dxfId="63" priority="46" operator="equal">
      <formula>0</formula>
    </cfRule>
  </conditionalFormatting>
  <conditionalFormatting sqref="P73">
    <cfRule type="cellIs" dxfId="62" priority="45" operator="equal">
      <formula>0</formula>
    </cfRule>
  </conditionalFormatting>
  <conditionalFormatting sqref="Q73">
    <cfRule type="cellIs" dxfId="61" priority="44" operator="equal">
      <formula>0</formula>
    </cfRule>
  </conditionalFormatting>
  <conditionalFormatting sqref="R73">
    <cfRule type="cellIs" dxfId="60" priority="43" operator="equal">
      <formula>0</formula>
    </cfRule>
  </conditionalFormatting>
  <conditionalFormatting sqref="S73">
    <cfRule type="cellIs" dxfId="59" priority="42" operator="equal">
      <formula>0</formula>
    </cfRule>
  </conditionalFormatting>
  <conditionalFormatting sqref="T73">
    <cfRule type="cellIs" dxfId="58" priority="41" operator="equal">
      <formula>0</formula>
    </cfRule>
  </conditionalFormatting>
  <conditionalFormatting sqref="U73">
    <cfRule type="cellIs" dxfId="57" priority="40" operator="equal">
      <formula>0</formula>
    </cfRule>
  </conditionalFormatting>
  <conditionalFormatting sqref="V73">
    <cfRule type="cellIs" dxfId="56" priority="39" operator="equal">
      <formula>0</formula>
    </cfRule>
  </conditionalFormatting>
  <conditionalFormatting sqref="W73">
    <cfRule type="cellIs" dxfId="55" priority="38" operator="equal">
      <formula>0</formula>
    </cfRule>
  </conditionalFormatting>
  <conditionalFormatting sqref="X73">
    <cfRule type="cellIs" dxfId="54" priority="37" operator="equal">
      <formula>0</formula>
    </cfRule>
  </conditionalFormatting>
  <conditionalFormatting sqref="Y73">
    <cfRule type="cellIs" dxfId="53" priority="36" operator="equal">
      <formula>0</formula>
    </cfRule>
  </conditionalFormatting>
  <conditionalFormatting sqref="Z73">
    <cfRule type="cellIs" dxfId="52" priority="35" operator="equal">
      <formula>0</formula>
    </cfRule>
  </conditionalFormatting>
  <conditionalFormatting sqref="AA73">
    <cfRule type="cellIs" dxfId="51" priority="34" operator="equal">
      <formula>0</formula>
    </cfRule>
  </conditionalFormatting>
  <conditionalFormatting sqref="F74">
    <cfRule type="cellIs" dxfId="50" priority="32" operator="equal">
      <formula>0</formula>
    </cfRule>
  </conditionalFormatting>
  <conditionalFormatting sqref="H74">
    <cfRule type="cellIs" dxfId="49" priority="31" operator="equal">
      <formula>0</formula>
    </cfRule>
  </conditionalFormatting>
  <conditionalFormatting sqref="J74">
    <cfRule type="cellIs" dxfId="48" priority="30" operator="equal">
      <formula>0</formula>
    </cfRule>
  </conditionalFormatting>
  <conditionalFormatting sqref="L74">
    <cfRule type="cellIs" dxfId="47" priority="29" operator="equal">
      <formula>0</formula>
    </cfRule>
  </conditionalFormatting>
  <conditionalFormatting sqref="N74">
    <cfRule type="cellIs" dxfId="46" priority="28" operator="equal">
      <formula>0</formula>
    </cfRule>
  </conditionalFormatting>
  <conditionalFormatting sqref="P74">
    <cfRule type="cellIs" dxfId="45" priority="27" operator="equal">
      <formula>0</formula>
    </cfRule>
  </conditionalFormatting>
  <conditionalFormatting sqref="R74">
    <cfRule type="cellIs" dxfId="44" priority="26" operator="equal">
      <formula>0</formula>
    </cfRule>
  </conditionalFormatting>
  <conditionalFormatting sqref="T74">
    <cfRule type="cellIs" dxfId="43" priority="25" operator="equal">
      <formula>0</formula>
    </cfRule>
  </conditionalFormatting>
  <conditionalFormatting sqref="V74">
    <cfRule type="cellIs" dxfId="42" priority="24" operator="equal">
      <formula>0</formula>
    </cfRule>
  </conditionalFormatting>
  <conditionalFormatting sqref="X74">
    <cfRule type="cellIs" dxfId="41" priority="23" operator="equal">
      <formula>0</formula>
    </cfRule>
  </conditionalFormatting>
  <conditionalFormatting sqref="Z74">
    <cfRule type="cellIs" dxfId="40" priority="22" operator="equal">
      <formula>0</formula>
    </cfRule>
  </conditionalFormatting>
  <conditionalFormatting sqref="N73">
    <cfRule type="cellIs" dxfId="39" priority="21" operator="equal">
      <formula>0</formula>
    </cfRule>
  </conditionalFormatting>
  <conditionalFormatting sqref="F75">
    <cfRule type="cellIs" dxfId="38" priority="11" operator="equal">
      <formula>0</formula>
    </cfRule>
  </conditionalFormatting>
  <conditionalFormatting sqref="D75">
    <cfRule type="cellIs" dxfId="37" priority="12" operator="equal">
      <formula>0</formula>
    </cfRule>
  </conditionalFormatting>
  <conditionalFormatting sqref="L75">
    <cfRule type="cellIs" dxfId="36" priority="8" operator="equal">
      <formula>0</formula>
    </cfRule>
  </conditionalFormatting>
  <conditionalFormatting sqref="N75">
    <cfRule type="cellIs" dxfId="35" priority="7" operator="equal">
      <formula>0</formula>
    </cfRule>
  </conditionalFormatting>
  <conditionalFormatting sqref="J75">
    <cfRule type="cellIs" dxfId="34" priority="9" operator="equal">
      <formula>0</formula>
    </cfRule>
  </conditionalFormatting>
  <conditionalFormatting sqref="V75">
    <cfRule type="cellIs" dxfId="33" priority="3" operator="equal">
      <formula>0</formula>
    </cfRule>
  </conditionalFormatting>
  <conditionalFormatting sqref="Z75">
    <cfRule type="cellIs" dxfId="32" priority="1" operator="equal">
      <formula>0</formula>
    </cfRule>
  </conditionalFormatting>
  <conditionalFormatting sqref="X75">
    <cfRule type="cellIs" dxfId="31" priority="2" operator="equal">
      <formula>0</formula>
    </cfRule>
  </conditionalFormatting>
  <conditionalFormatting sqref="H75">
    <cfRule type="cellIs" dxfId="30" priority="10" operator="equal">
      <formula>0</formula>
    </cfRule>
  </conditionalFormatting>
  <conditionalFormatting sqref="P75">
    <cfRule type="cellIs" dxfId="29" priority="6" operator="equal">
      <formula>0</formula>
    </cfRule>
  </conditionalFormatting>
  <conditionalFormatting sqref="T75">
    <cfRule type="cellIs" dxfId="28" priority="4" operator="equal">
      <formula>0</formula>
    </cfRule>
  </conditionalFormatting>
  <conditionalFormatting sqref="R75">
    <cfRule type="cellIs" dxfId="27" priority="5" operator="equal">
      <formula>0</formula>
    </cfRule>
  </conditionalFormatting>
  <hyperlinks>
    <hyperlink ref="B7" location="Crono_Seg!A1" display="Segunda-feira" xr:uid="{012850A6-EB8C-42D6-8F0D-0ACEEE4F05DD}"/>
    <hyperlink ref="B8" location="Crono_Ter!A1" display="Terça-feira" xr:uid="{A6C1EE9A-DB7B-4EA3-B5CF-A94F3A1CC0AB}"/>
    <hyperlink ref="B9" location="Crono_Qua!A1" display="Quarta-feira" xr:uid="{C07BB0CA-C060-4933-A227-B5026D5F4229}"/>
    <hyperlink ref="B10" location="Crono_Qui!A1" display="Quinta-feira" xr:uid="{01AC8965-A221-47D1-BB5A-6BE7B4C7CEE9}"/>
    <hyperlink ref="B11" location="Crono_Sex!A1" display="Sexta-feira" xr:uid="{2A49687A-890D-4DB9-BC58-51F474D4285D}"/>
    <hyperlink ref="B12" location="Crono_Sab!A1" display="Sábado" xr:uid="{BAE5EAD1-156E-430E-9ADF-FB8272F82F0B}"/>
    <hyperlink ref="B34" location="Crono_Seg!A1" display="Segunda-feira" xr:uid="{2F88F17E-A0E5-4530-9214-B1D2AC75490B}"/>
    <hyperlink ref="B35" location="Crono_Ter!A1" display="Terça-feira" xr:uid="{0AA509EB-F660-44DC-B619-7BC0F23C1EC6}"/>
    <hyperlink ref="B36" location="Crono_Qua!A1" display="Quarta-feira" xr:uid="{09E38CEF-9AAC-4FFB-AFF9-B87640C49C27}"/>
    <hyperlink ref="B37" location="Crono_Qui!A1" display="Quinta-feira" xr:uid="{D804A4F3-BE47-410E-9FDF-BC03416D64C6}"/>
    <hyperlink ref="B38" location="Crono_Sex!A1" display="Sexta-feira" xr:uid="{62EC155B-D52B-4003-A8A4-922FEC97239E}"/>
    <hyperlink ref="B39" location="Crono_Sab!A1" display="Sábado" xr:uid="{998F621E-D178-4F87-93E8-A156467F6A95}"/>
    <hyperlink ref="B61" location="Crono_Seg!A1" display="Segunda-feira" xr:uid="{EB0B7A78-DEB3-48AB-9771-AB7CC4D44691}"/>
    <hyperlink ref="B63" location="Crono_Ter!A1" display="Terça-feira" xr:uid="{B46E82CE-C1BB-4037-8C39-426F5B830B4F}"/>
    <hyperlink ref="B65" location="Crono_Qua!A1" display="Quarta-feira" xr:uid="{5C6EBD53-BE24-42C5-85E1-F20522FE6AA5}"/>
    <hyperlink ref="B67" location="Crono_Qui!A1" display="Quinta-feira" xr:uid="{BE2DCA84-A9DC-4AEA-A7E0-99BA13D380CD}"/>
    <hyperlink ref="B69" location="Crono_Sex!A1" display="Sexta-feira" xr:uid="{843F8966-F30E-44EB-A0E1-C147AA2EC438}"/>
    <hyperlink ref="B71" location="Crono_Sab!A1" display="Sábado" xr:uid="{17E76BD5-9123-440C-B7B7-8245CBC70718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1"/>
  <cellWatches>
    <cellWatch r="C7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618E6-0E90-41C5-95A1-2045D09650FF}">
  <dimension ref="A2:M51"/>
  <sheetViews>
    <sheetView workbookViewId="0">
      <selection activeCell="B4" sqref="B4"/>
    </sheetView>
  </sheetViews>
  <sheetFormatPr defaultRowHeight="14.4" x14ac:dyDescent="0.3"/>
  <cols>
    <col min="2" max="2" width="12" bestFit="1" customWidth="1"/>
    <col min="3" max="3" width="11.77734375" bestFit="1" customWidth="1"/>
  </cols>
  <sheetData>
    <row r="2" spans="1:13" ht="14.4" customHeight="1" x14ac:dyDescent="0.3">
      <c r="A2" s="115"/>
      <c r="B2" s="106" t="s">
        <v>134</v>
      </c>
      <c r="C2" s="106" t="s">
        <v>111</v>
      </c>
      <c r="D2" s="94" t="s">
        <v>235</v>
      </c>
      <c r="E2" s="94"/>
      <c r="F2" s="95" t="s">
        <v>236</v>
      </c>
      <c r="G2" s="94" t="s">
        <v>237</v>
      </c>
      <c r="H2" s="94"/>
      <c r="I2" s="95" t="s">
        <v>241</v>
      </c>
      <c r="J2" s="95" t="s">
        <v>242</v>
      </c>
      <c r="K2" s="95" t="s">
        <v>243</v>
      </c>
      <c r="L2" s="95" t="s">
        <v>244</v>
      </c>
      <c r="M2" s="95" t="s">
        <v>245</v>
      </c>
    </row>
    <row r="3" spans="1:13" x14ac:dyDescent="0.3">
      <c r="A3" s="115"/>
      <c r="B3" s="107"/>
      <c r="C3" s="107"/>
      <c r="D3" s="96" t="s">
        <v>238</v>
      </c>
      <c r="E3" s="97" t="s">
        <v>239</v>
      </c>
      <c r="F3" s="95"/>
      <c r="G3" s="96" t="s">
        <v>238</v>
      </c>
      <c r="H3" s="96" t="s">
        <v>240</v>
      </c>
      <c r="I3" s="95"/>
      <c r="J3" s="95"/>
      <c r="K3" s="95"/>
      <c r="L3" s="95"/>
      <c r="M3" s="95"/>
    </row>
    <row r="4" spans="1:13" x14ac:dyDescent="0.3">
      <c r="A4">
        <v>1</v>
      </c>
      <c r="B4" s="105" t="s">
        <v>129</v>
      </c>
      <c r="C4" s="98" t="s">
        <v>254</v>
      </c>
      <c r="D4" s="99">
        <v>0.21041666666666667</v>
      </c>
      <c r="E4" s="99">
        <v>0.4375</v>
      </c>
      <c r="F4" s="100">
        <f>IFERROR(SUM(E4-D4),0)</f>
        <v>0.22708333333333333</v>
      </c>
      <c r="G4" s="99">
        <v>0.47916666666666669</v>
      </c>
      <c r="H4" s="99">
        <v>0.56597222222222221</v>
      </c>
      <c r="I4" s="100">
        <f>IFERROR(SUM(H4-G4),0)</f>
        <v>8.6805555555555525E-2</v>
      </c>
      <c r="J4" s="102">
        <f>SUM(F4+I4)</f>
        <v>0.31388888888888888</v>
      </c>
      <c r="K4" s="104" t="s">
        <v>260</v>
      </c>
      <c r="L4" s="103">
        <f>IF(F4=0,0,IF(((F4+I4)-K4)&gt;0,((F4+I4)-K4),0))</f>
        <v>8.3333333333333592E-3</v>
      </c>
      <c r="M4" s="103">
        <f>IF(D4=0,0,IF(J4-K4&gt;0,0,ABS(J4-K4)))</f>
        <v>0</v>
      </c>
    </row>
    <row r="5" spans="1:13" x14ac:dyDescent="0.3">
      <c r="A5">
        <v>1</v>
      </c>
      <c r="B5" s="105" t="s">
        <v>128</v>
      </c>
      <c r="C5" s="98" t="s">
        <v>254</v>
      </c>
      <c r="D5" s="99">
        <v>0.21597222222222223</v>
      </c>
      <c r="E5" s="99">
        <v>0.41666666666666669</v>
      </c>
      <c r="F5" s="100">
        <f>IFERROR(SUM(E5-D5),0)</f>
        <v>0.20069444444444445</v>
      </c>
      <c r="G5" s="99">
        <v>0.45833333333333331</v>
      </c>
      <c r="H5" s="99">
        <v>0.63402777777777775</v>
      </c>
      <c r="I5" s="100">
        <f>IFERROR(SUM(H5-G5),0)</f>
        <v>0.17569444444444443</v>
      </c>
      <c r="J5" s="102">
        <f>SUM(F5+I5)</f>
        <v>0.37638888888888888</v>
      </c>
      <c r="K5" s="104" t="s">
        <v>260</v>
      </c>
      <c r="L5" s="103">
        <f>IF(F5=0,0,IF(((F5+I5)-K5)&gt;0,((F5+I5)-K5),0))</f>
        <v>7.0833333333333359E-2</v>
      </c>
      <c r="M5" s="103">
        <f>IF(D5=0,0,IF(J5-K5&gt;0,0,ABS(J5-K5)))</f>
        <v>0</v>
      </c>
    </row>
    <row r="6" spans="1:13" x14ac:dyDescent="0.3">
      <c r="A6">
        <v>1</v>
      </c>
      <c r="B6" s="105" t="s">
        <v>131</v>
      </c>
      <c r="C6" s="98" t="s">
        <v>254</v>
      </c>
      <c r="D6" s="99">
        <v>0.32916666666666666</v>
      </c>
      <c r="E6" s="99">
        <v>0.55972222222222223</v>
      </c>
      <c r="F6" s="100">
        <f>IFERROR(SUM(E6-D6),0)</f>
        <v>0.23055555555555557</v>
      </c>
      <c r="G6" s="99">
        <v>0.60138888888888886</v>
      </c>
      <c r="H6" s="99">
        <v>0.6777777777777777</v>
      </c>
      <c r="I6" s="100">
        <f>IFERROR(SUM(H6-G6),0)</f>
        <v>7.638888888888884E-2</v>
      </c>
      <c r="J6" s="102">
        <f>SUM(F6+I6)</f>
        <v>0.30694444444444441</v>
      </c>
      <c r="K6" s="104" t="s">
        <v>260</v>
      </c>
      <c r="L6" s="103">
        <f>IF(F6=0,0,IF(((F6+I6)-K6)&gt;0,((F6+I6)-K6),0))</f>
        <v>1.388888888888884E-3</v>
      </c>
      <c r="M6" s="103">
        <f>IF(D6=0,0,IF(J6-K6&gt;0,0,ABS(J6-K6)))</f>
        <v>0</v>
      </c>
    </row>
    <row r="7" spans="1:13" x14ac:dyDescent="0.3">
      <c r="A7">
        <v>1</v>
      </c>
      <c r="B7" s="105" t="s">
        <v>246</v>
      </c>
      <c r="C7" s="98" t="s">
        <v>254</v>
      </c>
      <c r="D7" s="99">
        <v>0.4236111111111111</v>
      </c>
      <c r="E7" s="99">
        <v>0.54583333333333328</v>
      </c>
      <c r="F7" s="100">
        <f>IFERROR(SUM(E7-D7),0)</f>
        <v>0.12222222222222218</v>
      </c>
      <c r="G7" s="99">
        <v>0.58750000000000002</v>
      </c>
      <c r="H7" s="99">
        <v>0.71875</v>
      </c>
      <c r="I7" s="100">
        <f>IFERROR(SUM(H7-G7),0)</f>
        <v>0.13124999999999998</v>
      </c>
      <c r="J7" s="102">
        <f>SUM(F7+I7)</f>
        <v>0.25347222222222215</v>
      </c>
      <c r="K7" s="104" t="s">
        <v>260</v>
      </c>
      <c r="L7" s="103">
        <f>IF(F7=0,0,IF(((F7+I7)-K7)&gt;0,((F7+I7)-K7),0))</f>
        <v>0</v>
      </c>
      <c r="M7" s="103">
        <f>IF(D7=0,0,IF(J7-K7&gt;0,0,ABS(J7-K7)))</f>
        <v>5.208333333333337E-2</v>
      </c>
    </row>
    <row r="8" spans="1:13" x14ac:dyDescent="0.3">
      <c r="A8">
        <v>1</v>
      </c>
      <c r="B8" s="105" t="s">
        <v>247</v>
      </c>
      <c r="C8" s="98" t="s">
        <v>254</v>
      </c>
      <c r="D8" s="99">
        <v>0.41805555555555557</v>
      </c>
      <c r="E8" s="99">
        <v>0.50694444444444442</v>
      </c>
      <c r="F8" s="100">
        <f>IFERROR(SUM(E8-D8),0)</f>
        <v>8.8888888888888851E-2</v>
      </c>
      <c r="G8" s="99">
        <v>0.54722222222222217</v>
      </c>
      <c r="H8" s="99">
        <v>0.75069444444444444</v>
      </c>
      <c r="I8" s="100">
        <f>IFERROR(SUM(H8-G8),0)</f>
        <v>0.20347222222222228</v>
      </c>
      <c r="J8" s="102">
        <f>SUM(F8+I8)</f>
        <v>0.29236111111111113</v>
      </c>
      <c r="K8" s="104" t="s">
        <v>260</v>
      </c>
      <c r="L8" s="103">
        <f>IF(F8=0,0,IF(((F8+I8)-K8)&gt;0,((F8+I8)-K8),0))</f>
        <v>0</v>
      </c>
      <c r="M8" s="103">
        <f>IF(D8=0,0,IF(J8-K8&gt;0,0,ABS(J8-K8)))</f>
        <v>1.3194444444444398E-2</v>
      </c>
    </row>
    <row r="9" spans="1:13" x14ac:dyDescent="0.3">
      <c r="A9">
        <v>1</v>
      </c>
      <c r="B9" s="105" t="s">
        <v>132</v>
      </c>
      <c r="C9" s="98" t="s">
        <v>254</v>
      </c>
      <c r="D9" s="99"/>
      <c r="E9" s="99"/>
      <c r="F9" s="100">
        <f>IFERROR(SUM(E9-D9),0)</f>
        <v>0</v>
      </c>
      <c r="G9" s="99"/>
      <c r="H9" s="99"/>
      <c r="I9" s="100">
        <f>IFERROR(SUM(H9-G9),0)</f>
        <v>0</v>
      </c>
      <c r="J9" s="102">
        <f>SUM(F9+I9)</f>
        <v>0</v>
      </c>
      <c r="K9" s="104" t="s">
        <v>260</v>
      </c>
      <c r="L9" s="103">
        <f>IF(F9=0,0,IF(((F9+I9)-K9)&gt;0,((F9+I9)-K9),0))</f>
        <v>0</v>
      </c>
      <c r="M9" s="103">
        <f>IF(D9=0,0,IF(J9-K9&gt;0,0,ABS(J9-K9)))</f>
        <v>0</v>
      </c>
    </row>
    <row r="10" spans="1:13" x14ac:dyDescent="0.3">
      <c r="A10">
        <v>1</v>
      </c>
      <c r="B10" s="105" t="s">
        <v>130</v>
      </c>
      <c r="C10" s="98" t="s">
        <v>254</v>
      </c>
      <c r="D10" s="99">
        <v>0.16944444444444443</v>
      </c>
      <c r="E10" s="99">
        <v>0.4375</v>
      </c>
      <c r="F10" s="100">
        <f>IFERROR(SUM(E10-D10),0)</f>
        <v>0.2680555555555556</v>
      </c>
      <c r="G10" s="99">
        <v>0.47986111111111113</v>
      </c>
      <c r="H10" s="99">
        <v>0.54652777777777783</v>
      </c>
      <c r="I10" s="100">
        <f>IFERROR(SUM(H10-G10),0)</f>
        <v>6.6666666666666707E-2</v>
      </c>
      <c r="J10" s="102">
        <f>SUM(F10+I10)</f>
        <v>0.33472222222222231</v>
      </c>
      <c r="K10" s="104" t="s">
        <v>260</v>
      </c>
      <c r="L10" s="103">
        <f>IF(F10=0,0,IF(((F10+I10)-K10)&gt;0,((F10+I10)-K10),0))</f>
        <v>2.9166666666666785E-2</v>
      </c>
      <c r="M10" s="103">
        <f>IF(D10=0,0,IF(J10-K10&gt;0,0,ABS(J10-K10)))</f>
        <v>0</v>
      </c>
    </row>
    <row r="11" spans="1:13" x14ac:dyDescent="0.3">
      <c r="A11">
        <v>1</v>
      </c>
      <c r="B11" s="105" t="s">
        <v>127</v>
      </c>
      <c r="C11" s="98" t="s">
        <v>254</v>
      </c>
      <c r="D11" s="99"/>
      <c r="E11" s="99"/>
      <c r="F11" s="100">
        <f>IFERROR(SUM(E11-D11),0)</f>
        <v>0</v>
      </c>
      <c r="G11" s="99"/>
      <c r="H11" s="99"/>
      <c r="I11" s="100">
        <f>IFERROR(SUM(H11-G11),0)</f>
        <v>0</v>
      </c>
      <c r="J11" s="102">
        <f>SUM(F11+I11)</f>
        <v>0</v>
      </c>
      <c r="K11" s="104" t="s">
        <v>260</v>
      </c>
      <c r="L11" s="103">
        <f>IF(F11=0,0,IF(((F11+I11)-K11)&gt;0,((F11+I11)-K11),0))</f>
        <v>0</v>
      </c>
      <c r="M11" s="103">
        <f>IF(D11=0,0,IF(J11-K11&gt;0,0,ABS(J11-K11)))</f>
        <v>0</v>
      </c>
    </row>
    <row r="12" spans="1:13" x14ac:dyDescent="0.3">
      <c r="A12">
        <v>2</v>
      </c>
      <c r="B12" s="105" t="s">
        <v>129</v>
      </c>
      <c r="C12" s="98" t="s">
        <v>255</v>
      </c>
      <c r="D12" s="99">
        <v>0.21180555555555555</v>
      </c>
      <c r="E12" s="99">
        <v>0.46180555555555558</v>
      </c>
      <c r="F12" s="100">
        <f>IFERROR(SUM(E12-D12),0)</f>
        <v>0.25</v>
      </c>
      <c r="G12" s="99">
        <v>0.50347222222222221</v>
      </c>
      <c r="H12" s="99">
        <v>0.60416666666666663</v>
      </c>
      <c r="I12" s="100">
        <f>IFERROR(SUM(H12-G12),0)</f>
        <v>0.10069444444444442</v>
      </c>
      <c r="J12" s="102">
        <f>SUM(F12+I12)</f>
        <v>0.35069444444444442</v>
      </c>
      <c r="K12" s="104" t="s">
        <v>260</v>
      </c>
      <c r="L12" s="103">
        <f>IF(F12=0,0,IF(((F12+I12)-K12)&gt;0,((F12+I12)-K12),0))</f>
        <v>4.5138888888888895E-2</v>
      </c>
      <c r="M12" s="103">
        <f>IF(D12=0,0,IF(J12-K12&gt;0,0,ABS(J12-K12)))</f>
        <v>0</v>
      </c>
    </row>
    <row r="13" spans="1:13" x14ac:dyDescent="0.3">
      <c r="A13">
        <v>2</v>
      </c>
      <c r="B13" s="105" t="s">
        <v>128</v>
      </c>
      <c r="C13" s="98" t="s">
        <v>255</v>
      </c>
      <c r="D13" s="99">
        <v>0.21527777777777779</v>
      </c>
      <c r="E13" s="99">
        <v>0.49305555555555558</v>
      </c>
      <c r="F13" s="100">
        <f>IFERROR(SUM(E13-D13),0)</f>
        <v>0.27777777777777779</v>
      </c>
      <c r="G13" s="99">
        <v>0.53472222222222221</v>
      </c>
      <c r="H13" s="99">
        <v>0.60069444444444442</v>
      </c>
      <c r="I13" s="100">
        <f>IFERROR(SUM(H13-G13),0)</f>
        <v>6.597222222222221E-2</v>
      </c>
      <c r="J13" s="102">
        <f>SUM(F13+I13)</f>
        <v>0.34375</v>
      </c>
      <c r="K13" s="104" t="s">
        <v>260</v>
      </c>
      <c r="L13" s="103">
        <f>IF(F13=0,0,IF(((F13+I13)-K13)&gt;0,((F13+I13)-K13),0))</f>
        <v>3.8194444444444475E-2</v>
      </c>
      <c r="M13" s="103">
        <f>IF(D13=0,0,IF(J13-K13&gt;0,0,ABS(J13-K13)))</f>
        <v>0</v>
      </c>
    </row>
    <row r="14" spans="1:13" x14ac:dyDescent="0.3">
      <c r="A14">
        <v>2</v>
      </c>
      <c r="B14" s="105" t="s">
        <v>131</v>
      </c>
      <c r="C14" s="98" t="s">
        <v>255</v>
      </c>
      <c r="D14" s="99">
        <v>0.33194444444444443</v>
      </c>
      <c r="E14" s="99">
        <v>0.52430555555555558</v>
      </c>
      <c r="F14" s="100">
        <f>IFERROR(SUM(E14-D14),0)</f>
        <v>0.19236111111111115</v>
      </c>
      <c r="G14" s="99">
        <v>0.56597222222222221</v>
      </c>
      <c r="H14" s="99">
        <v>0.68055555555555547</v>
      </c>
      <c r="I14" s="100">
        <f>IFERROR(SUM(H14-G14),0)</f>
        <v>0.11458333333333326</v>
      </c>
      <c r="J14" s="102">
        <f>SUM(F14+I14)</f>
        <v>0.30694444444444441</v>
      </c>
      <c r="K14" s="104" t="s">
        <v>260</v>
      </c>
      <c r="L14" s="103">
        <f>IF(F14=0,0,IF(((F14+I14)-K14)&gt;0,((F14+I14)-K14),0))</f>
        <v>1.388888888888884E-3</v>
      </c>
      <c r="M14" s="103">
        <f>IF(D14=0,0,IF(J14-K14&gt;0,0,ABS(J14-K14)))</f>
        <v>0</v>
      </c>
    </row>
    <row r="15" spans="1:13" x14ac:dyDescent="0.3">
      <c r="A15">
        <v>2</v>
      </c>
      <c r="B15" s="105" t="s">
        <v>246</v>
      </c>
      <c r="C15" s="98" t="s">
        <v>255</v>
      </c>
      <c r="D15" s="99">
        <v>0.42291666666666666</v>
      </c>
      <c r="E15" s="99">
        <v>0.46875</v>
      </c>
      <c r="F15" s="100">
        <f>IFERROR(SUM(E15-D15),0)</f>
        <v>4.5833333333333337E-2</v>
      </c>
      <c r="G15" s="99">
        <v>0.5083333333333333</v>
      </c>
      <c r="H15" s="99">
        <v>0.76041666666666663</v>
      </c>
      <c r="I15" s="100">
        <f>IFERROR(SUM(H15-G15),0)</f>
        <v>0.25208333333333333</v>
      </c>
      <c r="J15" s="102">
        <f>SUM(F15+I15)</f>
        <v>0.29791666666666666</v>
      </c>
      <c r="K15" s="104" t="s">
        <v>260</v>
      </c>
      <c r="L15" s="103">
        <f>IF(F15=0,0,IF(((F15+I15)-K15)&gt;0,((F15+I15)-K15),0))</f>
        <v>0</v>
      </c>
      <c r="M15" s="103">
        <f>IF(D15=0,0,IF(J15-K15&gt;0,0,ABS(J15-K15)))</f>
        <v>7.6388888888888618E-3</v>
      </c>
    </row>
    <row r="16" spans="1:13" x14ac:dyDescent="0.3">
      <c r="A16">
        <v>2</v>
      </c>
      <c r="B16" s="105" t="s">
        <v>247</v>
      </c>
      <c r="C16" s="98" t="s">
        <v>255</v>
      </c>
      <c r="D16" s="99">
        <v>0.3354166666666667</v>
      </c>
      <c r="E16" s="99">
        <v>0.46249999999999997</v>
      </c>
      <c r="F16" s="100">
        <f>IFERROR(SUM(E16-D16),0)</f>
        <v>0.12708333333333327</v>
      </c>
      <c r="G16" s="99">
        <v>0.50347222222222221</v>
      </c>
      <c r="H16" s="99">
        <v>0.73958333333333337</v>
      </c>
      <c r="I16" s="100">
        <f>IFERROR(SUM(H16-G16),0)</f>
        <v>0.23611111111111116</v>
      </c>
      <c r="J16" s="102">
        <f>SUM(F16+I16)</f>
        <v>0.36319444444444443</v>
      </c>
      <c r="K16" s="104" t="s">
        <v>260</v>
      </c>
      <c r="L16" s="103">
        <f>IF(F16=0,0,IF(((F16+I16)-K16)&gt;0,((F16+I16)-K16),0))</f>
        <v>5.7638888888888906E-2</v>
      </c>
      <c r="M16" s="103">
        <f>IF(D16=0,0,IF(J16-K16&gt;0,0,ABS(J16-K16)))</f>
        <v>0</v>
      </c>
    </row>
    <row r="17" spans="1:13" x14ac:dyDescent="0.3">
      <c r="A17">
        <v>2</v>
      </c>
      <c r="B17" s="105" t="s">
        <v>132</v>
      </c>
      <c r="C17" s="98" t="s">
        <v>255</v>
      </c>
      <c r="D17" s="99"/>
      <c r="E17" s="99"/>
      <c r="F17" s="100">
        <f>IFERROR(SUM(E17-D17),0)</f>
        <v>0</v>
      </c>
      <c r="G17" s="99"/>
      <c r="H17" s="99"/>
      <c r="I17" s="100">
        <f>IFERROR(SUM(H17-G17),0)</f>
        <v>0</v>
      </c>
      <c r="J17" s="102">
        <f>SUM(F17+I17)</f>
        <v>0</v>
      </c>
      <c r="K17" s="104" t="s">
        <v>260</v>
      </c>
      <c r="L17" s="103">
        <f>IF(F17=0,0,IF(((F17+I17)-K17)&gt;0,((F17+I17)-K17),0))</f>
        <v>0</v>
      </c>
      <c r="M17" s="103">
        <f>IF(D17=0,0,IF(J17-K17&gt;0,0,ABS(J17-K17)))</f>
        <v>0</v>
      </c>
    </row>
    <row r="18" spans="1:13" x14ac:dyDescent="0.3">
      <c r="A18">
        <v>2</v>
      </c>
      <c r="B18" s="105" t="s">
        <v>130</v>
      </c>
      <c r="C18" s="98" t="s">
        <v>255</v>
      </c>
      <c r="D18" s="99">
        <v>0.16805555555555554</v>
      </c>
      <c r="E18" s="99">
        <v>0.4375</v>
      </c>
      <c r="F18" s="100">
        <f>IFERROR(SUM(E18-D18),0)</f>
        <v>0.26944444444444449</v>
      </c>
      <c r="G18" s="99">
        <v>0.47986111111111113</v>
      </c>
      <c r="H18" s="99">
        <v>0.58333333333333337</v>
      </c>
      <c r="I18" s="100">
        <f>IFERROR(SUM(H18-G18),0)</f>
        <v>0.10347222222222224</v>
      </c>
      <c r="J18" s="102">
        <f>SUM(F18+I18)</f>
        <v>0.37291666666666673</v>
      </c>
      <c r="K18" s="104" t="s">
        <v>260</v>
      </c>
      <c r="L18" s="103">
        <f>IF(F18=0,0,IF(((F18+I18)-K18)&gt;0,((F18+I18)-K18),0))</f>
        <v>6.7361111111111205E-2</v>
      </c>
      <c r="M18" s="103">
        <f>IF(D18=0,0,IF(J18-K18&gt;0,0,ABS(J18-K18)))</f>
        <v>0</v>
      </c>
    </row>
    <row r="19" spans="1:13" x14ac:dyDescent="0.3">
      <c r="A19">
        <v>2</v>
      </c>
      <c r="B19" s="105" t="s">
        <v>127</v>
      </c>
      <c r="C19" s="98" t="s">
        <v>255</v>
      </c>
      <c r="D19" s="99"/>
      <c r="E19" s="99"/>
      <c r="F19" s="100">
        <f>IFERROR(SUM(E19-D19),0)</f>
        <v>0</v>
      </c>
      <c r="G19" s="99"/>
      <c r="H19" s="99"/>
      <c r="I19" s="100">
        <f>IFERROR(SUM(H19-G19),0)</f>
        <v>0</v>
      </c>
      <c r="J19" s="102">
        <f>SUM(F19+I19)</f>
        <v>0</v>
      </c>
      <c r="K19" s="104" t="s">
        <v>260</v>
      </c>
      <c r="L19" s="103">
        <f>IF(F19=0,0,IF(((F19+I19)-K19)&gt;0,((F19+I19)-K19),0))</f>
        <v>0</v>
      </c>
      <c r="M19" s="103">
        <f>IF(D19=0,0,IF(J19-K19&gt;0,0,ABS(J19-K19)))</f>
        <v>0</v>
      </c>
    </row>
    <row r="20" spans="1:13" x14ac:dyDescent="0.3">
      <c r="A20">
        <v>3</v>
      </c>
      <c r="B20" s="105" t="s">
        <v>129</v>
      </c>
      <c r="C20" s="98" t="s">
        <v>256</v>
      </c>
      <c r="D20" s="99">
        <v>0.20972222222222223</v>
      </c>
      <c r="E20" s="99">
        <v>0.44791666666666669</v>
      </c>
      <c r="F20" s="100">
        <f>IFERROR(SUM(E20-D20),0)</f>
        <v>0.23819444444444446</v>
      </c>
      <c r="G20" s="99">
        <v>0.48958333333333331</v>
      </c>
      <c r="H20" s="99">
        <v>0.59375</v>
      </c>
      <c r="I20" s="100">
        <f>IFERROR(SUM(H20-G20),0)</f>
        <v>0.10416666666666669</v>
      </c>
      <c r="J20" s="102">
        <f>SUM(F20+I20)</f>
        <v>0.34236111111111112</v>
      </c>
      <c r="K20" s="104" t="s">
        <v>260</v>
      </c>
      <c r="L20" s="103">
        <f>IF(F20=0,0,IF(((F20+I20)-K20)&gt;0,((F20+I20)-K20),0))</f>
        <v>3.6805555555555591E-2</v>
      </c>
      <c r="M20" s="103">
        <f>IF(D20=0,0,IF(J20-K20&gt;0,0,ABS(J20-K20)))</f>
        <v>0</v>
      </c>
    </row>
    <row r="21" spans="1:13" x14ac:dyDescent="0.3">
      <c r="A21">
        <v>3</v>
      </c>
      <c r="B21" s="105" t="s">
        <v>128</v>
      </c>
      <c r="C21" s="98" t="s">
        <v>256</v>
      </c>
      <c r="D21" s="99">
        <v>0.21180555555555555</v>
      </c>
      <c r="E21" s="99">
        <v>0.51041666666666663</v>
      </c>
      <c r="F21" s="100">
        <f>IFERROR(SUM(E21-D21),0)</f>
        <v>0.29861111111111105</v>
      </c>
      <c r="G21" s="99">
        <v>0.55208333333333337</v>
      </c>
      <c r="H21" s="99">
        <v>0.59027777777777779</v>
      </c>
      <c r="I21" s="100">
        <f>IFERROR(SUM(H21-G21),0)</f>
        <v>3.819444444444442E-2</v>
      </c>
      <c r="J21" s="102">
        <f>SUM(F21+I21)</f>
        <v>0.33680555555555547</v>
      </c>
      <c r="K21" s="104" t="s">
        <v>260</v>
      </c>
      <c r="L21" s="103">
        <f>IF(F21=0,0,IF(((F21+I21)-K21)&gt;0,((F21+I21)-K21),0))</f>
        <v>3.1249999999999944E-2</v>
      </c>
      <c r="M21" s="103">
        <f>IF(D21=0,0,IF(J21-K21&gt;0,0,ABS(J21-K21)))</f>
        <v>0</v>
      </c>
    </row>
    <row r="22" spans="1:13" x14ac:dyDescent="0.3">
      <c r="A22">
        <v>3</v>
      </c>
      <c r="B22" s="105" t="s">
        <v>131</v>
      </c>
      <c r="C22" s="98" t="s">
        <v>256</v>
      </c>
      <c r="D22" s="99">
        <v>0.33333333333333331</v>
      </c>
      <c r="E22" s="99">
        <v>0.52222222222222225</v>
      </c>
      <c r="F22" s="100">
        <f>IFERROR(SUM(E22-D22),0)</f>
        <v>0.18888888888888894</v>
      </c>
      <c r="G22" s="99">
        <v>0.56388888888888888</v>
      </c>
      <c r="H22" s="99">
        <v>0.68055555555555547</v>
      </c>
      <c r="I22" s="100">
        <f>IFERROR(SUM(H22-G22),0)</f>
        <v>0.11666666666666659</v>
      </c>
      <c r="J22" s="102">
        <f>SUM(F22+I22)</f>
        <v>0.30555555555555552</v>
      </c>
      <c r="K22" s="104" t="s">
        <v>260</v>
      </c>
      <c r="L22" s="103">
        <f>IF(F22=0,0,IF(((F22+I22)-K22)&gt;0,((F22+I22)-K22),0))</f>
        <v>0</v>
      </c>
      <c r="M22" s="103">
        <f>IF(D22=0,0,IF(J22-K22&gt;0,0,ABS(J22-K22)))</f>
        <v>0</v>
      </c>
    </row>
    <row r="23" spans="1:13" x14ac:dyDescent="0.3">
      <c r="A23">
        <v>3</v>
      </c>
      <c r="B23" s="105" t="s">
        <v>246</v>
      </c>
      <c r="C23" s="98" t="s">
        <v>256</v>
      </c>
      <c r="D23" s="99">
        <v>0.42083333333333334</v>
      </c>
      <c r="E23" s="99">
        <v>0.51388888888888895</v>
      </c>
      <c r="F23" s="100">
        <f>IFERROR(SUM(E23-D23),0)</f>
        <v>9.3055555555555614E-2</v>
      </c>
      <c r="G23" s="99">
        <v>0.55486111111111114</v>
      </c>
      <c r="H23" s="99">
        <v>0.7583333333333333</v>
      </c>
      <c r="I23" s="100">
        <f>IFERROR(SUM(H23-G23),0)</f>
        <v>0.20347222222222217</v>
      </c>
      <c r="J23" s="102">
        <f>SUM(F23+I23)</f>
        <v>0.29652777777777778</v>
      </c>
      <c r="K23" s="104" t="s">
        <v>260</v>
      </c>
      <c r="L23" s="103">
        <f>IF(F23=0,0,IF(((F23+I23)-K23)&gt;0,((F23+I23)-K23),0))</f>
        <v>0</v>
      </c>
      <c r="M23" s="103">
        <f>IF(D23=0,0,IF(J23-K23&gt;0,0,ABS(J23-K23)))</f>
        <v>9.0277777777777457E-3</v>
      </c>
    </row>
    <row r="24" spans="1:13" x14ac:dyDescent="0.3">
      <c r="A24">
        <v>3</v>
      </c>
      <c r="B24" s="105" t="s">
        <v>247</v>
      </c>
      <c r="C24" s="98" t="s">
        <v>256</v>
      </c>
      <c r="D24" s="99">
        <v>0.33333333333333331</v>
      </c>
      <c r="E24" s="99">
        <v>0.46875</v>
      </c>
      <c r="F24" s="100">
        <f>IFERROR(SUM(E24-D24),0)</f>
        <v>0.13541666666666669</v>
      </c>
      <c r="G24" s="99">
        <v>0.51111111111111118</v>
      </c>
      <c r="H24" s="99">
        <v>0.74236111111111114</v>
      </c>
      <c r="I24" s="100">
        <f>IFERROR(SUM(H24-G24),0)</f>
        <v>0.23124999999999996</v>
      </c>
      <c r="J24" s="102">
        <f>SUM(F24+I24)</f>
        <v>0.36666666666666664</v>
      </c>
      <c r="K24" s="104" t="s">
        <v>260</v>
      </c>
      <c r="L24" s="103">
        <f>IF(F24=0,0,IF(((F24+I24)-K24)&gt;0,((F24+I24)-K24),0))</f>
        <v>6.1111111111111116E-2</v>
      </c>
      <c r="M24" s="103">
        <f>IF(D24=0,0,IF(J24-K24&gt;0,0,ABS(J24-K24)))</f>
        <v>0</v>
      </c>
    </row>
    <row r="25" spans="1:13" x14ac:dyDescent="0.3">
      <c r="A25">
        <v>3</v>
      </c>
      <c r="B25" s="105" t="s">
        <v>132</v>
      </c>
      <c r="C25" s="98" t="s">
        <v>256</v>
      </c>
      <c r="D25" s="99"/>
      <c r="E25" s="99"/>
      <c r="F25" s="100">
        <f>IFERROR(SUM(E25-D25),0)</f>
        <v>0</v>
      </c>
      <c r="G25" s="99"/>
      <c r="H25" s="99"/>
      <c r="I25" s="100">
        <f>IFERROR(SUM(H25-G25),0)</f>
        <v>0</v>
      </c>
      <c r="J25" s="102">
        <f>SUM(F25+I25)</f>
        <v>0</v>
      </c>
      <c r="K25" s="104" t="s">
        <v>260</v>
      </c>
      <c r="L25" s="103">
        <f>IF(F25=0,0,IF(((F25+I25)-K25)&gt;0,((F25+I25)-K25),0))</f>
        <v>0</v>
      </c>
      <c r="M25" s="103">
        <f>IF(D25=0,0,IF(J25-K25&gt;0,0,ABS(J25-K25)))</f>
        <v>0</v>
      </c>
    </row>
    <row r="26" spans="1:13" x14ac:dyDescent="0.3">
      <c r="A26">
        <v>3</v>
      </c>
      <c r="B26" s="105" t="s">
        <v>130</v>
      </c>
      <c r="C26" s="98" t="s">
        <v>256</v>
      </c>
      <c r="D26" s="99">
        <v>0.16874999999999998</v>
      </c>
      <c r="E26" s="99">
        <v>0.4375</v>
      </c>
      <c r="F26" s="100">
        <f>IFERROR(SUM(E26-D26),0)</f>
        <v>0.26875000000000004</v>
      </c>
      <c r="G26" s="99">
        <v>0.47986111111111113</v>
      </c>
      <c r="H26" s="99">
        <v>0.55902777777777779</v>
      </c>
      <c r="I26" s="100">
        <f>IFERROR(SUM(H26-G26),0)</f>
        <v>7.9166666666666663E-2</v>
      </c>
      <c r="J26" s="102">
        <f>SUM(F26+I26)</f>
        <v>0.34791666666666671</v>
      </c>
      <c r="K26" s="104" t="s">
        <v>260</v>
      </c>
      <c r="L26" s="103">
        <f>IF(F26=0,0,IF(((F26+I26)-K26)&gt;0,((F26+I26)-K26),0))</f>
        <v>4.2361111111111183E-2</v>
      </c>
      <c r="M26" s="103">
        <f>IF(D26=0,0,IF(J26-K26&gt;0,0,ABS(J26-K26)))</f>
        <v>0</v>
      </c>
    </row>
    <row r="27" spans="1:13" x14ac:dyDescent="0.3">
      <c r="A27">
        <v>3</v>
      </c>
      <c r="B27" s="105" t="s">
        <v>127</v>
      </c>
      <c r="C27" s="98" t="s">
        <v>256</v>
      </c>
      <c r="D27" s="99"/>
      <c r="E27" s="99"/>
      <c r="F27" s="100">
        <f>IFERROR(SUM(E27-D27),0)</f>
        <v>0</v>
      </c>
      <c r="G27" s="99"/>
      <c r="H27" s="99"/>
      <c r="I27" s="100">
        <f>IFERROR(SUM(H27-G27),0)</f>
        <v>0</v>
      </c>
      <c r="J27" s="102">
        <f>SUM(F27+I27)</f>
        <v>0</v>
      </c>
      <c r="K27" s="104" t="s">
        <v>260</v>
      </c>
      <c r="L27" s="103">
        <f>IF(F27=0,0,IF(((F27+I27)-K27)&gt;0,((F27+I27)-K27),0))</f>
        <v>0</v>
      </c>
      <c r="M27" s="103">
        <f>IF(D27=0,0,IF(J27-K27&gt;0,0,ABS(J27-K27)))</f>
        <v>0</v>
      </c>
    </row>
    <row r="28" spans="1:13" x14ac:dyDescent="0.3">
      <c r="A28">
        <v>4</v>
      </c>
      <c r="B28" s="105" t="s">
        <v>129</v>
      </c>
      <c r="C28" s="98" t="s">
        <v>257</v>
      </c>
      <c r="D28" s="99">
        <v>0.20833333333333334</v>
      </c>
      <c r="E28" s="99">
        <v>0.46875</v>
      </c>
      <c r="F28" s="100">
        <f>IFERROR(SUM(E28-D28),0)</f>
        <v>0.26041666666666663</v>
      </c>
      <c r="G28" s="99">
        <v>0.51041666666666663</v>
      </c>
      <c r="H28" s="99">
        <v>0.66319444444444442</v>
      </c>
      <c r="I28" s="100">
        <f>IFERROR(SUM(H28-G28),0)</f>
        <v>0.15277777777777779</v>
      </c>
      <c r="J28" s="102">
        <f>SUM(F28+I28)</f>
        <v>0.41319444444444442</v>
      </c>
      <c r="K28" s="104" t="s">
        <v>260</v>
      </c>
      <c r="L28" s="103">
        <f>IF(F28=0,0,IF(((F28+I28)-K28)&gt;0,((F28+I28)-K28),0))</f>
        <v>0.1076388888888889</v>
      </c>
      <c r="M28" s="103">
        <f>IF(D28=0,0,IF(J28-K28&gt;0,0,ABS(J28-K28)))</f>
        <v>0</v>
      </c>
    </row>
    <row r="29" spans="1:13" x14ac:dyDescent="0.3">
      <c r="A29">
        <v>4</v>
      </c>
      <c r="B29" s="105" t="s">
        <v>128</v>
      </c>
      <c r="C29" s="98" t="s">
        <v>257</v>
      </c>
      <c r="D29" s="99">
        <v>0.21875</v>
      </c>
      <c r="E29" s="99">
        <v>0.46180555555555558</v>
      </c>
      <c r="F29" s="100">
        <f>IFERROR(SUM(E29-D29),0)</f>
        <v>0.24305555555555558</v>
      </c>
      <c r="G29" s="99">
        <v>0.50347222222222221</v>
      </c>
      <c r="H29" s="99">
        <v>0.67569444444444438</v>
      </c>
      <c r="I29" s="100">
        <f>IFERROR(SUM(H29-G29),0)</f>
        <v>0.17222222222222217</v>
      </c>
      <c r="J29" s="102">
        <f>SUM(F29+I29)</f>
        <v>0.41527777777777775</v>
      </c>
      <c r="K29" s="104" t="s">
        <v>260</v>
      </c>
      <c r="L29" s="103">
        <f>IF(F29=0,0,IF(((F29+I29)-K29)&gt;0,((F29+I29)-K29),0))</f>
        <v>0.10972222222222222</v>
      </c>
      <c r="M29" s="103">
        <f>IF(D29=0,0,IF(J29-K29&gt;0,0,ABS(J29-K29)))</f>
        <v>0</v>
      </c>
    </row>
    <row r="30" spans="1:13" x14ac:dyDescent="0.3">
      <c r="A30">
        <v>4</v>
      </c>
      <c r="B30" s="105" t="s">
        <v>131</v>
      </c>
      <c r="C30" s="98" t="s">
        <v>257</v>
      </c>
      <c r="D30" s="99">
        <v>0.34375</v>
      </c>
      <c r="E30" s="99">
        <v>0.57152777777777775</v>
      </c>
      <c r="F30" s="100">
        <f>IFERROR(SUM(E30-D30),0)</f>
        <v>0.22777777777777775</v>
      </c>
      <c r="G30" s="99">
        <v>0.61319444444444449</v>
      </c>
      <c r="H30" s="99">
        <v>0.68333333333333324</v>
      </c>
      <c r="I30" s="100">
        <f>IFERROR(SUM(H30-G30),0)</f>
        <v>7.0138888888888751E-2</v>
      </c>
      <c r="J30" s="102">
        <f>SUM(F30+I30)</f>
        <v>0.2979166666666665</v>
      </c>
      <c r="K30" s="104" t="s">
        <v>260</v>
      </c>
      <c r="L30" s="103">
        <f>IF(F30=0,0,IF(((F30+I30)-K30)&gt;0,((F30+I30)-K30),0))</f>
        <v>0</v>
      </c>
      <c r="M30" s="103">
        <f>IF(D30=0,0,IF(J30-K30&gt;0,0,ABS(J30-K30)))</f>
        <v>7.6388888888890283E-3</v>
      </c>
    </row>
    <row r="31" spans="1:13" x14ac:dyDescent="0.3">
      <c r="A31">
        <v>4</v>
      </c>
      <c r="B31" s="105" t="s">
        <v>246</v>
      </c>
      <c r="C31" s="98" t="s">
        <v>257</v>
      </c>
      <c r="D31" s="99"/>
      <c r="E31" s="99"/>
      <c r="F31" s="100">
        <f>IFERROR(SUM(E31-D31),0)</f>
        <v>0</v>
      </c>
      <c r="G31" s="99"/>
      <c r="H31" s="99"/>
      <c r="I31" s="100">
        <f>IFERROR(SUM(H31-G31),0)</f>
        <v>0</v>
      </c>
      <c r="J31" s="102">
        <f>SUM(F31+I31)</f>
        <v>0</v>
      </c>
      <c r="K31" s="104" t="s">
        <v>260</v>
      </c>
      <c r="L31" s="103">
        <f>IF(F31=0,0,IF(((F31+I31)-K31)&gt;0,((F31+I31)-K31),0))</f>
        <v>0</v>
      </c>
      <c r="M31" s="103">
        <f>IF(D31=0,0,IF(J31-K31&gt;0,0,ABS(J31-K31)))</f>
        <v>0</v>
      </c>
    </row>
    <row r="32" spans="1:13" x14ac:dyDescent="0.3">
      <c r="A32">
        <v>4</v>
      </c>
      <c r="B32" s="105" t="s">
        <v>247</v>
      </c>
      <c r="C32" s="98" t="s">
        <v>257</v>
      </c>
      <c r="D32" s="99">
        <v>0.33749999999999997</v>
      </c>
      <c r="E32" s="99">
        <v>0.46875</v>
      </c>
      <c r="F32" s="100">
        <f>IFERROR(SUM(E32-D32),0)</f>
        <v>0.13125000000000003</v>
      </c>
      <c r="G32" s="99">
        <v>0.50972222222222219</v>
      </c>
      <c r="H32" s="99">
        <v>0.79166666666666663</v>
      </c>
      <c r="I32" s="100">
        <f>IFERROR(SUM(H32-G32),0)</f>
        <v>0.28194444444444444</v>
      </c>
      <c r="J32" s="102">
        <f>SUM(F32+I32)</f>
        <v>0.41319444444444448</v>
      </c>
      <c r="K32" s="104" t="s">
        <v>260</v>
      </c>
      <c r="L32" s="103">
        <f>IF(F32=0,0,IF(((F32+I32)-K32)&gt;0,((F32+I32)-K32),0))</f>
        <v>0.10763888888888895</v>
      </c>
      <c r="M32" s="103">
        <f>IF(D32=0,0,IF(J32-K32&gt;0,0,ABS(J32-K32)))</f>
        <v>0</v>
      </c>
    </row>
    <row r="33" spans="1:13" x14ac:dyDescent="0.3">
      <c r="A33">
        <v>4</v>
      </c>
      <c r="B33" s="105" t="s">
        <v>132</v>
      </c>
      <c r="C33" s="98" t="s">
        <v>257</v>
      </c>
      <c r="D33" s="99"/>
      <c r="E33" s="99"/>
      <c r="F33" s="100">
        <f>IFERROR(SUM(E33-D33),0)</f>
        <v>0</v>
      </c>
      <c r="G33" s="99"/>
      <c r="H33" s="99"/>
      <c r="I33" s="100">
        <f>IFERROR(SUM(H33-G33),0)</f>
        <v>0</v>
      </c>
      <c r="J33" s="102">
        <f>SUM(F33+I33)</f>
        <v>0</v>
      </c>
      <c r="K33" s="104" t="s">
        <v>260</v>
      </c>
      <c r="L33" s="103">
        <f>IF(F33=0,0,IF(((F33+I33)-K33)&gt;0,((F33+I33)-K33),0))</f>
        <v>0</v>
      </c>
      <c r="M33" s="103">
        <f>IF(D33=0,0,IF(J33-K33&gt;0,0,ABS(J33-K33)))</f>
        <v>0</v>
      </c>
    </row>
    <row r="34" spans="1:13" x14ac:dyDescent="0.3">
      <c r="A34">
        <v>4</v>
      </c>
      <c r="B34" s="105" t="s">
        <v>130</v>
      </c>
      <c r="C34" s="98" t="s">
        <v>257</v>
      </c>
      <c r="D34" s="99">
        <v>0.16874999999999998</v>
      </c>
      <c r="E34" s="99">
        <v>0.45833333333333331</v>
      </c>
      <c r="F34" s="100">
        <f>IFERROR(SUM(E34-D34),0)</f>
        <v>0.2895833333333333</v>
      </c>
      <c r="G34" s="99">
        <v>0.50069444444444444</v>
      </c>
      <c r="H34" s="99">
        <v>0.55902777777777779</v>
      </c>
      <c r="I34" s="100">
        <f>IFERROR(SUM(H34-G34),0)</f>
        <v>5.8333333333333348E-2</v>
      </c>
      <c r="J34" s="102">
        <f>SUM(F34+I34)</f>
        <v>0.34791666666666665</v>
      </c>
      <c r="K34" s="104" t="s">
        <v>260</v>
      </c>
      <c r="L34" s="103">
        <f>IF(F34=0,0,IF(((F34+I34)-K34)&gt;0,((F34+I34)-K34),0))</f>
        <v>4.2361111111111127E-2</v>
      </c>
      <c r="M34" s="103">
        <f>IF(D34=0,0,IF(J34-K34&gt;0,0,ABS(J34-K34)))</f>
        <v>0</v>
      </c>
    </row>
    <row r="35" spans="1:13" x14ac:dyDescent="0.3">
      <c r="A35">
        <v>4</v>
      </c>
      <c r="B35" s="105" t="s">
        <v>127</v>
      </c>
      <c r="C35" s="98" t="s">
        <v>257</v>
      </c>
      <c r="D35" s="99"/>
      <c r="E35" s="99"/>
      <c r="F35" s="100">
        <f>IFERROR(SUM(E35-D35),0)</f>
        <v>0</v>
      </c>
      <c r="G35" s="99"/>
      <c r="H35" s="99"/>
      <c r="I35" s="100">
        <f>IFERROR(SUM(H35-G35),0)</f>
        <v>0</v>
      </c>
      <c r="J35" s="102">
        <f>SUM(F35+I35)</f>
        <v>0</v>
      </c>
      <c r="K35" s="104" t="s">
        <v>260</v>
      </c>
      <c r="L35" s="103">
        <f>IF(F35=0,0,IF(((F35+I35)-K35)&gt;0,((F35+I35)-K35),0))</f>
        <v>0</v>
      </c>
      <c r="M35" s="103">
        <f>IF(D35=0,0,IF(J35-K35&gt;0,0,ABS(J35-K35)))</f>
        <v>0</v>
      </c>
    </row>
    <row r="36" spans="1:13" x14ac:dyDescent="0.3">
      <c r="A36">
        <v>5</v>
      </c>
      <c r="B36" s="105" t="s">
        <v>129</v>
      </c>
      <c r="C36" s="98" t="s">
        <v>258</v>
      </c>
      <c r="D36" s="99">
        <v>0.20902777777777778</v>
      </c>
      <c r="E36" s="99">
        <v>0.46180555555555558</v>
      </c>
      <c r="F36" s="100">
        <f>IFERROR(SUM(E36-D36),0)</f>
        <v>0.25277777777777777</v>
      </c>
      <c r="G36" s="99">
        <v>0.50347222222222221</v>
      </c>
      <c r="H36" s="99">
        <v>0.58333333333333337</v>
      </c>
      <c r="I36" s="100">
        <f>IFERROR(SUM(H36-G36),0)</f>
        <v>7.986111111111116E-2</v>
      </c>
      <c r="J36" s="102">
        <f>SUM(F36+I36)</f>
        <v>0.33263888888888893</v>
      </c>
      <c r="K36" s="104" t="s">
        <v>260</v>
      </c>
      <c r="L36" s="103">
        <f>IF(F36=0,0,IF(((F36+I36)-K36)&gt;0,((F36+I36)-K36),0))</f>
        <v>2.7083333333333404E-2</v>
      </c>
      <c r="M36" s="103">
        <f>IF(D36=0,0,IF(J36-K36&gt;0,0,ABS(J36-K36)))</f>
        <v>0</v>
      </c>
    </row>
    <row r="37" spans="1:13" x14ac:dyDescent="0.3">
      <c r="A37">
        <v>5</v>
      </c>
      <c r="B37" s="105" t="s">
        <v>128</v>
      </c>
      <c r="C37" s="98" t="s">
        <v>258</v>
      </c>
      <c r="D37" s="99">
        <v>0.21527777777777779</v>
      </c>
      <c r="E37" s="99">
        <v>0.49652777777777773</v>
      </c>
      <c r="F37" s="100">
        <f>IFERROR(SUM(E37-D37),0)</f>
        <v>0.28124999999999994</v>
      </c>
      <c r="G37" s="99">
        <v>0.53819444444444442</v>
      </c>
      <c r="H37" s="99">
        <v>0.57638888888888895</v>
      </c>
      <c r="I37" s="100">
        <f>IFERROR(SUM(H37-G37),0)</f>
        <v>3.8194444444444531E-2</v>
      </c>
      <c r="J37" s="102">
        <f>SUM(F37+I37)</f>
        <v>0.31944444444444448</v>
      </c>
      <c r="K37" s="104" t="s">
        <v>260</v>
      </c>
      <c r="L37" s="103">
        <f>IF(F37=0,0,IF(((F37+I37)-K37)&gt;0,((F37+I37)-K37),0))</f>
        <v>1.3888888888888951E-2</v>
      </c>
      <c r="M37" s="103">
        <f>IF(D37=0,0,IF(J37-K37&gt;0,0,ABS(J37-K37)))</f>
        <v>0</v>
      </c>
    </row>
    <row r="38" spans="1:13" x14ac:dyDescent="0.3">
      <c r="A38">
        <v>5</v>
      </c>
      <c r="B38" s="105" t="s">
        <v>131</v>
      </c>
      <c r="C38" s="98" t="s">
        <v>258</v>
      </c>
      <c r="D38" s="99">
        <v>0.28819444444444448</v>
      </c>
      <c r="E38" s="99">
        <v>0.50486111111111109</v>
      </c>
      <c r="F38" s="100">
        <f>IFERROR(SUM(E38-D38),0)</f>
        <v>0.21666666666666662</v>
      </c>
      <c r="G38" s="99">
        <v>0.54652777777777783</v>
      </c>
      <c r="H38" s="99">
        <v>0.68402777777777779</v>
      </c>
      <c r="I38" s="100">
        <f>IFERROR(SUM(H38-G38),0)</f>
        <v>0.13749999999999996</v>
      </c>
      <c r="J38" s="102">
        <f>SUM(F38+I38)</f>
        <v>0.35416666666666657</v>
      </c>
      <c r="K38" s="104" t="s">
        <v>260</v>
      </c>
      <c r="L38" s="103">
        <f>IF(F38=0,0,IF(((F38+I38)-K38)&gt;0,((F38+I38)-K38),0))</f>
        <v>4.8611111111111049E-2</v>
      </c>
      <c r="M38" s="103">
        <f>IF(D38=0,0,IF(J38-K38&gt;0,0,ABS(J38-K38)))</f>
        <v>0</v>
      </c>
    </row>
    <row r="39" spans="1:13" x14ac:dyDescent="0.3">
      <c r="A39">
        <v>5</v>
      </c>
      <c r="B39" s="105" t="s">
        <v>246</v>
      </c>
      <c r="C39" s="98" t="s">
        <v>258</v>
      </c>
      <c r="D39" s="99">
        <v>0.41944444444444445</v>
      </c>
      <c r="E39" s="99">
        <v>0.51388888888888895</v>
      </c>
      <c r="F39" s="100">
        <f>IFERROR(SUM(E39-D39),0)</f>
        <v>9.4444444444444497E-2</v>
      </c>
      <c r="G39" s="99">
        <v>0.55555555555555558</v>
      </c>
      <c r="H39" s="99">
        <v>0.76388888888888884</v>
      </c>
      <c r="I39" s="100">
        <f>IFERROR(SUM(H39-G39),0)</f>
        <v>0.20833333333333326</v>
      </c>
      <c r="J39" s="102">
        <f>SUM(F39+I39)</f>
        <v>0.30277777777777776</v>
      </c>
      <c r="K39" s="104" t="s">
        <v>260</v>
      </c>
      <c r="L39" s="103">
        <f>IF(F39=0,0,IF(((F39+I39)-K39)&gt;0,((F39+I39)-K39),0))</f>
        <v>0</v>
      </c>
      <c r="M39" s="103">
        <f>IF(D39=0,0,IF(J39-K39&gt;0,0,ABS(J39-K39)))</f>
        <v>2.7777777777777679E-3</v>
      </c>
    </row>
    <row r="40" spans="1:13" x14ac:dyDescent="0.3">
      <c r="A40">
        <v>5</v>
      </c>
      <c r="B40" s="105" t="s">
        <v>247</v>
      </c>
      <c r="C40" s="98" t="s">
        <v>258</v>
      </c>
      <c r="D40" s="99">
        <v>0.33611111111111108</v>
      </c>
      <c r="E40" s="99">
        <v>0.46527777777777773</v>
      </c>
      <c r="F40" s="100">
        <f>IFERROR(SUM(E40-D40),0)</f>
        <v>0.12916666666666665</v>
      </c>
      <c r="G40" s="99">
        <v>0.50763888888888886</v>
      </c>
      <c r="H40" s="99">
        <v>0.76388888888888884</v>
      </c>
      <c r="I40" s="100">
        <f>IFERROR(SUM(H40-G40),0)</f>
        <v>0.25624999999999998</v>
      </c>
      <c r="J40" s="102">
        <f>SUM(F40+I40)</f>
        <v>0.38541666666666663</v>
      </c>
      <c r="K40" s="104" t="s">
        <v>260</v>
      </c>
      <c r="L40" s="103">
        <f>IF(F40=0,0,IF(((F40+I40)-K40)&gt;0,((F40+I40)-K40),0))</f>
        <v>7.9861111111111105E-2</v>
      </c>
      <c r="M40" s="103">
        <f>IF(D40=0,0,IF(J40-K40&gt;0,0,ABS(J40-K40)))</f>
        <v>0</v>
      </c>
    </row>
    <row r="41" spans="1:13" x14ac:dyDescent="0.3">
      <c r="A41">
        <v>5</v>
      </c>
      <c r="B41" s="105" t="s">
        <v>132</v>
      </c>
      <c r="C41" s="98" t="s">
        <v>258</v>
      </c>
      <c r="D41" s="99"/>
      <c r="E41" s="99"/>
      <c r="F41" s="100">
        <f>IFERROR(SUM(E41-D41),0)</f>
        <v>0</v>
      </c>
      <c r="G41" s="99"/>
      <c r="H41" s="99"/>
      <c r="I41" s="100">
        <f>IFERROR(SUM(H41-G41),0)</f>
        <v>0</v>
      </c>
      <c r="J41" s="102">
        <f>SUM(F41+I41)</f>
        <v>0</v>
      </c>
      <c r="K41" s="104" t="s">
        <v>260</v>
      </c>
      <c r="L41" s="103">
        <f>IF(F41=0,0,IF(((F41+I41)-K41)&gt;0,((F41+I41)-K41),0))</f>
        <v>0</v>
      </c>
      <c r="M41" s="103">
        <f>IF(D41=0,0,IF(J41-K41&gt;0,0,ABS(J41-K41)))</f>
        <v>0</v>
      </c>
    </row>
    <row r="42" spans="1:13" x14ac:dyDescent="0.3">
      <c r="A42">
        <v>5</v>
      </c>
      <c r="B42" s="105" t="s">
        <v>130</v>
      </c>
      <c r="C42" s="98" t="s">
        <v>258</v>
      </c>
      <c r="D42" s="99">
        <v>0.16805555555555554</v>
      </c>
      <c r="E42" s="99">
        <v>0.45833333333333331</v>
      </c>
      <c r="F42" s="100">
        <f>IFERROR(SUM(E42-D42),0)</f>
        <v>0.29027777777777775</v>
      </c>
      <c r="G42" s="99">
        <v>0.50069444444444444</v>
      </c>
      <c r="H42" s="99">
        <v>0.5625</v>
      </c>
      <c r="I42" s="100">
        <f>IFERROR(SUM(H42-G42),0)</f>
        <v>6.1805555555555558E-2</v>
      </c>
      <c r="J42" s="102">
        <f>SUM(F42+I42)</f>
        <v>0.3520833333333333</v>
      </c>
      <c r="K42" s="104" t="s">
        <v>260</v>
      </c>
      <c r="L42" s="103">
        <f>IF(F42=0,0,IF(((F42+I42)-K42)&gt;0,((F42+I42)-K42),0))</f>
        <v>4.6527777777777779E-2</v>
      </c>
      <c r="M42" s="103">
        <f>IF(D42=0,0,IF(J42-K42&gt;0,0,ABS(J42-K42)))</f>
        <v>0</v>
      </c>
    </row>
    <row r="43" spans="1:13" x14ac:dyDescent="0.3">
      <c r="A43">
        <v>5</v>
      </c>
      <c r="B43" s="105" t="s">
        <v>127</v>
      </c>
      <c r="C43" s="98" t="s">
        <v>258</v>
      </c>
      <c r="D43" s="99"/>
      <c r="E43" s="99"/>
      <c r="F43" s="100">
        <f>IFERROR(SUM(E43-D43),0)</f>
        <v>0</v>
      </c>
      <c r="G43" s="99"/>
      <c r="H43" s="101"/>
      <c r="I43" s="100">
        <f>IFERROR(SUM(H43-G43),0)</f>
        <v>0</v>
      </c>
      <c r="J43" s="102">
        <f>SUM(F43+I43)</f>
        <v>0</v>
      </c>
      <c r="K43" s="104" t="s">
        <v>260</v>
      </c>
      <c r="L43" s="103">
        <f>IF(F43=0,0,IF(((F43+I43)-K43)&gt;0,((F43+I43)-K43),0))</f>
        <v>0</v>
      </c>
      <c r="M43" s="103">
        <f>IF(D43=0,0,IF(J43-K43&gt;0,0,ABS(J43-K43)))</f>
        <v>0</v>
      </c>
    </row>
    <row r="44" spans="1:13" x14ac:dyDescent="0.3">
      <c r="A44">
        <v>6</v>
      </c>
      <c r="B44" s="105" t="s">
        <v>129</v>
      </c>
      <c r="C44" s="98" t="s">
        <v>259</v>
      </c>
      <c r="D44" s="99">
        <v>0.21111111111111111</v>
      </c>
      <c r="E44" s="99">
        <v>0.54166666666666663</v>
      </c>
      <c r="F44" s="100">
        <f>IFERROR(SUM(E44-D44),0)</f>
        <v>0.33055555555555549</v>
      </c>
      <c r="G44" s="99">
        <v>0.58333333333333337</v>
      </c>
      <c r="H44" s="99">
        <v>0.67569444444444438</v>
      </c>
      <c r="I44" s="100">
        <f>IFERROR(SUM(H44-G44),0)</f>
        <v>9.2361111111111005E-2</v>
      </c>
      <c r="J44" s="102">
        <f>SUM(F44+I44)</f>
        <v>0.4229166666666665</v>
      </c>
      <c r="K44" s="104" t="s">
        <v>260</v>
      </c>
      <c r="L44" s="103">
        <f>IF(F44=0,0,IF(((F44+I44)-K44)&gt;0,((F44+I44)-K44),0))</f>
        <v>0.11736111111111097</v>
      </c>
      <c r="M44" s="103">
        <f>IF(D44=0,0,IF(J44-K44&gt;0,0,ABS(J44-K44)))</f>
        <v>0</v>
      </c>
    </row>
    <row r="45" spans="1:13" x14ac:dyDescent="0.3">
      <c r="A45">
        <v>6</v>
      </c>
      <c r="B45" s="105" t="s">
        <v>128</v>
      </c>
      <c r="C45" s="98" t="s">
        <v>259</v>
      </c>
      <c r="D45" s="99">
        <v>0.21180555555555555</v>
      </c>
      <c r="E45" s="99">
        <v>0.47916666666666669</v>
      </c>
      <c r="F45" s="100">
        <f>IFERROR(SUM(E45-D45),0)</f>
        <v>0.26736111111111116</v>
      </c>
      <c r="G45" s="99">
        <v>0.52083333333333337</v>
      </c>
      <c r="H45" s="99">
        <v>0.67222222222222217</v>
      </c>
      <c r="I45" s="100">
        <f>IFERROR(SUM(H45-G45),0)</f>
        <v>0.1513888888888888</v>
      </c>
      <c r="J45" s="102">
        <f>SUM(F45+I45)</f>
        <v>0.41874999999999996</v>
      </c>
      <c r="K45" s="104" t="s">
        <v>260</v>
      </c>
      <c r="L45" s="103">
        <f>IF(F45=0,0,IF(((F45+I45)-K45)&gt;0,((F45+I45)-K45),0))</f>
        <v>0.11319444444444443</v>
      </c>
      <c r="M45" s="103">
        <f>IF(D45=0,0,IF(J45-K45&gt;0,0,ABS(J45-K45)))</f>
        <v>0</v>
      </c>
    </row>
    <row r="46" spans="1:13" x14ac:dyDescent="0.3">
      <c r="A46">
        <v>6</v>
      </c>
      <c r="B46" s="105" t="s">
        <v>131</v>
      </c>
      <c r="C46" s="98" t="s">
        <v>259</v>
      </c>
      <c r="D46" s="99">
        <v>0.28680555555555554</v>
      </c>
      <c r="E46" s="99">
        <v>0.57430555555555551</v>
      </c>
      <c r="F46" s="100">
        <f>IFERROR(SUM(E46-D46),0)</f>
        <v>0.28749999999999998</v>
      </c>
      <c r="G46" s="99">
        <v>0.61597222222222225</v>
      </c>
      <c r="H46" s="99">
        <v>0.77638888888888891</v>
      </c>
      <c r="I46" s="100">
        <f>IFERROR(SUM(H46-G46),0)</f>
        <v>0.16041666666666665</v>
      </c>
      <c r="J46" s="102">
        <f>SUM(F46+I46)</f>
        <v>0.44791666666666663</v>
      </c>
      <c r="K46" s="104" t="s">
        <v>260</v>
      </c>
      <c r="L46" s="103">
        <f>IF(F46=0,0,IF(((F46+I46)-K46)&gt;0,((F46+I46)-K46),0))</f>
        <v>0.1423611111111111</v>
      </c>
      <c r="M46" s="103">
        <f>IF(D46=0,0,IF(J46-K46&gt;0,0,ABS(J46-K46)))</f>
        <v>0</v>
      </c>
    </row>
    <row r="47" spans="1:13" x14ac:dyDescent="0.3">
      <c r="A47">
        <v>6</v>
      </c>
      <c r="B47" s="105" t="s">
        <v>246</v>
      </c>
      <c r="C47" s="98" t="s">
        <v>259</v>
      </c>
      <c r="D47" s="99">
        <v>0.41875000000000001</v>
      </c>
      <c r="E47" s="99">
        <v>0.52500000000000002</v>
      </c>
      <c r="F47" s="100">
        <f>IFERROR(SUM(E47-D47),0)</f>
        <v>0.10625000000000001</v>
      </c>
      <c r="G47" s="99">
        <v>0.56874999999999998</v>
      </c>
      <c r="H47" s="99">
        <v>0.77430555555555547</v>
      </c>
      <c r="I47" s="100">
        <f>IFERROR(SUM(H47-G47),0)</f>
        <v>0.20555555555555549</v>
      </c>
      <c r="J47" s="102">
        <f>SUM(F47+I47)</f>
        <v>0.3118055555555555</v>
      </c>
      <c r="K47" s="104" t="s">
        <v>260</v>
      </c>
      <c r="L47" s="103">
        <f>IF(F47=0,0,IF(((F47+I47)-K47)&gt;0,((F47+I47)-K47),0))</f>
        <v>6.2499999999999778E-3</v>
      </c>
      <c r="M47" s="103">
        <f>IF(D47=0,0,IF(J47-K47&gt;0,0,ABS(J47-K47)))</f>
        <v>0</v>
      </c>
    </row>
    <row r="48" spans="1:13" x14ac:dyDescent="0.3">
      <c r="A48">
        <v>6</v>
      </c>
      <c r="B48" s="105" t="s">
        <v>247</v>
      </c>
      <c r="C48" s="98" t="s">
        <v>259</v>
      </c>
      <c r="D48" s="99">
        <v>0.33333333333333331</v>
      </c>
      <c r="E48" s="99">
        <v>0.48055555555555557</v>
      </c>
      <c r="F48" s="100">
        <f>IFERROR(SUM(E48-D48),0)</f>
        <v>0.14722222222222225</v>
      </c>
      <c r="G48" s="99">
        <v>0.52083333333333337</v>
      </c>
      <c r="H48" s="99">
        <v>0.77430555555555547</v>
      </c>
      <c r="I48" s="100">
        <f>IFERROR(SUM(H48-G48),0)</f>
        <v>0.2534722222222221</v>
      </c>
      <c r="J48" s="102">
        <f>SUM(F48+I48)</f>
        <v>0.40069444444444435</v>
      </c>
      <c r="K48" s="104" t="s">
        <v>260</v>
      </c>
      <c r="L48" s="103">
        <f>IF(F48=0,0,IF(((F48+I48)-K48)&gt;0,((F48+I48)-K48),0))</f>
        <v>9.5138888888888828E-2</v>
      </c>
      <c r="M48" s="103">
        <f>IF(D48=0,0,IF(J48-K48&gt;0,0,ABS(J48-K48)))</f>
        <v>0</v>
      </c>
    </row>
    <row r="49" spans="1:13" x14ac:dyDescent="0.3">
      <c r="A49">
        <v>6</v>
      </c>
      <c r="B49" s="105" t="s">
        <v>132</v>
      </c>
      <c r="C49" s="98" t="s">
        <v>259</v>
      </c>
      <c r="D49" s="99"/>
      <c r="E49" s="99"/>
      <c r="F49" s="100">
        <f>IFERROR(SUM(E49-D49),0)</f>
        <v>0</v>
      </c>
      <c r="G49" s="99"/>
      <c r="H49" s="99"/>
      <c r="I49" s="100">
        <f>IFERROR(SUM(H49-G49),0)</f>
        <v>0</v>
      </c>
      <c r="J49" s="102">
        <f>SUM(F49+I49)</f>
        <v>0</v>
      </c>
      <c r="K49" s="104" t="s">
        <v>260</v>
      </c>
      <c r="L49" s="103">
        <f>IF(F49=0,0,IF(((F49+I49)-K49)&gt;0,((F49+I49)-K49),0))</f>
        <v>0</v>
      </c>
      <c r="M49" s="103">
        <f>IF(D49=0,0,IF(J49-K49&gt;0,0,ABS(J49-K49)))</f>
        <v>0</v>
      </c>
    </row>
    <row r="50" spans="1:13" x14ac:dyDescent="0.3">
      <c r="A50">
        <v>6</v>
      </c>
      <c r="B50" s="105" t="s">
        <v>130</v>
      </c>
      <c r="C50" s="98" t="s">
        <v>259</v>
      </c>
      <c r="D50" s="99">
        <v>0.16805555555555554</v>
      </c>
      <c r="E50" s="99">
        <v>0.45833333333333331</v>
      </c>
      <c r="F50" s="100">
        <f>IFERROR(SUM(E50-D50),0)</f>
        <v>0.29027777777777775</v>
      </c>
      <c r="G50" s="99">
        <v>0.50069444444444444</v>
      </c>
      <c r="H50" s="99">
        <v>0.66319444444444442</v>
      </c>
      <c r="I50" s="100">
        <f>IFERROR(SUM(H50-G50),0)</f>
        <v>0.16249999999999998</v>
      </c>
      <c r="J50" s="102">
        <f>SUM(F50+I50)</f>
        <v>0.45277777777777772</v>
      </c>
      <c r="K50" s="104" t="s">
        <v>260</v>
      </c>
      <c r="L50" s="103">
        <f>IF(F50=0,0,IF(((F50+I50)-K50)&gt;0,((F50+I50)-K50),0))</f>
        <v>0.1472222222222222</v>
      </c>
      <c r="M50" s="103">
        <f>IF(D50=0,0,IF(J50-K50&gt;0,0,ABS(J50-K50)))</f>
        <v>0</v>
      </c>
    </row>
    <row r="51" spans="1:13" x14ac:dyDescent="0.3">
      <c r="A51">
        <v>6</v>
      </c>
      <c r="B51" s="105" t="s">
        <v>127</v>
      </c>
      <c r="C51" s="98" t="s">
        <v>259</v>
      </c>
      <c r="D51" s="99"/>
      <c r="E51" s="99"/>
      <c r="F51" s="100">
        <f>IFERROR(SUM(E51-D51),0)</f>
        <v>0</v>
      </c>
      <c r="G51" s="99"/>
      <c r="H51" s="99"/>
      <c r="I51" s="100">
        <f>IFERROR(SUM(H51-G51),0)</f>
        <v>0</v>
      </c>
      <c r="J51" s="102">
        <f>SUM(F51+I51)</f>
        <v>0</v>
      </c>
      <c r="K51" s="104" t="s">
        <v>260</v>
      </c>
      <c r="L51" s="103">
        <f>IF(F51=0,0,IF(((F51+I51)-K51)&gt;0,((F51+I51)-K51),0))</f>
        <v>0</v>
      </c>
      <c r="M51" s="103">
        <f>IF(D51=0,0,IF(J51-K51&gt;0,0,ABS(J51-K51)))</f>
        <v>0</v>
      </c>
    </row>
  </sheetData>
  <autoFilter ref="A2:M51" xr:uid="{672FC507-681A-4441-8DB6-2539C94ED42A}">
    <filterColumn colId="3" showButton="0"/>
    <filterColumn colId="6" showButton="0"/>
    <sortState ref="A5:M51">
      <sortCondition ref="A2:A51"/>
    </sortState>
  </autoFilter>
  <mergeCells count="11">
    <mergeCell ref="A2:A3"/>
    <mergeCell ref="I2:I3"/>
    <mergeCell ref="J2:J3"/>
    <mergeCell ref="K2:K3"/>
    <mergeCell ref="L2:L3"/>
    <mergeCell ref="M2:M3"/>
    <mergeCell ref="B2:B3"/>
    <mergeCell ref="C2:C3"/>
    <mergeCell ref="D2:E2"/>
    <mergeCell ref="F2:F3"/>
    <mergeCell ref="G2:H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7736-AD4D-4EB0-96B8-F5B0A733FA08}">
  <sheetPr codeName="Planilha3"/>
  <dimension ref="A1:U472"/>
  <sheetViews>
    <sheetView zoomScaleNormal="100" workbookViewId="0">
      <selection sqref="A1:I1048576"/>
    </sheetView>
  </sheetViews>
  <sheetFormatPr defaultRowHeight="14.4" x14ac:dyDescent="0.3"/>
  <cols>
    <col min="1" max="1" width="32" customWidth="1"/>
    <col min="5" max="5" width="39.5546875" bestFit="1" customWidth="1"/>
    <col min="6" max="6" width="14.109375" bestFit="1" customWidth="1"/>
    <col min="10" max="10" width="10.44140625" customWidth="1"/>
    <col min="11" max="14" width="8.88671875" style="47"/>
    <col min="15" max="15" width="14.109375" bestFit="1" customWidth="1"/>
    <col min="19" max="19" width="27.77734375" bestFit="1" customWidth="1"/>
    <col min="20" max="20" width="31" bestFit="1" customWidth="1"/>
  </cols>
  <sheetData>
    <row r="1" spans="1:21" x14ac:dyDescent="0.3">
      <c r="A1" t="s">
        <v>19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144</v>
      </c>
      <c r="I1" t="s">
        <v>77</v>
      </c>
      <c r="R1" s="84">
        <v>1</v>
      </c>
      <c r="S1" t="s">
        <v>28</v>
      </c>
      <c r="T1" s="1">
        <v>0.20138888888888887</v>
      </c>
      <c r="U1" s="1"/>
    </row>
    <row r="2" spans="1:21" x14ac:dyDescent="0.3">
      <c r="A2" t="s">
        <v>21</v>
      </c>
      <c r="B2" t="s">
        <v>145</v>
      </c>
      <c r="C2">
        <v>18</v>
      </c>
      <c r="D2">
        <v>0.1</v>
      </c>
      <c r="E2" t="s">
        <v>146</v>
      </c>
      <c r="F2" s="35">
        <v>43255</v>
      </c>
      <c r="G2">
        <v>6</v>
      </c>
      <c r="H2">
        <v>10.07</v>
      </c>
      <c r="I2">
        <v>181.26</v>
      </c>
      <c r="J2" s="69"/>
      <c r="K2" s="47">
        <f t="shared" ref="K2:K65" si="0">G2*D2*C2</f>
        <v>10.8</v>
      </c>
      <c r="L2" s="47" t="str">
        <f t="shared" ref="L2:L65" si="1">IF(F2=0,"",TEXT(F2,"DDD"))</f>
        <v>seg</v>
      </c>
      <c r="M2" s="47" t="str">
        <f>IFERROR(VLOOKUP(A2,RECEITAS!A:B,2,FALSE),"")</f>
        <v>DIRETO</v>
      </c>
      <c r="N2" s="47">
        <f>G2*C2</f>
        <v>108</v>
      </c>
      <c r="O2" s="35"/>
      <c r="R2" s="84">
        <v>1</v>
      </c>
      <c r="S2" t="s">
        <v>137</v>
      </c>
      <c r="T2" s="1">
        <v>0.20138888888888887</v>
      </c>
      <c r="U2" s="1"/>
    </row>
    <row r="3" spans="1:21" x14ac:dyDescent="0.3">
      <c r="A3" t="s">
        <v>21</v>
      </c>
      <c r="B3" t="s">
        <v>145</v>
      </c>
      <c r="C3">
        <v>6</v>
      </c>
      <c r="D3">
        <v>0.1</v>
      </c>
      <c r="E3" t="s">
        <v>147</v>
      </c>
      <c r="F3" s="35">
        <v>43255</v>
      </c>
      <c r="G3">
        <v>6</v>
      </c>
      <c r="H3">
        <v>10.07</v>
      </c>
      <c r="I3">
        <v>60.42</v>
      </c>
      <c r="J3" s="35"/>
      <c r="K3" s="47">
        <f t="shared" si="0"/>
        <v>3.6000000000000005</v>
      </c>
      <c r="L3" s="47" t="str">
        <f t="shared" si="1"/>
        <v>seg</v>
      </c>
      <c r="M3" s="47" t="str">
        <f>IFERROR(VLOOKUP(A3,RECEITAS!A:B,2,FALSE),"")</f>
        <v>DIRETO</v>
      </c>
      <c r="N3" s="47">
        <f t="shared" ref="N3:N66" si="2">G3*C3</f>
        <v>36</v>
      </c>
      <c r="O3" s="35"/>
      <c r="R3" s="84">
        <v>1</v>
      </c>
      <c r="S3" t="s">
        <v>116</v>
      </c>
      <c r="T3" s="1">
        <v>0.20486111111111113</v>
      </c>
      <c r="U3" s="1"/>
    </row>
    <row r="4" spans="1:21" x14ac:dyDescent="0.3">
      <c r="A4" t="s">
        <v>23</v>
      </c>
      <c r="B4" t="s">
        <v>148</v>
      </c>
      <c r="C4">
        <v>5</v>
      </c>
      <c r="D4">
        <v>0.15</v>
      </c>
      <c r="E4" t="s">
        <v>149</v>
      </c>
      <c r="F4" s="35">
        <v>43255</v>
      </c>
      <c r="G4">
        <v>3</v>
      </c>
      <c r="H4">
        <v>7.59</v>
      </c>
      <c r="I4">
        <v>37.950000000000003</v>
      </c>
      <c r="J4" s="35"/>
      <c r="K4" s="47">
        <f t="shared" si="0"/>
        <v>2.25</v>
      </c>
      <c r="L4" s="47" t="str">
        <f t="shared" si="1"/>
        <v>seg</v>
      </c>
      <c r="M4" s="47" t="str">
        <f>IFERROR(VLOOKUP(A4,RECEITAS!A:B,2,FALSE),"")</f>
        <v>RÚSTICO</v>
      </c>
      <c r="N4" s="47">
        <f t="shared" si="2"/>
        <v>15</v>
      </c>
      <c r="O4" s="35"/>
      <c r="R4" s="84">
        <v>1</v>
      </c>
      <c r="S4" t="s">
        <v>54</v>
      </c>
      <c r="T4" s="1">
        <v>0.20555555555555557</v>
      </c>
      <c r="U4" s="1"/>
    </row>
    <row r="5" spans="1:21" x14ac:dyDescent="0.3">
      <c r="A5" t="s">
        <v>21</v>
      </c>
      <c r="B5" t="s">
        <v>150</v>
      </c>
      <c r="C5">
        <v>5</v>
      </c>
      <c r="D5">
        <v>0.08</v>
      </c>
      <c r="E5" t="s">
        <v>149</v>
      </c>
      <c r="F5" s="35">
        <v>43255</v>
      </c>
      <c r="G5">
        <v>6</v>
      </c>
      <c r="H5">
        <v>6.9</v>
      </c>
      <c r="I5">
        <v>34.5</v>
      </c>
      <c r="J5" s="35"/>
      <c r="K5" s="47">
        <f t="shared" si="0"/>
        <v>2.4</v>
      </c>
      <c r="L5" s="47" t="str">
        <f t="shared" si="1"/>
        <v>seg</v>
      </c>
      <c r="M5" s="47" t="str">
        <f>IFERROR(VLOOKUP(A5,RECEITAS!A:B,2,FALSE),"")</f>
        <v>DIRETO</v>
      </c>
      <c r="N5" s="47">
        <f t="shared" si="2"/>
        <v>30</v>
      </c>
      <c r="O5" s="35"/>
      <c r="R5" s="84">
        <v>2</v>
      </c>
      <c r="S5" t="s">
        <v>20</v>
      </c>
      <c r="T5" s="1">
        <v>0.20833333333333334</v>
      </c>
      <c r="U5" s="1"/>
    </row>
    <row r="6" spans="1:21" x14ac:dyDescent="0.3">
      <c r="A6" t="s">
        <v>23</v>
      </c>
      <c r="B6" t="s">
        <v>148</v>
      </c>
      <c r="C6">
        <v>3</v>
      </c>
      <c r="D6">
        <v>0.13</v>
      </c>
      <c r="E6" t="s">
        <v>149</v>
      </c>
      <c r="F6" s="35">
        <v>43255</v>
      </c>
      <c r="G6">
        <v>2</v>
      </c>
      <c r="H6">
        <v>3.11</v>
      </c>
      <c r="I6">
        <v>9.33</v>
      </c>
      <c r="J6" s="35"/>
      <c r="K6" s="47">
        <f t="shared" si="0"/>
        <v>0.78</v>
      </c>
      <c r="L6" s="47" t="str">
        <f t="shared" si="1"/>
        <v>seg</v>
      </c>
      <c r="M6" s="47" t="str">
        <f>IFERROR(VLOOKUP(A6,RECEITAS!A:B,2,FALSE),"")</f>
        <v>RÚSTICO</v>
      </c>
      <c r="N6" s="47">
        <f t="shared" si="2"/>
        <v>6</v>
      </c>
      <c r="O6" s="35"/>
      <c r="R6" s="84">
        <v>3</v>
      </c>
      <c r="S6" t="s">
        <v>35</v>
      </c>
      <c r="T6" s="1">
        <v>0.22569444444444445</v>
      </c>
      <c r="U6" s="1"/>
    </row>
    <row r="7" spans="1:21" x14ac:dyDescent="0.3">
      <c r="A7" t="s">
        <v>26</v>
      </c>
      <c r="B7" t="s">
        <v>151</v>
      </c>
      <c r="C7">
        <v>3</v>
      </c>
      <c r="D7">
        <v>0.13</v>
      </c>
      <c r="E7" t="s">
        <v>149</v>
      </c>
      <c r="F7" s="35">
        <v>43255</v>
      </c>
      <c r="G7">
        <v>3</v>
      </c>
      <c r="H7">
        <v>8.6300000000000008</v>
      </c>
      <c r="I7">
        <v>25.89</v>
      </c>
      <c r="J7" s="35"/>
      <c r="K7" s="47">
        <f t="shared" si="0"/>
        <v>1.17</v>
      </c>
      <c r="L7" s="47" t="str">
        <f t="shared" si="1"/>
        <v>seg</v>
      </c>
      <c r="M7" s="47" t="str">
        <f>IFERROR(VLOOKUP(A7,RECEITAS!A:B,2,FALSE),"")</f>
        <v>RÚSTICO</v>
      </c>
      <c r="N7" s="47">
        <f t="shared" si="2"/>
        <v>9</v>
      </c>
      <c r="O7" s="35"/>
      <c r="R7" s="84">
        <v>3</v>
      </c>
      <c r="S7" t="s">
        <v>25</v>
      </c>
      <c r="T7" s="1">
        <v>0.22916666666666666</v>
      </c>
      <c r="U7" s="1"/>
    </row>
    <row r="8" spans="1:21" x14ac:dyDescent="0.3">
      <c r="A8" t="s">
        <v>53</v>
      </c>
      <c r="C8">
        <v>10</v>
      </c>
      <c r="D8">
        <v>0.1</v>
      </c>
      <c r="E8" t="s">
        <v>149</v>
      </c>
      <c r="F8" s="35">
        <v>43255</v>
      </c>
      <c r="G8">
        <v>10</v>
      </c>
      <c r="H8">
        <v>23</v>
      </c>
      <c r="I8">
        <v>230</v>
      </c>
      <c r="J8" s="35"/>
      <c r="K8" s="47">
        <f t="shared" si="0"/>
        <v>10</v>
      </c>
      <c r="L8" s="47" t="str">
        <f t="shared" si="1"/>
        <v>seg</v>
      </c>
      <c r="M8" s="47" t="str">
        <f>IFERROR(VLOOKUP(A8,RECEITAS!A:B,2,FALSE),"")</f>
        <v>RÚSTICO</v>
      </c>
      <c r="N8" s="47">
        <f t="shared" si="2"/>
        <v>100</v>
      </c>
      <c r="O8" s="35"/>
      <c r="R8" s="84">
        <v>4</v>
      </c>
      <c r="S8" t="s">
        <v>21</v>
      </c>
      <c r="T8" s="1">
        <v>0.25</v>
      </c>
      <c r="U8" s="1"/>
    </row>
    <row r="9" spans="1:21" x14ac:dyDescent="0.3">
      <c r="A9" t="s">
        <v>56</v>
      </c>
      <c r="B9" t="s">
        <v>152</v>
      </c>
      <c r="C9">
        <v>4</v>
      </c>
      <c r="D9">
        <v>0.6</v>
      </c>
      <c r="E9" t="s">
        <v>149</v>
      </c>
      <c r="F9" s="35">
        <v>43255</v>
      </c>
      <c r="G9">
        <v>1</v>
      </c>
      <c r="H9">
        <v>6.79</v>
      </c>
      <c r="I9">
        <v>27.16</v>
      </c>
      <c r="J9" s="35"/>
      <c r="K9" s="47">
        <f t="shared" si="0"/>
        <v>2.4</v>
      </c>
      <c r="L9" s="47" t="str">
        <f t="shared" si="1"/>
        <v>seg</v>
      </c>
      <c r="M9" s="47" t="str">
        <f>IFERROR(VLOOKUP(A9,RECEITAS!A:B,2,FALSE),"")</f>
        <v>RÚSTICO</v>
      </c>
      <c r="N9" s="47">
        <f t="shared" si="2"/>
        <v>4</v>
      </c>
      <c r="O9" s="35"/>
      <c r="R9" s="84">
        <v>5</v>
      </c>
      <c r="S9" t="s">
        <v>17</v>
      </c>
      <c r="T9" s="1">
        <v>0.26041666666666669</v>
      </c>
      <c r="U9" s="1"/>
    </row>
    <row r="10" spans="1:21" x14ac:dyDescent="0.3">
      <c r="A10" t="s">
        <v>56</v>
      </c>
      <c r="B10" t="s">
        <v>152</v>
      </c>
      <c r="C10">
        <v>2</v>
      </c>
      <c r="D10">
        <v>0.6</v>
      </c>
      <c r="E10" t="s">
        <v>149</v>
      </c>
      <c r="F10" s="35">
        <v>43255</v>
      </c>
      <c r="G10">
        <v>1</v>
      </c>
      <c r="H10">
        <v>6.79</v>
      </c>
      <c r="I10">
        <v>13.58</v>
      </c>
      <c r="J10" s="35"/>
      <c r="K10" s="47">
        <f t="shared" si="0"/>
        <v>1.2</v>
      </c>
      <c r="L10" s="47" t="str">
        <f t="shared" si="1"/>
        <v>seg</v>
      </c>
      <c r="M10" s="47" t="str">
        <f>IFERROR(VLOOKUP(A10,RECEITAS!A:B,2,FALSE),"")</f>
        <v>RÚSTICO</v>
      </c>
      <c r="N10" s="47">
        <f t="shared" si="2"/>
        <v>2</v>
      </c>
      <c r="O10" s="35"/>
      <c r="R10" s="84">
        <v>7</v>
      </c>
      <c r="S10" t="s">
        <v>21</v>
      </c>
      <c r="T10" s="1">
        <v>0.2986111111111111</v>
      </c>
      <c r="U10" s="1"/>
    </row>
    <row r="11" spans="1:21" x14ac:dyDescent="0.3">
      <c r="A11" t="s">
        <v>115</v>
      </c>
      <c r="B11" t="s">
        <v>152</v>
      </c>
      <c r="C11">
        <v>3</v>
      </c>
      <c r="D11">
        <v>0.5</v>
      </c>
      <c r="E11" t="s">
        <v>149</v>
      </c>
      <c r="F11" s="35">
        <v>43255</v>
      </c>
      <c r="G11">
        <v>1</v>
      </c>
      <c r="H11">
        <v>5.18</v>
      </c>
      <c r="I11">
        <v>15.54</v>
      </c>
      <c r="J11" s="35"/>
      <c r="K11" s="47">
        <f t="shared" si="0"/>
        <v>1.5</v>
      </c>
      <c r="L11" s="47" t="str">
        <f t="shared" si="1"/>
        <v>seg</v>
      </c>
      <c r="M11" s="47" t="str">
        <f>IFERROR(VLOOKUP(A11,RECEITAS!A:B,2,FALSE),"")</f>
        <v>RÚSTICO</v>
      </c>
      <c r="N11" s="47">
        <f t="shared" si="2"/>
        <v>3</v>
      </c>
      <c r="O11" s="35"/>
      <c r="R11" s="84">
        <v>8</v>
      </c>
      <c r="S11" t="s">
        <v>22</v>
      </c>
      <c r="T11" s="1">
        <v>0.29930555555555555</v>
      </c>
      <c r="U11" s="1"/>
    </row>
    <row r="12" spans="1:21" x14ac:dyDescent="0.3">
      <c r="A12" t="s">
        <v>25</v>
      </c>
      <c r="B12" t="s">
        <v>153</v>
      </c>
      <c r="C12">
        <v>4</v>
      </c>
      <c r="D12">
        <v>0.27</v>
      </c>
      <c r="E12" t="s">
        <v>149</v>
      </c>
      <c r="F12" s="35">
        <v>43255</v>
      </c>
      <c r="G12">
        <v>3</v>
      </c>
      <c r="H12">
        <v>14.63</v>
      </c>
      <c r="I12">
        <v>58.52</v>
      </c>
      <c r="J12" s="35"/>
      <c r="K12" s="47">
        <f t="shared" si="0"/>
        <v>3.24</v>
      </c>
      <c r="L12" s="47" t="str">
        <f t="shared" si="1"/>
        <v>seg</v>
      </c>
      <c r="M12" s="47" t="str">
        <f>IFERROR(VLOOKUP(A12,RECEITAS!A:B,2,FALSE),"")</f>
        <v>DIRETO</v>
      </c>
      <c r="N12" s="47">
        <f t="shared" si="2"/>
        <v>12</v>
      </c>
      <c r="O12" s="35"/>
      <c r="R12" s="84">
        <v>8</v>
      </c>
      <c r="S12" t="s">
        <v>25</v>
      </c>
      <c r="T12" s="1">
        <v>0.375</v>
      </c>
      <c r="U12" s="1"/>
    </row>
    <row r="13" spans="1:21" x14ac:dyDescent="0.3">
      <c r="A13" t="s">
        <v>27</v>
      </c>
      <c r="B13" t="s">
        <v>154</v>
      </c>
      <c r="C13">
        <v>4</v>
      </c>
      <c r="D13">
        <v>0.45</v>
      </c>
      <c r="E13" t="s">
        <v>149</v>
      </c>
      <c r="F13" s="35">
        <v>43255</v>
      </c>
      <c r="G13">
        <v>1</v>
      </c>
      <c r="H13">
        <v>4.6900000000000004</v>
      </c>
      <c r="I13">
        <v>18.760000000000002</v>
      </c>
      <c r="J13" s="35"/>
      <c r="K13" s="47">
        <f t="shared" si="0"/>
        <v>1.8</v>
      </c>
      <c r="L13" s="47" t="str">
        <f t="shared" si="1"/>
        <v>seg</v>
      </c>
      <c r="M13" s="47" t="str">
        <f>IFERROR(VLOOKUP(A13,RECEITAS!A:B,2,FALSE),"")</f>
        <v>DIRETO</v>
      </c>
      <c r="N13" s="47">
        <f t="shared" si="2"/>
        <v>4</v>
      </c>
      <c r="O13" s="35"/>
      <c r="R13" s="1"/>
      <c r="U13" s="1"/>
    </row>
    <row r="14" spans="1:21" x14ac:dyDescent="0.3">
      <c r="A14" t="s">
        <v>21</v>
      </c>
      <c r="B14" t="s">
        <v>154</v>
      </c>
      <c r="C14">
        <v>4</v>
      </c>
      <c r="D14">
        <v>0.4</v>
      </c>
      <c r="E14" t="s">
        <v>149</v>
      </c>
      <c r="F14" s="35">
        <v>43255</v>
      </c>
      <c r="G14">
        <v>1</v>
      </c>
      <c r="H14">
        <v>3.97</v>
      </c>
      <c r="I14">
        <v>15.88</v>
      </c>
      <c r="J14" s="35"/>
      <c r="K14" s="47">
        <f t="shared" si="0"/>
        <v>1.6</v>
      </c>
      <c r="L14" s="47" t="str">
        <f t="shared" si="1"/>
        <v>seg</v>
      </c>
      <c r="M14" s="47" t="str">
        <f>IFERROR(VLOOKUP(A14,RECEITAS!A:B,2,FALSE),"")</f>
        <v>DIRETO</v>
      </c>
      <c r="N14" s="47">
        <f t="shared" si="2"/>
        <v>4</v>
      </c>
      <c r="O14" s="35"/>
      <c r="R14" s="1"/>
      <c r="U14" s="1"/>
    </row>
    <row r="15" spans="1:21" x14ac:dyDescent="0.3">
      <c r="A15" t="s">
        <v>20</v>
      </c>
      <c r="B15" t="s">
        <v>155</v>
      </c>
      <c r="C15">
        <v>3</v>
      </c>
      <c r="D15">
        <v>7.0000000000000007E-2</v>
      </c>
      <c r="E15" t="s">
        <v>149</v>
      </c>
      <c r="F15" s="35">
        <v>43255</v>
      </c>
      <c r="G15">
        <v>4</v>
      </c>
      <c r="H15">
        <v>3.45</v>
      </c>
      <c r="I15">
        <v>10.35</v>
      </c>
      <c r="J15" s="35"/>
      <c r="K15" s="47">
        <f t="shared" si="0"/>
        <v>0.84000000000000008</v>
      </c>
      <c r="L15" s="47" t="str">
        <f t="shared" si="1"/>
        <v>seg</v>
      </c>
      <c r="M15" s="47" t="str">
        <f>IFERROR(VLOOKUP(A15,RECEITAS!A:B,2,FALSE),"")</f>
        <v>DIRETO</v>
      </c>
      <c r="N15" s="47">
        <f t="shared" si="2"/>
        <v>12</v>
      </c>
      <c r="O15" s="35"/>
      <c r="R15" s="1"/>
      <c r="U15" s="1"/>
    </row>
    <row r="16" spans="1:21" x14ac:dyDescent="0.3">
      <c r="A16" t="s">
        <v>21</v>
      </c>
      <c r="B16" t="s">
        <v>155</v>
      </c>
      <c r="C16">
        <v>3</v>
      </c>
      <c r="D16">
        <v>7.0000000000000007E-2</v>
      </c>
      <c r="E16" t="s">
        <v>149</v>
      </c>
      <c r="F16" s="35">
        <v>43255</v>
      </c>
      <c r="G16">
        <v>4</v>
      </c>
      <c r="H16">
        <v>2.9</v>
      </c>
      <c r="I16">
        <v>8.6999999999999993</v>
      </c>
      <c r="J16" s="35"/>
      <c r="K16" s="47">
        <f t="shared" si="0"/>
        <v>0.84000000000000008</v>
      </c>
      <c r="L16" s="47" t="str">
        <f t="shared" si="1"/>
        <v>seg</v>
      </c>
      <c r="M16" s="47" t="str">
        <f>IFERROR(VLOOKUP(A16,RECEITAS!A:B,2,FALSE),"")</f>
        <v>DIRETO</v>
      </c>
      <c r="N16" s="47">
        <f t="shared" si="2"/>
        <v>12</v>
      </c>
      <c r="O16" s="35"/>
      <c r="R16" s="1"/>
      <c r="U16" s="1"/>
    </row>
    <row r="17" spans="1:21" x14ac:dyDescent="0.3">
      <c r="A17" t="s">
        <v>46</v>
      </c>
      <c r="B17" t="s">
        <v>156</v>
      </c>
      <c r="C17">
        <v>6</v>
      </c>
      <c r="D17">
        <v>0.4</v>
      </c>
      <c r="E17" t="s">
        <v>157</v>
      </c>
      <c r="F17" s="35">
        <v>43255</v>
      </c>
      <c r="G17">
        <v>5</v>
      </c>
      <c r="H17">
        <v>27.6</v>
      </c>
      <c r="I17">
        <v>165.6</v>
      </c>
      <c r="J17" s="35"/>
      <c r="K17" s="47">
        <f t="shared" si="0"/>
        <v>12</v>
      </c>
      <c r="L17" s="47" t="str">
        <f t="shared" si="1"/>
        <v>seg</v>
      </c>
      <c r="M17" s="47" t="str">
        <f>IFERROR(VLOOKUP(A17,RECEITAS!A:B,2,FALSE),"")</f>
        <v>RÚSTICO</v>
      </c>
      <c r="N17" s="47">
        <f t="shared" si="2"/>
        <v>30</v>
      </c>
      <c r="O17" s="35"/>
      <c r="R17" s="1"/>
      <c r="U17" s="1"/>
    </row>
    <row r="18" spans="1:21" x14ac:dyDescent="0.3">
      <c r="A18" t="s">
        <v>28</v>
      </c>
      <c r="B18" t="s">
        <v>151</v>
      </c>
      <c r="C18">
        <v>10</v>
      </c>
      <c r="D18">
        <v>0.13</v>
      </c>
      <c r="E18" t="s">
        <v>157</v>
      </c>
      <c r="F18" s="35">
        <v>43255</v>
      </c>
      <c r="G18">
        <v>5</v>
      </c>
      <c r="H18">
        <v>7.48</v>
      </c>
      <c r="I18">
        <v>74.8</v>
      </c>
      <c r="J18" s="35"/>
      <c r="K18" s="47">
        <f t="shared" si="0"/>
        <v>6.5</v>
      </c>
      <c r="L18" s="47" t="str">
        <f t="shared" si="1"/>
        <v>seg</v>
      </c>
      <c r="M18" s="47" t="str">
        <f>IFERROR(VLOOKUP(A18,RECEITAS!A:B,2,FALSE),"")</f>
        <v>DIRETO</v>
      </c>
      <c r="N18" s="47">
        <f t="shared" si="2"/>
        <v>50</v>
      </c>
      <c r="O18" s="35"/>
      <c r="R18" s="1"/>
      <c r="U18" s="1"/>
    </row>
    <row r="19" spans="1:21" x14ac:dyDescent="0.3">
      <c r="A19" t="s">
        <v>20</v>
      </c>
      <c r="B19" t="s">
        <v>145</v>
      </c>
      <c r="C19">
        <v>2</v>
      </c>
      <c r="D19">
        <v>0.1</v>
      </c>
      <c r="E19" t="s">
        <v>157</v>
      </c>
      <c r="F19" s="35">
        <v>43255</v>
      </c>
      <c r="G19">
        <v>6</v>
      </c>
      <c r="H19">
        <v>11.18</v>
      </c>
      <c r="I19">
        <v>22.36</v>
      </c>
      <c r="J19" s="35"/>
      <c r="K19" s="47">
        <f t="shared" si="0"/>
        <v>1.2000000000000002</v>
      </c>
      <c r="L19" s="47" t="str">
        <f t="shared" si="1"/>
        <v>seg</v>
      </c>
      <c r="M19" s="47" t="str">
        <f>IFERROR(VLOOKUP(A19,RECEITAS!A:B,2,FALSE),"")</f>
        <v>DIRETO</v>
      </c>
      <c r="N19" s="47">
        <f t="shared" si="2"/>
        <v>12</v>
      </c>
      <c r="O19" s="35"/>
      <c r="R19" s="1"/>
      <c r="U19" s="1"/>
    </row>
    <row r="20" spans="1:21" x14ac:dyDescent="0.3">
      <c r="A20" t="s">
        <v>21</v>
      </c>
      <c r="B20" t="s">
        <v>145</v>
      </c>
      <c r="C20">
        <v>3</v>
      </c>
      <c r="D20">
        <v>0.1</v>
      </c>
      <c r="E20" t="s">
        <v>157</v>
      </c>
      <c r="F20" s="35">
        <v>43255</v>
      </c>
      <c r="G20">
        <v>6</v>
      </c>
      <c r="H20">
        <v>10.07</v>
      </c>
      <c r="I20">
        <v>30.21</v>
      </c>
      <c r="J20" s="35"/>
      <c r="K20" s="47">
        <f t="shared" si="0"/>
        <v>1.8000000000000003</v>
      </c>
      <c r="L20" s="47" t="str">
        <f t="shared" si="1"/>
        <v>seg</v>
      </c>
      <c r="M20" s="47" t="str">
        <f>IFERROR(VLOOKUP(A20,RECEITAS!A:B,2,FALSE),"")</f>
        <v>DIRETO</v>
      </c>
      <c r="N20" s="47">
        <f t="shared" si="2"/>
        <v>18</v>
      </c>
      <c r="O20" s="35"/>
      <c r="R20" s="1"/>
      <c r="U20" s="1"/>
    </row>
    <row r="21" spans="1:21" x14ac:dyDescent="0.3">
      <c r="A21" t="s">
        <v>20</v>
      </c>
      <c r="B21" t="s">
        <v>145</v>
      </c>
      <c r="C21">
        <v>5</v>
      </c>
      <c r="D21">
        <v>0.1</v>
      </c>
      <c r="E21" t="s">
        <v>158</v>
      </c>
      <c r="F21" s="35">
        <v>43255</v>
      </c>
      <c r="G21">
        <v>6</v>
      </c>
      <c r="H21">
        <v>11.18</v>
      </c>
      <c r="I21">
        <v>55.9</v>
      </c>
      <c r="J21" s="35"/>
      <c r="K21" s="47">
        <f t="shared" si="0"/>
        <v>3.0000000000000004</v>
      </c>
      <c r="L21" s="47" t="str">
        <f t="shared" si="1"/>
        <v>seg</v>
      </c>
      <c r="M21" s="47" t="str">
        <f>IFERROR(VLOOKUP(A21,RECEITAS!A:B,2,FALSE),"")</f>
        <v>DIRETO</v>
      </c>
      <c r="N21" s="47">
        <f t="shared" si="2"/>
        <v>30</v>
      </c>
      <c r="O21" s="35"/>
      <c r="R21" s="1"/>
      <c r="U21" s="1"/>
    </row>
    <row r="22" spans="1:21" x14ac:dyDescent="0.3">
      <c r="A22" t="s">
        <v>21</v>
      </c>
      <c r="B22" t="s">
        <v>145</v>
      </c>
      <c r="C22">
        <v>17</v>
      </c>
      <c r="D22">
        <v>0.1</v>
      </c>
      <c r="E22" t="s">
        <v>158</v>
      </c>
      <c r="F22" s="35">
        <v>43255</v>
      </c>
      <c r="G22">
        <v>6</v>
      </c>
      <c r="H22">
        <v>10.07</v>
      </c>
      <c r="I22">
        <v>171.19</v>
      </c>
      <c r="J22" s="35"/>
      <c r="K22" s="47">
        <f t="shared" si="0"/>
        <v>10.200000000000001</v>
      </c>
      <c r="L22" s="47" t="str">
        <f t="shared" si="1"/>
        <v>seg</v>
      </c>
      <c r="M22" s="47" t="str">
        <f>IFERROR(VLOOKUP(A22,RECEITAS!A:B,2,FALSE),"")</f>
        <v>DIRETO</v>
      </c>
      <c r="N22" s="47">
        <f t="shared" si="2"/>
        <v>102</v>
      </c>
      <c r="O22" s="35"/>
      <c r="R22" s="1"/>
      <c r="U22" s="1"/>
    </row>
    <row r="23" spans="1:21" x14ac:dyDescent="0.3">
      <c r="A23" t="s">
        <v>21</v>
      </c>
      <c r="B23" t="s">
        <v>159</v>
      </c>
      <c r="C23">
        <v>2</v>
      </c>
      <c r="D23">
        <v>0.06</v>
      </c>
      <c r="E23" t="s">
        <v>158</v>
      </c>
      <c r="F23" s="35">
        <v>43255</v>
      </c>
      <c r="G23">
        <v>8</v>
      </c>
      <c r="H23">
        <v>6.16</v>
      </c>
      <c r="I23">
        <v>12.32</v>
      </c>
      <c r="J23" s="35"/>
      <c r="K23" s="47">
        <f t="shared" si="0"/>
        <v>0.96</v>
      </c>
      <c r="L23" s="47" t="str">
        <f t="shared" si="1"/>
        <v>seg</v>
      </c>
      <c r="M23" s="47" t="str">
        <f>IFERROR(VLOOKUP(A23,RECEITAS!A:B,2,FALSE),"")</f>
        <v>DIRETO</v>
      </c>
      <c r="N23" s="47">
        <f t="shared" si="2"/>
        <v>16</v>
      </c>
      <c r="O23" s="35"/>
      <c r="R23" s="1"/>
      <c r="U23" s="1"/>
    </row>
    <row r="24" spans="1:21" x14ac:dyDescent="0.3">
      <c r="A24" t="s">
        <v>22</v>
      </c>
      <c r="B24" t="s">
        <v>145</v>
      </c>
      <c r="C24">
        <v>2</v>
      </c>
      <c r="D24">
        <v>0.1</v>
      </c>
      <c r="E24" t="s">
        <v>158</v>
      </c>
      <c r="F24" s="35">
        <v>43255</v>
      </c>
      <c r="G24">
        <v>6</v>
      </c>
      <c r="H24">
        <v>12.42</v>
      </c>
      <c r="I24">
        <v>24.84</v>
      </c>
      <c r="J24" s="35"/>
      <c r="K24" s="47">
        <f t="shared" si="0"/>
        <v>1.2000000000000002</v>
      </c>
      <c r="L24" s="47" t="str">
        <f t="shared" si="1"/>
        <v>seg</v>
      </c>
      <c r="M24" s="47" t="str">
        <f>IFERROR(VLOOKUP(A24,RECEITAS!A:B,2,FALSE),"")</f>
        <v>DIRETO</v>
      </c>
      <c r="N24" s="47">
        <f t="shared" si="2"/>
        <v>12</v>
      </c>
      <c r="O24" s="35"/>
      <c r="R24" s="1"/>
      <c r="U24" s="1"/>
    </row>
    <row r="25" spans="1:21" x14ac:dyDescent="0.3">
      <c r="A25" t="s">
        <v>29</v>
      </c>
      <c r="B25" t="s">
        <v>160</v>
      </c>
      <c r="C25">
        <v>16</v>
      </c>
      <c r="D25">
        <v>0.37</v>
      </c>
      <c r="E25" t="s">
        <v>161</v>
      </c>
      <c r="F25" s="35">
        <v>43255</v>
      </c>
      <c r="G25">
        <v>5</v>
      </c>
      <c r="H25">
        <v>18.399999999999999</v>
      </c>
      <c r="I25">
        <v>294.39999999999998</v>
      </c>
      <c r="J25" s="35"/>
      <c r="K25" s="47">
        <f t="shared" si="0"/>
        <v>29.6</v>
      </c>
      <c r="L25" s="47" t="str">
        <f t="shared" si="1"/>
        <v>seg</v>
      </c>
      <c r="M25" s="47" t="str">
        <f>IFERROR(VLOOKUP(A25,RECEITAS!A:B,2,FALSE),"")</f>
        <v>RÚSTICO</v>
      </c>
      <c r="N25" s="47">
        <f t="shared" si="2"/>
        <v>80</v>
      </c>
      <c r="O25" s="35"/>
      <c r="R25" s="1"/>
      <c r="U25" s="1"/>
    </row>
    <row r="26" spans="1:21" x14ac:dyDescent="0.3">
      <c r="A26" t="s">
        <v>21</v>
      </c>
      <c r="B26" t="s">
        <v>145</v>
      </c>
      <c r="C26">
        <v>12</v>
      </c>
      <c r="D26">
        <v>0.1</v>
      </c>
      <c r="E26" t="s">
        <v>162</v>
      </c>
      <c r="F26" s="35">
        <v>43255</v>
      </c>
      <c r="G26">
        <v>6</v>
      </c>
      <c r="H26">
        <v>10.07</v>
      </c>
      <c r="I26">
        <v>120.84</v>
      </c>
      <c r="J26" s="35"/>
      <c r="K26" s="47">
        <f t="shared" si="0"/>
        <v>7.2000000000000011</v>
      </c>
      <c r="L26" s="47" t="str">
        <f t="shared" si="1"/>
        <v>seg</v>
      </c>
      <c r="M26" s="47" t="str">
        <f>IFERROR(VLOOKUP(A26,RECEITAS!A:B,2,FALSE),"")</f>
        <v>DIRETO</v>
      </c>
      <c r="N26" s="47">
        <f t="shared" si="2"/>
        <v>72</v>
      </c>
      <c r="O26" s="35"/>
      <c r="R26" s="1"/>
      <c r="U26" s="1"/>
    </row>
    <row r="27" spans="1:21" x14ac:dyDescent="0.3">
      <c r="A27" t="s">
        <v>35</v>
      </c>
      <c r="B27" t="s">
        <v>159</v>
      </c>
      <c r="C27">
        <v>3</v>
      </c>
      <c r="D27">
        <v>0.03</v>
      </c>
      <c r="E27" t="s">
        <v>163</v>
      </c>
      <c r="F27" s="35">
        <v>43255</v>
      </c>
      <c r="G27">
        <v>15</v>
      </c>
      <c r="H27">
        <v>8.6300000000000008</v>
      </c>
      <c r="I27">
        <v>25.89</v>
      </c>
      <c r="J27" s="35"/>
      <c r="K27" s="47">
        <f t="shared" si="0"/>
        <v>1.3499999999999999</v>
      </c>
      <c r="L27" s="47" t="str">
        <f t="shared" si="1"/>
        <v>seg</v>
      </c>
      <c r="M27" s="47" t="str">
        <f>IFERROR(VLOOKUP(A27,RECEITAS!A:B,2,FALSE),"")</f>
        <v>DIRETO</v>
      </c>
      <c r="N27" s="47">
        <f t="shared" si="2"/>
        <v>45</v>
      </c>
      <c r="O27" s="35"/>
    </row>
    <row r="28" spans="1:21" x14ac:dyDescent="0.3">
      <c r="A28" t="s">
        <v>35</v>
      </c>
      <c r="B28" t="s">
        <v>155</v>
      </c>
      <c r="C28">
        <v>1</v>
      </c>
      <c r="D28">
        <v>7.0000000000000007E-2</v>
      </c>
      <c r="E28" t="s">
        <v>163</v>
      </c>
      <c r="F28" s="35">
        <v>43255</v>
      </c>
      <c r="G28">
        <v>6</v>
      </c>
      <c r="H28">
        <v>8</v>
      </c>
      <c r="I28">
        <v>8</v>
      </c>
      <c r="J28" s="35"/>
      <c r="K28" s="47">
        <f t="shared" si="0"/>
        <v>0.42000000000000004</v>
      </c>
      <c r="L28" s="47" t="str">
        <f t="shared" si="1"/>
        <v>seg</v>
      </c>
      <c r="M28" s="47" t="str">
        <f>IFERROR(VLOOKUP(A28,RECEITAS!A:B,2,FALSE),"")</f>
        <v>DIRETO</v>
      </c>
      <c r="N28" s="47">
        <f t="shared" si="2"/>
        <v>6</v>
      </c>
      <c r="O28" s="35"/>
    </row>
    <row r="29" spans="1:21" x14ac:dyDescent="0.3">
      <c r="A29" t="s">
        <v>61</v>
      </c>
      <c r="B29" t="s">
        <v>155</v>
      </c>
      <c r="C29">
        <v>30</v>
      </c>
      <c r="D29">
        <v>7.0000000000000007E-2</v>
      </c>
      <c r="E29" t="s">
        <v>163</v>
      </c>
      <c r="F29" s="35">
        <v>43255</v>
      </c>
      <c r="G29">
        <v>6</v>
      </c>
      <c r="H29">
        <v>10.35</v>
      </c>
      <c r="I29">
        <v>310.5</v>
      </c>
      <c r="J29" s="35"/>
      <c r="K29" s="47">
        <f t="shared" si="0"/>
        <v>12.600000000000001</v>
      </c>
      <c r="L29" s="47" t="str">
        <f t="shared" si="1"/>
        <v>seg</v>
      </c>
      <c r="M29" s="47" t="str">
        <f>IFERROR(VLOOKUP(A29,RECEITAS!A:B,2,FALSE),"")</f>
        <v>DIRETO</v>
      </c>
      <c r="N29" s="47">
        <f t="shared" si="2"/>
        <v>180</v>
      </c>
      <c r="O29" s="35"/>
    </row>
    <row r="30" spans="1:21" x14ac:dyDescent="0.3">
      <c r="A30" t="s">
        <v>30</v>
      </c>
      <c r="B30" t="s">
        <v>164</v>
      </c>
      <c r="C30">
        <v>8</v>
      </c>
      <c r="D30">
        <v>0.11</v>
      </c>
      <c r="E30" t="s">
        <v>165</v>
      </c>
      <c r="F30" s="35">
        <v>43255</v>
      </c>
      <c r="G30">
        <v>6</v>
      </c>
      <c r="H30">
        <v>10.35</v>
      </c>
      <c r="I30">
        <v>82.8</v>
      </c>
      <c r="J30" s="35"/>
      <c r="K30" s="47">
        <f t="shared" si="0"/>
        <v>5.28</v>
      </c>
      <c r="L30" s="47" t="str">
        <f t="shared" si="1"/>
        <v>seg</v>
      </c>
      <c r="M30" s="47" t="str">
        <f>IFERROR(VLOOKUP(A30,RECEITAS!A:B,2,FALSE),"")</f>
        <v>RÚSTICO</v>
      </c>
      <c r="N30" s="47">
        <f t="shared" si="2"/>
        <v>48</v>
      </c>
      <c r="O30" s="35"/>
    </row>
    <row r="31" spans="1:21" x14ac:dyDescent="0.3">
      <c r="A31" t="s">
        <v>30</v>
      </c>
      <c r="B31" t="s">
        <v>30</v>
      </c>
      <c r="C31">
        <v>3</v>
      </c>
      <c r="D31">
        <v>0.11</v>
      </c>
      <c r="E31" t="s">
        <v>165</v>
      </c>
      <c r="F31" s="35">
        <v>43255</v>
      </c>
      <c r="G31">
        <v>10</v>
      </c>
      <c r="H31">
        <v>23</v>
      </c>
      <c r="I31">
        <v>69</v>
      </c>
      <c r="J31" s="35"/>
      <c r="K31" s="47">
        <f t="shared" si="0"/>
        <v>3.3000000000000003</v>
      </c>
      <c r="L31" s="47" t="str">
        <f t="shared" si="1"/>
        <v>seg</v>
      </c>
      <c r="M31" s="47" t="str">
        <f>IFERROR(VLOOKUP(A31,RECEITAS!A:B,2,FALSE),"")</f>
        <v>RÚSTICO</v>
      </c>
      <c r="N31" s="47">
        <f t="shared" si="2"/>
        <v>30</v>
      </c>
      <c r="O31" s="35"/>
    </row>
    <row r="32" spans="1:21" x14ac:dyDescent="0.3">
      <c r="A32" t="s">
        <v>47</v>
      </c>
      <c r="B32" t="s">
        <v>166</v>
      </c>
      <c r="C32">
        <v>7</v>
      </c>
      <c r="D32">
        <v>0.11</v>
      </c>
      <c r="E32" t="s">
        <v>165</v>
      </c>
      <c r="F32" s="35">
        <v>43255</v>
      </c>
      <c r="G32">
        <v>6</v>
      </c>
      <c r="H32">
        <v>9.66</v>
      </c>
      <c r="I32">
        <v>67.62</v>
      </c>
      <c r="J32" s="35"/>
      <c r="K32" s="47">
        <f t="shared" si="0"/>
        <v>4.62</v>
      </c>
      <c r="L32" s="47" t="str">
        <f t="shared" si="1"/>
        <v>seg</v>
      </c>
      <c r="M32" s="47" t="str">
        <f>IFERROR(VLOOKUP(A32,RECEITAS!A:B,2,FALSE),"")</f>
        <v>RÚSTICO</v>
      </c>
      <c r="N32" s="47">
        <f t="shared" si="2"/>
        <v>42</v>
      </c>
      <c r="O32" s="35"/>
    </row>
    <row r="33" spans="1:15" x14ac:dyDescent="0.3">
      <c r="A33" t="s">
        <v>20</v>
      </c>
      <c r="B33" t="s">
        <v>145</v>
      </c>
      <c r="C33">
        <v>8</v>
      </c>
      <c r="D33">
        <v>0.1</v>
      </c>
      <c r="E33" t="s">
        <v>165</v>
      </c>
      <c r="F33" s="35">
        <v>43255</v>
      </c>
      <c r="G33">
        <v>6</v>
      </c>
      <c r="H33">
        <v>11.18</v>
      </c>
      <c r="I33">
        <v>89.44</v>
      </c>
      <c r="J33" s="35"/>
      <c r="K33" s="47">
        <f t="shared" si="0"/>
        <v>4.8000000000000007</v>
      </c>
      <c r="L33" s="47" t="str">
        <f t="shared" si="1"/>
        <v>seg</v>
      </c>
      <c r="M33" s="47" t="str">
        <f>IFERROR(VLOOKUP(A33,RECEITAS!A:B,2,FALSE),"")</f>
        <v>DIRETO</v>
      </c>
      <c r="N33" s="47">
        <f t="shared" si="2"/>
        <v>48</v>
      </c>
      <c r="O33" s="35"/>
    </row>
    <row r="34" spans="1:15" x14ac:dyDescent="0.3">
      <c r="A34" t="s">
        <v>25</v>
      </c>
      <c r="B34" t="s">
        <v>145</v>
      </c>
      <c r="C34">
        <v>7</v>
      </c>
      <c r="D34">
        <v>0.1</v>
      </c>
      <c r="E34" t="s">
        <v>165</v>
      </c>
      <c r="F34" s="35">
        <v>43255</v>
      </c>
      <c r="G34">
        <v>6</v>
      </c>
      <c r="H34">
        <v>12.42</v>
      </c>
      <c r="I34">
        <v>86.94</v>
      </c>
      <c r="J34" s="35"/>
      <c r="K34" s="47">
        <f t="shared" si="0"/>
        <v>4.2000000000000011</v>
      </c>
      <c r="L34" s="47" t="str">
        <f t="shared" si="1"/>
        <v>seg</v>
      </c>
      <c r="M34" s="47" t="str">
        <f>IFERROR(VLOOKUP(A34,RECEITAS!A:B,2,FALSE),"")</f>
        <v>DIRETO</v>
      </c>
      <c r="N34" s="47">
        <f t="shared" si="2"/>
        <v>42</v>
      </c>
      <c r="O34" s="35"/>
    </row>
    <row r="35" spans="1:15" x14ac:dyDescent="0.3">
      <c r="A35" t="s">
        <v>167</v>
      </c>
      <c r="B35" t="s">
        <v>168</v>
      </c>
      <c r="C35">
        <v>3</v>
      </c>
      <c r="D35">
        <v>1</v>
      </c>
      <c r="E35" t="s">
        <v>165</v>
      </c>
      <c r="F35" s="35">
        <v>43255</v>
      </c>
      <c r="G35">
        <v>1</v>
      </c>
      <c r="H35">
        <v>25.42</v>
      </c>
      <c r="I35">
        <v>76.260000000000005</v>
      </c>
      <c r="J35" s="35"/>
      <c r="K35" s="47">
        <f t="shared" si="0"/>
        <v>3</v>
      </c>
      <c r="L35" s="47" t="str">
        <f t="shared" si="1"/>
        <v>seg</v>
      </c>
      <c r="M35" s="47" t="str">
        <f>IFERROR(VLOOKUP(A35,RECEITAS!A:B,2,FALSE),"")</f>
        <v/>
      </c>
      <c r="N35" s="47">
        <f t="shared" si="2"/>
        <v>3</v>
      </c>
      <c r="O35" s="35"/>
    </row>
    <row r="36" spans="1:15" x14ac:dyDescent="0.3">
      <c r="A36" t="s">
        <v>21</v>
      </c>
      <c r="B36" t="s">
        <v>159</v>
      </c>
      <c r="C36">
        <v>24</v>
      </c>
      <c r="D36">
        <v>0.12</v>
      </c>
      <c r="E36" t="s">
        <v>169</v>
      </c>
      <c r="F36" s="35">
        <v>43256</v>
      </c>
      <c r="G36">
        <v>6</v>
      </c>
      <c r="H36">
        <v>9.8000000000000007</v>
      </c>
      <c r="I36">
        <v>235.2</v>
      </c>
      <c r="J36" s="35"/>
      <c r="K36" s="47">
        <f t="shared" si="0"/>
        <v>17.28</v>
      </c>
      <c r="L36" s="47" t="str">
        <f t="shared" si="1"/>
        <v>ter</v>
      </c>
      <c r="M36" s="47" t="str">
        <f>IFERROR(VLOOKUP(A36,RECEITAS!A:B,2,FALSE),"")</f>
        <v>DIRETO</v>
      </c>
      <c r="N36" s="47">
        <f t="shared" si="2"/>
        <v>144</v>
      </c>
      <c r="O36" s="35"/>
    </row>
    <row r="37" spans="1:15" x14ac:dyDescent="0.3">
      <c r="A37" t="s">
        <v>20</v>
      </c>
      <c r="B37" t="s">
        <v>145</v>
      </c>
      <c r="C37">
        <v>3</v>
      </c>
      <c r="D37">
        <v>0.1</v>
      </c>
      <c r="E37" t="s">
        <v>170</v>
      </c>
      <c r="F37" s="35">
        <v>43256</v>
      </c>
      <c r="G37">
        <v>6</v>
      </c>
      <c r="H37">
        <v>11.18</v>
      </c>
      <c r="I37">
        <v>33.54</v>
      </c>
      <c r="J37" s="35"/>
      <c r="K37" s="47">
        <f t="shared" si="0"/>
        <v>1.8000000000000003</v>
      </c>
      <c r="L37" s="47" t="str">
        <f t="shared" si="1"/>
        <v>ter</v>
      </c>
      <c r="M37" s="47" t="str">
        <f>IFERROR(VLOOKUP(A37,RECEITAS!A:B,2,FALSE),"")</f>
        <v>DIRETO</v>
      </c>
      <c r="N37" s="47">
        <f t="shared" si="2"/>
        <v>18</v>
      </c>
      <c r="O37" s="35"/>
    </row>
    <row r="38" spans="1:15" x14ac:dyDescent="0.3">
      <c r="A38" t="s">
        <v>25</v>
      </c>
      <c r="B38" t="s">
        <v>145</v>
      </c>
      <c r="C38">
        <v>7</v>
      </c>
      <c r="D38">
        <v>0.1</v>
      </c>
      <c r="E38" t="s">
        <v>170</v>
      </c>
      <c r="F38" s="35">
        <v>43256</v>
      </c>
      <c r="G38">
        <v>6</v>
      </c>
      <c r="H38">
        <v>12.42</v>
      </c>
      <c r="I38">
        <v>86.94</v>
      </c>
      <c r="J38" s="35"/>
      <c r="K38" s="47">
        <f t="shared" si="0"/>
        <v>4.2000000000000011</v>
      </c>
      <c r="L38" s="47" t="str">
        <f t="shared" si="1"/>
        <v>ter</v>
      </c>
      <c r="M38" s="47" t="str">
        <f>IFERROR(VLOOKUP(A38,RECEITAS!A:B,2,FALSE),"")</f>
        <v>DIRETO</v>
      </c>
      <c r="N38" s="47">
        <f t="shared" si="2"/>
        <v>42</v>
      </c>
      <c r="O38" s="35"/>
    </row>
    <row r="39" spans="1:15" x14ac:dyDescent="0.3">
      <c r="A39" t="s">
        <v>20</v>
      </c>
      <c r="B39" t="s">
        <v>145</v>
      </c>
      <c r="C39">
        <v>4</v>
      </c>
      <c r="D39">
        <v>0.1</v>
      </c>
      <c r="E39" t="s">
        <v>170</v>
      </c>
      <c r="F39" s="35">
        <v>43256</v>
      </c>
      <c r="G39">
        <v>6</v>
      </c>
      <c r="H39">
        <v>11.18</v>
      </c>
      <c r="I39">
        <v>44.72</v>
      </c>
      <c r="J39" s="35"/>
      <c r="K39" s="47">
        <f t="shared" si="0"/>
        <v>2.4000000000000004</v>
      </c>
      <c r="L39" s="47" t="str">
        <f t="shared" si="1"/>
        <v>ter</v>
      </c>
      <c r="M39" s="47" t="str">
        <f>IFERROR(VLOOKUP(A39,RECEITAS!A:B,2,FALSE),"")</f>
        <v>DIRETO</v>
      </c>
      <c r="N39" s="47">
        <f t="shared" si="2"/>
        <v>24</v>
      </c>
      <c r="O39" s="35"/>
    </row>
    <row r="40" spans="1:15" x14ac:dyDescent="0.3">
      <c r="A40" t="s">
        <v>25</v>
      </c>
      <c r="B40" t="s">
        <v>145</v>
      </c>
      <c r="C40">
        <v>7</v>
      </c>
      <c r="D40">
        <v>0.1</v>
      </c>
      <c r="E40" t="s">
        <v>170</v>
      </c>
      <c r="F40" s="35">
        <v>43256</v>
      </c>
      <c r="G40">
        <v>6</v>
      </c>
      <c r="H40">
        <v>12.42</v>
      </c>
      <c r="I40">
        <v>86.94</v>
      </c>
      <c r="J40" s="35"/>
      <c r="K40" s="47">
        <f t="shared" si="0"/>
        <v>4.2000000000000011</v>
      </c>
      <c r="L40" s="47" t="str">
        <f t="shared" si="1"/>
        <v>ter</v>
      </c>
      <c r="M40" s="47" t="str">
        <f>IFERROR(VLOOKUP(A40,RECEITAS!A:B,2,FALSE),"")</f>
        <v>DIRETO</v>
      </c>
      <c r="N40" s="47">
        <f t="shared" si="2"/>
        <v>42</v>
      </c>
      <c r="O40" s="35"/>
    </row>
    <row r="41" spans="1:15" x14ac:dyDescent="0.3">
      <c r="A41" t="s">
        <v>62</v>
      </c>
      <c r="B41" t="s">
        <v>155</v>
      </c>
      <c r="C41">
        <v>30</v>
      </c>
      <c r="D41">
        <v>7.0000000000000007E-2</v>
      </c>
      <c r="E41" t="s">
        <v>163</v>
      </c>
      <c r="F41" s="35">
        <v>43256</v>
      </c>
      <c r="G41">
        <v>6</v>
      </c>
      <c r="H41">
        <v>10.35</v>
      </c>
      <c r="I41">
        <v>310.5</v>
      </c>
      <c r="J41" s="35"/>
      <c r="K41" s="47">
        <f t="shared" si="0"/>
        <v>12.600000000000001</v>
      </c>
      <c r="L41" s="47" t="str">
        <f t="shared" si="1"/>
        <v>ter</v>
      </c>
      <c r="M41" s="47" t="str">
        <f>IFERROR(VLOOKUP(A41,RECEITAS!A:B,2,FALSE),"")</f>
        <v>DIRETO</v>
      </c>
      <c r="N41" s="47">
        <f t="shared" si="2"/>
        <v>180</v>
      </c>
      <c r="O41" s="35"/>
    </row>
    <row r="42" spans="1:15" x14ac:dyDescent="0.3">
      <c r="A42" t="s">
        <v>28</v>
      </c>
      <c r="B42" t="s">
        <v>151</v>
      </c>
      <c r="C42">
        <v>6</v>
      </c>
      <c r="D42">
        <v>0.08</v>
      </c>
      <c r="E42" t="s">
        <v>171</v>
      </c>
      <c r="F42" s="35">
        <v>43256</v>
      </c>
      <c r="G42">
        <v>1</v>
      </c>
      <c r="H42">
        <v>0.92</v>
      </c>
      <c r="I42">
        <v>5.52</v>
      </c>
      <c r="J42" s="35"/>
      <c r="K42" s="47">
        <f t="shared" si="0"/>
        <v>0.48</v>
      </c>
      <c r="L42" s="47" t="str">
        <f t="shared" si="1"/>
        <v>ter</v>
      </c>
      <c r="M42" s="47" t="str">
        <f>IFERROR(VLOOKUP(A42,RECEITAS!A:B,2,FALSE),"")</f>
        <v>DIRETO</v>
      </c>
      <c r="N42" s="47">
        <f t="shared" si="2"/>
        <v>6</v>
      </c>
      <c r="O42" s="35"/>
    </row>
    <row r="43" spans="1:15" x14ac:dyDescent="0.3">
      <c r="A43" t="s">
        <v>25</v>
      </c>
      <c r="B43" t="s">
        <v>145</v>
      </c>
      <c r="C43">
        <v>1</v>
      </c>
      <c r="D43">
        <v>0.1</v>
      </c>
      <c r="E43" t="s">
        <v>171</v>
      </c>
      <c r="F43" s="35">
        <v>43256</v>
      </c>
      <c r="G43">
        <v>6</v>
      </c>
      <c r="H43">
        <v>12.42</v>
      </c>
      <c r="I43">
        <v>12.42</v>
      </c>
      <c r="J43" s="35"/>
      <c r="K43" s="47">
        <f t="shared" si="0"/>
        <v>0.60000000000000009</v>
      </c>
      <c r="L43" s="47" t="str">
        <f t="shared" si="1"/>
        <v>ter</v>
      </c>
      <c r="M43" s="47" t="str">
        <f>IFERROR(VLOOKUP(A43,RECEITAS!A:B,2,FALSE),"")</f>
        <v>DIRETO</v>
      </c>
      <c r="N43" s="47">
        <f t="shared" si="2"/>
        <v>6</v>
      </c>
      <c r="O43" s="35"/>
    </row>
    <row r="44" spans="1:15" x14ac:dyDescent="0.3">
      <c r="A44" t="s">
        <v>22</v>
      </c>
      <c r="B44" t="s">
        <v>145</v>
      </c>
      <c r="C44">
        <v>1</v>
      </c>
      <c r="D44">
        <v>0.1</v>
      </c>
      <c r="E44" t="s">
        <v>171</v>
      </c>
      <c r="F44" s="35">
        <v>43256</v>
      </c>
      <c r="G44">
        <v>6</v>
      </c>
      <c r="H44">
        <v>12.42</v>
      </c>
      <c r="I44">
        <v>12.42</v>
      </c>
      <c r="J44" s="35"/>
      <c r="K44" s="47">
        <f t="shared" si="0"/>
        <v>0.60000000000000009</v>
      </c>
      <c r="L44" s="47" t="str">
        <f t="shared" si="1"/>
        <v>ter</v>
      </c>
      <c r="M44" s="47" t="str">
        <f>IFERROR(VLOOKUP(A44,RECEITAS!A:B,2,FALSE),"")</f>
        <v>DIRETO</v>
      </c>
      <c r="N44" s="47">
        <f t="shared" si="2"/>
        <v>6</v>
      </c>
      <c r="O44" s="35"/>
    </row>
    <row r="45" spans="1:15" x14ac:dyDescent="0.3">
      <c r="A45" t="s">
        <v>25</v>
      </c>
      <c r="B45" t="s">
        <v>172</v>
      </c>
      <c r="C45">
        <v>5</v>
      </c>
      <c r="D45">
        <v>0.11</v>
      </c>
      <c r="E45" t="s">
        <v>173</v>
      </c>
      <c r="F45" s="35">
        <v>43256</v>
      </c>
      <c r="G45">
        <v>6</v>
      </c>
      <c r="H45">
        <v>12.42</v>
      </c>
      <c r="I45">
        <v>62.1</v>
      </c>
      <c r="J45" s="35"/>
      <c r="K45" s="47">
        <f t="shared" si="0"/>
        <v>3.3000000000000003</v>
      </c>
      <c r="L45" s="47" t="str">
        <f t="shared" si="1"/>
        <v>ter</v>
      </c>
      <c r="M45" s="47" t="str">
        <f>IFERROR(VLOOKUP(A45,RECEITAS!A:B,2,FALSE),"")</f>
        <v>DIRETO</v>
      </c>
      <c r="N45" s="47">
        <f t="shared" si="2"/>
        <v>30</v>
      </c>
      <c r="O45" s="35"/>
    </row>
    <row r="46" spans="1:15" x14ac:dyDescent="0.3">
      <c r="A46" t="s">
        <v>20</v>
      </c>
      <c r="B46" t="s">
        <v>164</v>
      </c>
      <c r="C46">
        <v>2</v>
      </c>
      <c r="D46">
        <v>0.14000000000000001</v>
      </c>
      <c r="E46" t="s">
        <v>174</v>
      </c>
      <c r="F46" s="35">
        <v>43256</v>
      </c>
      <c r="G46">
        <v>4</v>
      </c>
      <c r="H46">
        <v>9.66</v>
      </c>
      <c r="I46">
        <v>19.32</v>
      </c>
      <c r="J46" s="35"/>
      <c r="K46" s="47">
        <f t="shared" si="0"/>
        <v>1.1200000000000001</v>
      </c>
      <c r="L46" s="47" t="str">
        <f t="shared" si="1"/>
        <v>ter</v>
      </c>
      <c r="M46" s="47" t="str">
        <f>IFERROR(VLOOKUP(A46,RECEITAS!A:B,2,FALSE),"")</f>
        <v>DIRETO</v>
      </c>
      <c r="N46" s="47">
        <f t="shared" si="2"/>
        <v>8</v>
      </c>
      <c r="O46" s="35"/>
    </row>
    <row r="47" spans="1:15" x14ac:dyDescent="0.3">
      <c r="A47" t="s">
        <v>32</v>
      </c>
      <c r="B47" t="s">
        <v>164</v>
      </c>
      <c r="C47">
        <v>2</v>
      </c>
      <c r="D47">
        <v>0.14000000000000001</v>
      </c>
      <c r="E47" t="s">
        <v>174</v>
      </c>
      <c r="F47" s="35">
        <v>43256</v>
      </c>
      <c r="G47">
        <v>4</v>
      </c>
      <c r="H47">
        <v>8.6300000000000008</v>
      </c>
      <c r="I47">
        <v>17.260000000000002</v>
      </c>
      <c r="J47" s="35"/>
      <c r="K47" s="47">
        <f t="shared" si="0"/>
        <v>1.1200000000000001</v>
      </c>
      <c r="L47" s="47" t="str">
        <f t="shared" si="1"/>
        <v>ter</v>
      </c>
      <c r="M47" s="47" t="str">
        <f>IFERROR(VLOOKUP(A47,RECEITAS!A:B,2,FALSE),"")</f>
        <v>DIRETO</v>
      </c>
      <c r="N47" s="47">
        <f t="shared" si="2"/>
        <v>8</v>
      </c>
      <c r="O47" s="35"/>
    </row>
    <row r="48" spans="1:15" x14ac:dyDescent="0.3">
      <c r="A48" t="s">
        <v>22</v>
      </c>
      <c r="B48" t="s">
        <v>164</v>
      </c>
      <c r="C48">
        <v>2</v>
      </c>
      <c r="D48">
        <v>0.14000000000000001</v>
      </c>
      <c r="E48" t="s">
        <v>174</v>
      </c>
      <c r="F48" s="35">
        <v>43256</v>
      </c>
      <c r="G48">
        <v>4</v>
      </c>
      <c r="H48">
        <v>11.87</v>
      </c>
      <c r="I48">
        <v>23.74</v>
      </c>
      <c r="J48" s="35"/>
      <c r="K48" s="47">
        <f t="shared" si="0"/>
        <v>1.1200000000000001</v>
      </c>
      <c r="L48" s="47" t="str">
        <f t="shared" si="1"/>
        <v>ter</v>
      </c>
      <c r="M48" s="47" t="str">
        <f>IFERROR(VLOOKUP(A48,RECEITAS!A:B,2,FALSE),"")</f>
        <v>DIRETO</v>
      </c>
      <c r="N48" s="47">
        <f t="shared" si="2"/>
        <v>8</v>
      </c>
      <c r="O48" s="35"/>
    </row>
    <row r="49" spans="1:15" x14ac:dyDescent="0.3">
      <c r="A49" t="s">
        <v>28</v>
      </c>
      <c r="B49" t="s">
        <v>151</v>
      </c>
      <c r="C49">
        <v>5</v>
      </c>
      <c r="D49">
        <v>0.11</v>
      </c>
      <c r="E49" t="s">
        <v>175</v>
      </c>
      <c r="F49" s="35">
        <v>43256</v>
      </c>
      <c r="G49">
        <v>5</v>
      </c>
      <c r="H49">
        <v>5.75</v>
      </c>
      <c r="I49">
        <v>28.75</v>
      </c>
      <c r="J49" s="35"/>
      <c r="K49" s="47">
        <f t="shared" si="0"/>
        <v>2.75</v>
      </c>
      <c r="L49" s="47" t="str">
        <f t="shared" si="1"/>
        <v>ter</v>
      </c>
      <c r="M49" s="47" t="str">
        <f>IFERROR(VLOOKUP(A49,RECEITAS!A:B,2,FALSE),"")</f>
        <v>DIRETO</v>
      </c>
      <c r="N49" s="47">
        <f t="shared" si="2"/>
        <v>25</v>
      </c>
      <c r="O49" s="35"/>
    </row>
    <row r="50" spans="1:15" x14ac:dyDescent="0.3">
      <c r="A50" t="s">
        <v>113</v>
      </c>
      <c r="B50" t="s">
        <v>148</v>
      </c>
      <c r="C50">
        <v>5</v>
      </c>
      <c r="D50">
        <v>0.13</v>
      </c>
      <c r="E50" t="s">
        <v>175</v>
      </c>
      <c r="F50" s="35">
        <v>43256</v>
      </c>
      <c r="G50">
        <v>4</v>
      </c>
      <c r="H50">
        <v>9.3800000000000008</v>
      </c>
      <c r="I50">
        <v>46.9</v>
      </c>
      <c r="J50" s="35"/>
      <c r="K50" s="47">
        <f t="shared" si="0"/>
        <v>2.6</v>
      </c>
      <c r="L50" s="47" t="str">
        <f t="shared" si="1"/>
        <v>ter</v>
      </c>
      <c r="M50" s="47" t="str">
        <f>IFERROR(VLOOKUP(A50,RECEITAS!A:B,2,FALSE),"")</f>
        <v>RÚSTICO</v>
      </c>
      <c r="N50" s="47">
        <f t="shared" si="2"/>
        <v>20</v>
      </c>
      <c r="O50" s="35"/>
    </row>
    <row r="51" spans="1:15" x14ac:dyDescent="0.3">
      <c r="A51" t="s">
        <v>28</v>
      </c>
      <c r="B51" t="s">
        <v>159</v>
      </c>
      <c r="C51">
        <v>5</v>
      </c>
      <c r="D51">
        <v>0.11</v>
      </c>
      <c r="E51" t="s">
        <v>175</v>
      </c>
      <c r="F51" s="35">
        <v>43256</v>
      </c>
      <c r="G51">
        <v>5</v>
      </c>
      <c r="H51">
        <v>6.9</v>
      </c>
      <c r="I51">
        <v>34.5</v>
      </c>
      <c r="J51" s="35"/>
      <c r="K51" s="47">
        <f t="shared" si="0"/>
        <v>2.75</v>
      </c>
      <c r="L51" s="47" t="str">
        <f t="shared" si="1"/>
        <v>ter</v>
      </c>
      <c r="M51" s="47" t="str">
        <f>IFERROR(VLOOKUP(A51,RECEITAS!A:B,2,FALSE),"")</f>
        <v>DIRETO</v>
      </c>
      <c r="N51" s="47">
        <f t="shared" si="2"/>
        <v>25</v>
      </c>
      <c r="O51" s="35"/>
    </row>
    <row r="52" spans="1:15" x14ac:dyDescent="0.3">
      <c r="A52" t="s">
        <v>21</v>
      </c>
      <c r="B52" t="s">
        <v>145</v>
      </c>
      <c r="C52">
        <v>5</v>
      </c>
      <c r="D52">
        <v>0.1</v>
      </c>
      <c r="E52" t="s">
        <v>175</v>
      </c>
      <c r="F52" s="35">
        <v>43256</v>
      </c>
      <c r="G52">
        <v>6</v>
      </c>
      <c r="H52">
        <v>10.07</v>
      </c>
      <c r="I52">
        <v>50.35</v>
      </c>
      <c r="J52" s="35"/>
      <c r="K52" s="47">
        <f t="shared" si="0"/>
        <v>3.0000000000000004</v>
      </c>
      <c r="L52" s="47" t="str">
        <f t="shared" si="1"/>
        <v>ter</v>
      </c>
      <c r="M52" s="47" t="str">
        <f>IFERROR(VLOOKUP(A52,RECEITAS!A:B,2,FALSE),"")</f>
        <v>DIRETO</v>
      </c>
      <c r="N52" s="47">
        <f t="shared" si="2"/>
        <v>30</v>
      </c>
      <c r="O52" s="35"/>
    </row>
    <row r="53" spans="1:15" x14ac:dyDescent="0.3">
      <c r="A53" t="s">
        <v>49</v>
      </c>
      <c r="B53" t="s">
        <v>155</v>
      </c>
      <c r="C53">
        <v>3</v>
      </c>
      <c r="D53">
        <v>7.0000000000000007E-2</v>
      </c>
      <c r="E53" t="s">
        <v>176</v>
      </c>
      <c r="F53" s="35">
        <v>43256</v>
      </c>
      <c r="G53">
        <v>6</v>
      </c>
      <c r="H53">
        <v>10.49</v>
      </c>
      <c r="I53">
        <v>31.47</v>
      </c>
      <c r="J53" s="35"/>
      <c r="K53" s="47">
        <f t="shared" si="0"/>
        <v>1.2600000000000002</v>
      </c>
      <c r="L53" s="47" t="str">
        <f t="shared" si="1"/>
        <v>ter</v>
      </c>
      <c r="M53" s="47" t="str">
        <f>IFERROR(VLOOKUP(A53,RECEITAS!A:B,2,FALSE),"")</f>
        <v>DIRETO</v>
      </c>
      <c r="N53" s="47">
        <f t="shared" si="2"/>
        <v>18</v>
      </c>
      <c r="O53" s="35"/>
    </row>
    <row r="54" spans="1:15" x14ac:dyDescent="0.3">
      <c r="A54" t="s">
        <v>21</v>
      </c>
      <c r="B54" t="s">
        <v>155</v>
      </c>
      <c r="C54">
        <v>22</v>
      </c>
      <c r="D54">
        <v>7.0000000000000007E-2</v>
      </c>
      <c r="E54" t="s">
        <v>176</v>
      </c>
      <c r="F54" s="35">
        <v>43256</v>
      </c>
      <c r="G54">
        <v>6</v>
      </c>
      <c r="H54">
        <v>8.49</v>
      </c>
      <c r="I54">
        <v>186.78</v>
      </c>
      <c r="J54" s="35"/>
      <c r="K54" s="47">
        <f t="shared" si="0"/>
        <v>9.24</v>
      </c>
      <c r="L54" s="47" t="str">
        <f t="shared" si="1"/>
        <v>ter</v>
      </c>
      <c r="M54" s="47" t="str">
        <f>IFERROR(VLOOKUP(A54,RECEITAS!A:B,2,FALSE),"")</f>
        <v>DIRETO</v>
      </c>
      <c r="N54" s="47">
        <f t="shared" si="2"/>
        <v>132</v>
      </c>
      <c r="O54" s="35"/>
    </row>
    <row r="55" spans="1:15" x14ac:dyDescent="0.3">
      <c r="A55" t="s">
        <v>21</v>
      </c>
      <c r="B55" t="s">
        <v>164</v>
      </c>
      <c r="C55">
        <v>10</v>
      </c>
      <c r="D55">
        <v>0.14000000000000001</v>
      </c>
      <c r="E55" t="s">
        <v>177</v>
      </c>
      <c r="F55" s="35">
        <v>43256</v>
      </c>
      <c r="G55">
        <v>4</v>
      </c>
      <c r="H55">
        <v>7.48</v>
      </c>
      <c r="I55">
        <v>74.8</v>
      </c>
      <c r="J55" s="35"/>
      <c r="K55" s="47">
        <f t="shared" si="0"/>
        <v>5.6000000000000005</v>
      </c>
      <c r="L55" s="47" t="str">
        <f t="shared" si="1"/>
        <v>ter</v>
      </c>
      <c r="M55" s="47" t="str">
        <f>IFERROR(VLOOKUP(A55,RECEITAS!A:B,2,FALSE),"")</f>
        <v>DIRETO</v>
      </c>
      <c r="N55" s="47">
        <f t="shared" si="2"/>
        <v>40</v>
      </c>
      <c r="O55" s="35"/>
    </row>
    <row r="56" spans="1:15" x14ac:dyDescent="0.3">
      <c r="A56" t="s">
        <v>21</v>
      </c>
      <c r="B56" t="s">
        <v>159</v>
      </c>
      <c r="C56">
        <v>20</v>
      </c>
      <c r="D56">
        <v>0.12</v>
      </c>
      <c r="E56" t="s">
        <v>177</v>
      </c>
      <c r="F56" s="35">
        <v>43256</v>
      </c>
      <c r="G56">
        <v>5</v>
      </c>
      <c r="H56">
        <v>10.35</v>
      </c>
      <c r="I56">
        <v>207</v>
      </c>
      <c r="J56" s="35"/>
      <c r="K56" s="47">
        <f t="shared" si="0"/>
        <v>12</v>
      </c>
      <c r="L56" s="47" t="str">
        <f t="shared" si="1"/>
        <v>ter</v>
      </c>
      <c r="M56" s="47" t="str">
        <f>IFERROR(VLOOKUP(A56,RECEITAS!A:B,2,FALSE),"")</f>
        <v>DIRETO</v>
      </c>
      <c r="N56" s="47">
        <f t="shared" si="2"/>
        <v>100</v>
      </c>
      <c r="O56" s="35"/>
    </row>
    <row r="57" spans="1:15" x14ac:dyDescent="0.3">
      <c r="A57" t="s">
        <v>20</v>
      </c>
      <c r="B57" t="s">
        <v>159</v>
      </c>
      <c r="C57">
        <v>5</v>
      </c>
      <c r="D57">
        <v>0.12</v>
      </c>
      <c r="E57" t="s">
        <v>177</v>
      </c>
      <c r="F57" s="35">
        <v>43256</v>
      </c>
      <c r="G57">
        <v>5</v>
      </c>
      <c r="H57">
        <v>9.1999999999999993</v>
      </c>
      <c r="I57">
        <v>46</v>
      </c>
      <c r="J57" s="35"/>
      <c r="K57" s="47">
        <f t="shared" si="0"/>
        <v>3</v>
      </c>
      <c r="L57" s="47" t="str">
        <f t="shared" si="1"/>
        <v>ter</v>
      </c>
      <c r="M57" s="47" t="str">
        <f>IFERROR(VLOOKUP(A57,RECEITAS!A:B,2,FALSE),"")</f>
        <v>DIRETO</v>
      </c>
      <c r="N57" s="47">
        <f t="shared" si="2"/>
        <v>25</v>
      </c>
      <c r="O57" s="35"/>
    </row>
    <row r="58" spans="1:15" x14ac:dyDescent="0.3">
      <c r="A58" t="s">
        <v>25</v>
      </c>
      <c r="B58" t="s">
        <v>159</v>
      </c>
      <c r="C58">
        <v>1</v>
      </c>
      <c r="D58">
        <v>0.11</v>
      </c>
      <c r="E58" t="s">
        <v>177</v>
      </c>
      <c r="F58" s="35">
        <v>43256</v>
      </c>
      <c r="G58">
        <v>5</v>
      </c>
      <c r="H58">
        <v>12.42</v>
      </c>
      <c r="I58">
        <v>12.42</v>
      </c>
      <c r="J58" s="35"/>
      <c r="K58" s="47">
        <f t="shared" si="0"/>
        <v>0.55000000000000004</v>
      </c>
      <c r="L58" s="47" t="str">
        <f t="shared" si="1"/>
        <v>ter</v>
      </c>
      <c r="M58" s="47" t="str">
        <f>IFERROR(VLOOKUP(A58,RECEITAS!A:B,2,FALSE),"")</f>
        <v>DIRETO</v>
      </c>
      <c r="N58" s="47">
        <f t="shared" si="2"/>
        <v>5</v>
      </c>
    </row>
    <row r="59" spans="1:15" x14ac:dyDescent="0.3">
      <c r="A59" t="s">
        <v>21</v>
      </c>
      <c r="B59" t="s">
        <v>159</v>
      </c>
      <c r="C59">
        <v>1</v>
      </c>
      <c r="D59">
        <v>0.12</v>
      </c>
      <c r="E59" t="s">
        <v>177</v>
      </c>
      <c r="F59" s="35">
        <v>43256</v>
      </c>
      <c r="G59">
        <v>6</v>
      </c>
      <c r="H59">
        <v>9.8000000000000007</v>
      </c>
      <c r="I59">
        <v>9.8000000000000007</v>
      </c>
      <c r="J59" s="35"/>
      <c r="K59" s="47">
        <f t="shared" si="0"/>
        <v>0.72</v>
      </c>
      <c r="L59" s="47" t="str">
        <f t="shared" si="1"/>
        <v>ter</v>
      </c>
      <c r="M59" s="47" t="str">
        <f>IFERROR(VLOOKUP(A59,RECEITAS!A:B,2,FALSE),"")</f>
        <v>DIRETO</v>
      </c>
      <c r="N59" s="47">
        <f t="shared" si="2"/>
        <v>6</v>
      </c>
    </row>
    <row r="60" spans="1:15" x14ac:dyDescent="0.3">
      <c r="A60" t="s">
        <v>50</v>
      </c>
      <c r="B60" t="s">
        <v>159</v>
      </c>
      <c r="C60">
        <v>1</v>
      </c>
      <c r="D60">
        <v>0.06</v>
      </c>
      <c r="E60" t="s">
        <v>178</v>
      </c>
      <c r="F60" s="35">
        <v>43256</v>
      </c>
      <c r="G60">
        <v>6</v>
      </c>
      <c r="H60">
        <v>20.7</v>
      </c>
      <c r="I60">
        <v>20.7</v>
      </c>
      <c r="J60" s="35"/>
      <c r="K60" s="47">
        <f t="shared" si="0"/>
        <v>0.36</v>
      </c>
      <c r="L60" s="47" t="str">
        <f t="shared" si="1"/>
        <v>ter</v>
      </c>
      <c r="M60" s="47" t="str">
        <f>IFERROR(VLOOKUP(A60,RECEITAS!A:B,2,FALSE),"")</f>
        <v>DIRETO</v>
      </c>
      <c r="N60" s="47">
        <f t="shared" si="2"/>
        <v>6</v>
      </c>
    </row>
    <row r="61" spans="1:15" x14ac:dyDescent="0.3">
      <c r="A61" t="s">
        <v>23</v>
      </c>
      <c r="B61" t="s">
        <v>156</v>
      </c>
      <c r="C61">
        <v>1</v>
      </c>
      <c r="D61">
        <v>0.35</v>
      </c>
      <c r="E61" t="s">
        <v>178</v>
      </c>
      <c r="F61" s="35">
        <v>43256</v>
      </c>
      <c r="G61">
        <v>5</v>
      </c>
      <c r="H61">
        <v>21.05</v>
      </c>
      <c r="I61">
        <v>21.05</v>
      </c>
      <c r="J61" s="35"/>
      <c r="K61" s="47">
        <f t="shared" si="0"/>
        <v>1.75</v>
      </c>
      <c r="L61" s="47" t="str">
        <f t="shared" si="1"/>
        <v>ter</v>
      </c>
      <c r="M61" s="47" t="str">
        <f>IFERROR(VLOOKUP(A61,RECEITAS!A:B,2,FALSE),"")</f>
        <v>RÚSTICO</v>
      </c>
      <c r="N61" s="47">
        <f t="shared" si="2"/>
        <v>5</v>
      </c>
    </row>
    <row r="62" spans="1:15" x14ac:dyDescent="0.3">
      <c r="A62" t="s">
        <v>24</v>
      </c>
      <c r="B62" t="s">
        <v>156</v>
      </c>
      <c r="C62">
        <v>4</v>
      </c>
      <c r="D62">
        <v>0.25</v>
      </c>
      <c r="E62" t="s">
        <v>178</v>
      </c>
      <c r="F62" s="35">
        <v>43256</v>
      </c>
      <c r="G62">
        <v>5</v>
      </c>
      <c r="H62">
        <v>14.72</v>
      </c>
      <c r="I62">
        <v>58.88</v>
      </c>
      <c r="J62" s="35"/>
      <c r="K62" s="47">
        <f t="shared" si="0"/>
        <v>5</v>
      </c>
      <c r="L62" s="47" t="str">
        <f t="shared" si="1"/>
        <v>ter</v>
      </c>
      <c r="M62" s="47" t="str">
        <f>IFERROR(VLOOKUP(A62,RECEITAS!A:B,2,FALSE),"")</f>
        <v>RÚSTICO</v>
      </c>
      <c r="N62" s="47">
        <f t="shared" si="2"/>
        <v>20</v>
      </c>
    </row>
    <row r="63" spans="1:15" x14ac:dyDescent="0.3">
      <c r="A63" t="s">
        <v>25</v>
      </c>
      <c r="B63" t="s">
        <v>153</v>
      </c>
      <c r="C63">
        <v>3</v>
      </c>
      <c r="D63">
        <v>0.27</v>
      </c>
      <c r="E63" t="s">
        <v>178</v>
      </c>
      <c r="F63" s="35">
        <v>43256</v>
      </c>
      <c r="G63">
        <v>3</v>
      </c>
      <c r="H63">
        <v>14.63</v>
      </c>
      <c r="I63">
        <v>43.89</v>
      </c>
      <c r="J63" s="35"/>
      <c r="K63" s="47">
        <f t="shared" si="0"/>
        <v>2.4300000000000002</v>
      </c>
      <c r="L63" s="47" t="str">
        <f t="shared" si="1"/>
        <v>ter</v>
      </c>
      <c r="M63" s="47" t="str">
        <f>IFERROR(VLOOKUP(A63,RECEITAS!A:B,2,FALSE),"")</f>
        <v>DIRETO</v>
      </c>
      <c r="N63" s="47">
        <f t="shared" si="2"/>
        <v>9</v>
      </c>
    </row>
    <row r="64" spans="1:15" x14ac:dyDescent="0.3">
      <c r="A64" t="s">
        <v>20</v>
      </c>
      <c r="B64" t="s">
        <v>164</v>
      </c>
      <c r="C64">
        <v>4</v>
      </c>
      <c r="D64">
        <v>0.1</v>
      </c>
      <c r="E64" t="s">
        <v>178</v>
      </c>
      <c r="F64" s="35">
        <v>43256</v>
      </c>
      <c r="G64">
        <v>6</v>
      </c>
      <c r="H64">
        <v>6.97</v>
      </c>
      <c r="I64">
        <v>27.88</v>
      </c>
      <c r="J64" s="35"/>
      <c r="K64" s="47">
        <f t="shared" si="0"/>
        <v>2.4000000000000004</v>
      </c>
      <c r="L64" s="47" t="str">
        <f t="shared" si="1"/>
        <v>ter</v>
      </c>
      <c r="M64" s="47" t="str">
        <f>IFERROR(VLOOKUP(A64,RECEITAS!A:B,2,FALSE),"")</f>
        <v>DIRETO</v>
      </c>
      <c r="N64" s="47">
        <f t="shared" si="2"/>
        <v>24</v>
      </c>
    </row>
    <row r="65" spans="1:14" x14ac:dyDescent="0.3">
      <c r="A65" t="s">
        <v>26</v>
      </c>
      <c r="B65" t="s">
        <v>151</v>
      </c>
      <c r="C65">
        <v>4</v>
      </c>
      <c r="D65">
        <v>0.13</v>
      </c>
      <c r="E65" t="s">
        <v>178</v>
      </c>
      <c r="F65" s="35">
        <v>43256</v>
      </c>
      <c r="G65">
        <v>6</v>
      </c>
      <c r="H65">
        <v>8.56</v>
      </c>
      <c r="I65">
        <v>34.24</v>
      </c>
      <c r="J65" s="35"/>
      <c r="K65" s="47">
        <f t="shared" si="0"/>
        <v>3.12</v>
      </c>
      <c r="L65" s="47" t="str">
        <f t="shared" si="1"/>
        <v>ter</v>
      </c>
      <c r="M65" s="47" t="str">
        <f>IFERROR(VLOOKUP(A65,RECEITAS!A:B,2,FALSE),"")</f>
        <v>RÚSTICO</v>
      </c>
      <c r="N65" s="47">
        <f t="shared" si="2"/>
        <v>24</v>
      </c>
    </row>
    <row r="66" spans="1:14" x14ac:dyDescent="0.3">
      <c r="A66" t="s">
        <v>21</v>
      </c>
      <c r="B66" t="s">
        <v>164</v>
      </c>
      <c r="C66">
        <v>2</v>
      </c>
      <c r="D66">
        <v>0.1</v>
      </c>
      <c r="E66" t="s">
        <v>178</v>
      </c>
      <c r="F66" s="35">
        <v>43256</v>
      </c>
      <c r="G66">
        <v>4</v>
      </c>
      <c r="H66">
        <v>2.99</v>
      </c>
      <c r="I66">
        <v>5.98</v>
      </c>
      <c r="J66" s="35"/>
      <c r="K66" s="47">
        <f t="shared" ref="K66:K129" si="3">G66*D66*C66</f>
        <v>0.8</v>
      </c>
      <c r="L66" s="47" t="str">
        <f t="shared" ref="L66:L129" si="4">IF(F66=0,"",TEXT(F66,"DDD"))</f>
        <v>ter</v>
      </c>
      <c r="M66" s="47" t="str">
        <f>IFERROR(VLOOKUP(A66,RECEITAS!A:B,2,FALSE),"")</f>
        <v>DIRETO</v>
      </c>
      <c r="N66" s="47">
        <f t="shared" si="2"/>
        <v>8</v>
      </c>
    </row>
    <row r="67" spans="1:14" x14ac:dyDescent="0.3">
      <c r="A67" t="s">
        <v>27</v>
      </c>
      <c r="B67" t="s">
        <v>154</v>
      </c>
      <c r="C67">
        <v>2</v>
      </c>
      <c r="D67">
        <v>0.45</v>
      </c>
      <c r="E67" t="s">
        <v>178</v>
      </c>
      <c r="F67" s="35">
        <v>43256</v>
      </c>
      <c r="G67">
        <v>1</v>
      </c>
      <c r="H67">
        <v>4.6900000000000004</v>
      </c>
      <c r="I67">
        <v>9.3800000000000008</v>
      </c>
      <c r="J67" s="35"/>
      <c r="K67" s="47">
        <f t="shared" si="3"/>
        <v>0.9</v>
      </c>
      <c r="L67" s="47" t="str">
        <f t="shared" si="4"/>
        <v>ter</v>
      </c>
      <c r="M67" s="47" t="str">
        <f>IFERROR(VLOOKUP(A67,RECEITAS!A:B,2,FALSE),"")</f>
        <v>DIRETO</v>
      </c>
      <c r="N67" s="47">
        <f t="shared" ref="N67:N130" si="5">G67*C67</f>
        <v>2</v>
      </c>
    </row>
    <row r="68" spans="1:14" x14ac:dyDescent="0.3">
      <c r="A68" t="s">
        <v>21</v>
      </c>
      <c r="B68" t="s">
        <v>154</v>
      </c>
      <c r="C68">
        <v>2</v>
      </c>
      <c r="D68">
        <v>0.4</v>
      </c>
      <c r="E68" t="s">
        <v>178</v>
      </c>
      <c r="F68" s="35">
        <v>43256</v>
      </c>
      <c r="G68">
        <v>1</v>
      </c>
      <c r="H68">
        <v>3.97</v>
      </c>
      <c r="I68">
        <v>7.94</v>
      </c>
      <c r="J68" s="35"/>
      <c r="K68" s="47">
        <f t="shared" si="3"/>
        <v>0.8</v>
      </c>
      <c r="L68" s="47" t="str">
        <f t="shared" si="4"/>
        <v>ter</v>
      </c>
      <c r="M68" s="47" t="str">
        <f>IFERROR(VLOOKUP(A68,RECEITAS!A:B,2,FALSE),"")</f>
        <v>DIRETO</v>
      </c>
      <c r="N68" s="47">
        <f t="shared" si="5"/>
        <v>2</v>
      </c>
    </row>
    <row r="69" spans="1:14" x14ac:dyDescent="0.3">
      <c r="A69" t="s">
        <v>20</v>
      </c>
      <c r="B69" t="s">
        <v>155</v>
      </c>
      <c r="C69">
        <v>3</v>
      </c>
      <c r="D69">
        <v>7.0000000000000007E-2</v>
      </c>
      <c r="E69" t="s">
        <v>178</v>
      </c>
      <c r="F69" s="35">
        <v>43256</v>
      </c>
      <c r="G69">
        <v>4</v>
      </c>
      <c r="H69">
        <v>3.45</v>
      </c>
      <c r="I69">
        <v>10.35</v>
      </c>
      <c r="J69" s="35"/>
      <c r="K69" s="47">
        <f t="shared" si="3"/>
        <v>0.84000000000000008</v>
      </c>
      <c r="L69" s="47" t="str">
        <f t="shared" si="4"/>
        <v>ter</v>
      </c>
      <c r="M69" s="47" t="str">
        <f>IFERROR(VLOOKUP(A69,RECEITAS!A:B,2,FALSE),"")</f>
        <v>DIRETO</v>
      </c>
      <c r="N69" s="47">
        <f t="shared" si="5"/>
        <v>12</v>
      </c>
    </row>
    <row r="70" spans="1:14" x14ac:dyDescent="0.3">
      <c r="A70" t="s">
        <v>21</v>
      </c>
      <c r="B70" t="s">
        <v>155</v>
      </c>
      <c r="C70">
        <v>3</v>
      </c>
      <c r="D70">
        <v>7.0000000000000007E-2</v>
      </c>
      <c r="E70" t="s">
        <v>178</v>
      </c>
      <c r="F70" s="35">
        <v>43256</v>
      </c>
      <c r="G70">
        <v>4</v>
      </c>
      <c r="H70">
        <v>2.9</v>
      </c>
      <c r="I70">
        <v>8.6999999999999993</v>
      </c>
      <c r="J70" s="35"/>
      <c r="K70" s="47">
        <f t="shared" si="3"/>
        <v>0.84000000000000008</v>
      </c>
      <c r="L70" s="47" t="str">
        <f t="shared" si="4"/>
        <v>ter</v>
      </c>
      <c r="M70" s="47" t="str">
        <f>IFERROR(VLOOKUP(A70,RECEITAS!A:B,2,FALSE),"")</f>
        <v>DIRETO</v>
      </c>
      <c r="N70" s="47">
        <f t="shared" si="5"/>
        <v>12</v>
      </c>
    </row>
    <row r="71" spans="1:14" x14ac:dyDescent="0.3">
      <c r="A71" t="s">
        <v>20</v>
      </c>
      <c r="B71" t="s">
        <v>164</v>
      </c>
      <c r="C71">
        <v>2</v>
      </c>
      <c r="D71">
        <v>0.14000000000000001</v>
      </c>
      <c r="E71" t="s">
        <v>174</v>
      </c>
      <c r="F71" s="35">
        <v>43256</v>
      </c>
      <c r="G71">
        <v>4</v>
      </c>
      <c r="H71">
        <v>9.66</v>
      </c>
      <c r="I71">
        <v>19.32</v>
      </c>
      <c r="J71" s="35"/>
      <c r="K71" s="47">
        <f t="shared" si="3"/>
        <v>1.1200000000000001</v>
      </c>
      <c r="L71" s="47" t="str">
        <f t="shared" si="4"/>
        <v>ter</v>
      </c>
      <c r="M71" s="47" t="str">
        <f>IFERROR(VLOOKUP(A71,RECEITAS!A:B,2,FALSE),"")</f>
        <v>DIRETO</v>
      </c>
      <c r="N71" s="47">
        <f t="shared" si="5"/>
        <v>8</v>
      </c>
    </row>
    <row r="72" spans="1:14" x14ac:dyDescent="0.3">
      <c r="A72" t="s">
        <v>32</v>
      </c>
      <c r="B72" t="s">
        <v>164</v>
      </c>
      <c r="C72">
        <v>2</v>
      </c>
      <c r="D72">
        <v>0.14000000000000001</v>
      </c>
      <c r="E72" t="s">
        <v>174</v>
      </c>
      <c r="F72" s="35">
        <v>43256</v>
      </c>
      <c r="G72">
        <v>4</v>
      </c>
      <c r="H72">
        <v>8.6300000000000008</v>
      </c>
      <c r="I72">
        <v>17.260000000000002</v>
      </c>
      <c r="J72" s="35"/>
      <c r="K72" s="47">
        <f t="shared" si="3"/>
        <v>1.1200000000000001</v>
      </c>
      <c r="L72" s="47" t="str">
        <f t="shared" si="4"/>
        <v>ter</v>
      </c>
      <c r="M72" s="47" t="str">
        <f>IFERROR(VLOOKUP(A72,RECEITAS!A:B,2,FALSE),"")</f>
        <v>DIRETO</v>
      </c>
      <c r="N72" s="47">
        <f t="shared" si="5"/>
        <v>8</v>
      </c>
    </row>
    <row r="73" spans="1:14" x14ac:dyDescent="0.3">
      <c r="A73" t="s">
        <v>22</v>
      </c>
      <c r="B73" t="s">
        <v>164</v>
      </c>
      <c r="C73">
        <v>2</v>
      </c>
      <c r="D73">
        <v>0.14000000000000001</v>
      </c>
      <c r="E73" t="s">
        <v>174</v>
      </c>
      <c r="F73" s="35">
        <v>43256</v>
      </c>
      <c r="G73">
        <v>4</v>
      </c>
      <c r="H73">
        <v>11.87</v>
      </c>
      <c r="I73">
        <v>23.74</v>
      </c>
      <c r="J73" s="35"/>
      <c r="K73" s="47">
        <f t="shared" si="3"/>
        <v>1.1200000000000001</v>
      </c>
      <c r="L73" s="47" t="str">
        <f t="shared" si="4"/>
        <v>ter</v>
      </c>
      <c r="M73" s="47" t="str">
        <f>IFERROR(VLOOKUP(A73,RECEITAS!A:B,2,FALSE),"")</f>
        <v>DIRETO</v>
      </c>
      <c r="N73" s="47">
        <f t="shared" si="5"/>
        <v>8</v>
      </c>
    </row>
    <row r="74" spans="1:14" x14ac:dyDescent="0.3">
      <c r="A74" t="s">
        <v>179</v>
      </c>
      <c r="C74">
        <v>2</v>
      </c>
      <c r="D74">
        <v>0.05</v>
      </c>
      <c r="E74" t="s">
        <v>180</v>
      </c>
      <c r="F74" s="35">
        <v>43256</v>
      </c>
      <c r="G74">
        <v>10</v>
      </c>
      <c r="H74">
        <v>20.7</v>
      </c>
      <c r="I74">
        <v>41.4</v>
      </c>
      <c r="J74" s="35"/>
      <c r="K74" s="47">
        <f t="shared" si="3"/>
        <v>1</v>
      </c>
      <c r="L74" s="47" t="str">
        <f t="shared" si="4"/>
        <v>ter</v>
      </c>
      <c r="M74" s="47" t="str">
        <f>IFERROR(VLOOKUP(A74,RECEITAS!A:B,2,FALSE),"")</f>
        <v/>
      </c>
      <c r="N74" s="47">
        <f t="shared" si="5"/>
        <v>20</v>
      </c>
    </row>
    <row r="75" spans="1:14" x14ac:dyDescent="0.3">
      <c r="A75" t="s">
        <v>181</v>
      </c>
      <c r="C75">
        <v>2</v>
      </c>
      <c r="D75">
        <v>0.05</v>
      </c>
      <c r="E75" t="s">
        <v>180</v>
      </c>
      <c r="F75" s="35">
        <v>43256</v>
      </c>
      <c r="G75">
        <v>10</v>
      </c>
      <c r="H75">
        <v>18.98</v>
      </c>
      <c r="I75">
        <v>37.96</v>
      </c>
      <c r="J75" s="35"/>
      <c r="K75" s="47">
        <f t="shared" si="3"/>
        <v>1</v>
      </c>
      <c r="L75" s="47" t="str">
        <f t="shared" si="4"/>
        <v>ter</v>
      </c>
      <c r="M75" s="47" t="str">
        <f>IFERROR(VLOOKUP(A75,RECEITAS!A:B,2,FALSE),"")</f>
        <v/>
      </c>
      <c r="N75" s="47">
        <f t="shared" si="5"/>
        <v>20</v>
      </c>
    </row>
    <row r="76" spans="1:14" x14ac:dyDescent="0.3">
      <c r="A76" t="s">
        <v>56</v>
      </c>
      <c r="B76" t="s">
        <v>152</v>
      </c>
      <c r="C76">
        <v>12</v>
      </c>
      <c r="D76">
        <v>0.6</v>
      </c>
      <c r="E76" t="s">
        <v>180</v>
      </c>
      <c r="F76" s="35">
        <v>43256</v>
      </c>
      <c r="G76">
        <v>1</v>
      </c>
      <c r="H76">
        <v>6.79</v>
      </c>
      <c r="I76">
        <v>81.48</v>
      </c>
      <c r="J76" s="35"/>
      <c r="K76" s="47">
        <f t="shared" si="3"/>
        <v>7.1999999999999993</v>
      </c>
      <c r="L76" s="47" t="str">
        <f t="shared" si="4"/>
        <v>ter</v>
      </c>
      <c r="M76" s="47" t="str">
        <f>IFERROR(VLOOKUP(A76,RECEITAS!A:B,2,FALSE),"")</f>
        <v>RÚSTICO</v>
      </c>
      <c r="N76" s="47">
        <f t="shared" si="5"/>
        <v>12</v>
      </c>
    </row>
    <row r="77" spans="1:14" x14ac:dyDescent="0.3">
      <c r="A77" t="s">
        <v>28</v>
      </c>
      <c r="B77" t="s">
        <v>182</v>
      </c>
      <c r="C77">
        <v>10</v>
      </c>
      <c r="D77">
        <v>0.08</v>
      </c>
      <c r="E77" t="s">
        <v>183</v>
      </c>
      <c r="F77" s="35">
        <v>43256</v>
      </c>
      <c r="G77">
        <v>6</v>
      </c>
      <c r="H77">
        <v>6.97</v>
      </c>
      <c r="I77">
        <v>69.7</v>
      </c>
      <c r="J77" s="35"/>
      <c r="K77" s="47">
        <f t="shared" si="3"/>
        <v>4.8</v>
      </c>
      <c r="L77" s="47" t="str">
        <f t="shared" si="4"/>
        <v>ter</v>
      </c>
      <c r="M77" s="47" t="str">
        <f>IFERROR(VLOOKUP(A77,RECEITAS!A:B,2,FALSE),"")</f>
        <v>DIRETO</v>
      </c>
      <c r="N77" s="47">
        <f t="shared" si="5"/>
        <v>60</v>
      </c>
    </row>
    <row r="78" spans="1:14" x14ac:dyDescent="0.3">
      <c r="A78" t="s">
        <v>23</v>
      </c>
      <c r="B78" t="s">
        <v>148</v>
      </c>
      <c r="C78">
        <v>8</v>
      </c>
      <c r="D78">
        <v>0.13</v>
      </c>
      <c r="E78" t="s">
        <v>183</v>
      </c>
      <c r="F78" s="35">
        <v>43256</v>
      </c>
      <c r="G78">
        <v>5</v>
      </c>
      <c r="H78">
        <v>10.35</v>
      </c>
      <c r="I78">
        <v>82.8</v>
      </c>
      <c r="J78" s="35"/>
      <c r="K78" s="47">
        <f t="shared" si="3"/>
        <v>5.2</v>
      </c>
      <c r="L78" s="47" t="str">
        <f t="shared" si="4"/>
        <v>ter</v>
      </c>
      <c r="M78" s="47" t="str">
        <f>IFERROR(VLOOKUP(A78,RECEITAS!A:B,2,FALSE),"")</f>
        <v>RÚSTICO</v>
      </c>
      <c r="N78" s="47">
        <f t="shared" si="5"/>
        <v>40</v>
      </c>
    </row>
    <row r="79" spans="1:14" x14ac:dyDescent="0.3">
      <c r="A79" t="s">
        <v>20</v>
      </c>
      <c r="B79" t="s">
        <v>164</v>
      </c>
      <c r="C79">
        <v>10</v>
      </c>
      <c r="D79">
        <v>0.16</v>
      </c>
      <c r="E79" t="s">
        <v>184</v>
      </c>
      <c r="F79" s="35">
        <v>43256</v>
      </c>
      <c r="G79">
        <v>4</v>
      </c>
      <c r="H79">
        <v>12.24</v>
      </c>
      <c r="I79">
        <v>122.4</v>
      </c>
      <c r="J79" s="35"/>
      <c r="K79" s="47">
        <f t="shared" si="3"/>
        <v>6.4</v>
      </c>
      <c r="L79" s="47" t="str">
        <f t="shared" si="4"/>
        <v>ter</v>
      </c>
      <c r="M79" s="47" t="str">
        <f>IFERROR(VLOOKUP(A79,RECEITAS!A:B,2,FALSE),"")</f>
        <v>DIRETO</v>
      </c>
      <c r="N79" s="47">
        <f t="shared" si="5"/>
        <v>40</v>
      </c>
    </row>
    <row r="80" spans="1:14" x14ac:dyDescent="0.3">
      <c r="A80" t="s">
        <v>21</v>
      </c>
      <c r="B80" t="s">
        <v>164</v>
      </c>
      <c r="C80">
        <v>10</v>
      </c>
      <c r="D80">
        <v>0.16</v>
      </c>
      <c r="E80" t="s">
        <v>184</v>
      </c>
      <c r="F80" s="35">
        <v>43256</v>
      </c>
      <c r="G80">
        <v>4</v>
      </c>
      <c r="H80">
        <v>10.95</v>
      </c>
      <c r="I80">
        <v>109.5</v>
      </c>
      <c r="J80" s="35"/>
      <c r="K80" s="47">
        <f t="shared" si="3"/>
        <v>6.4</v>
      </c>
      <c r="L80" s="47" t="str">
        <f t="shared" si="4"/>
        <v>ter</v>
      </c>
      <c r="M80" s="47" t="str">
        <f>IFERROR(VLOOKUP(A80,RECEITAS!A:B,2,FALSE),"")</f>
        <v>DIRETO</v>
      </c>
      <c r="N80" s="47">
        <f t="shared" si="5"/>
        <v>40</v>
      </c>
    </row>
    <row r="81" spans="1:14" x14ac:dyDescent="0.3">
      <c r="A81" t="s">
        <v>26</v>
      </c>
      <c r="B81" t="s">
        <v>151</v>
      </c>
      <c r="C81">
        <v>2</v>
      </c>
      <c r="D81">
        <v>0.13</v>
      </c>
      <c r="E81" t="s">
        <v>185</v>
      </c>
      <c r="F81" s="35">
        <v>43256</v>
      </c>
      <c r="G81">
        <v>6</v>
      </c>
      <c r="H81">
        <v>13.8</v>
      </c>
      <c r="I81">
        <v>27.6</v>
      </c>
      <c r="J81" s="35"/>
      <c r="K81" s="47">
        <f t="shared" si="3"/>
        <v>1.56</v>
      </c>
      <c r="L81" s="47" t="str">
        <f t="shared" si="4"/>
        <v>ter</v>
      </c>
      <c r="M81" s="47" t="str">
        <f>IFERROR(VLOOKUP(A81,RECEITAS!A:B,2,FALSE),"")</f>
        <v>RÚSTICO</v>
      </c>
      <c r="N81" s="47">
        <f t="shared" si="5"/>
        <v>12</v>
      </c>
    </row>
    <row r="82" spans="1:14" x14ac:dyDescent="0.3">
      <c r="A82" t="s">
        <v>30</v>
      </c>
      <c r="B82" t="s">
        <v>186</v>
      </c>
      <c r="C82">
        <v>1</v>
      </c>
      <c r="D82">
        <v>0.1</v>
      </c>
      <c r="E82" t="s">
        <v>185</v>
      </c>
      <c r="F82" s="35">
        <v>43256</v>
      </c>
      <c r="G82">
        <v>10</v>
      </c>
      <c r="H82">
        <v>19.55</v>
      </c>
      <c r="I82">
        <v>19.55</v>
      </c>
      <c r="J82" s="35"/>
      <c r="K82" s="47">
        <f t="shared" si="3"/>
        <v>1</v>
      </c>
      <c r="L82" s="47" t="str">
        <f t="shared" si="4"/>
        <v>ter</v>
      </c>
      <c r="M82" s="47" t="str">
        <f>IFERROR(VLOOKUP(A82,RECEITAS!A:B,2,FALSE),"")</f>
        <v>RÚSTICO</v>
      </c>
      <c r="N82" s="47">
        <f t="shared" si="5"/>
        <v>10</v>
      </c>
    </row>
    <row r="83" spans="1:14" x14ac:dyDescent="0.3">
      <c r="A83" t="s">
        <v>17</v>
      </c>
      <c r="B83" t="s">
        <v>17</v>
      </c>
      <c r="C83">
        <v>5</v>
      </c>
      <c r="D83">
        <v>0.1</v>
      </c>
      <c r="E83" t="s">
        <v>185</v>
      </c>
      <c r="F83" s="35">
        <v>43256</v>
      </c>
      <c r="G83">
        <v>1</v>
      </c>
      <c r="H83">
        <v>4.5999999999999996</v>
      </c>
      <c r="I83">
        <v>23</v>
      </c>
      <c r="J83" s="35"/>
      <c r="K83" s="47">
        <f t="shared" si="3"/>
        <v>0.5</v>
      </c>
      <c r="L83" s="47" t="str">
        <f t="shared" si="4"/>
        <v>ter</v>
      </c>
      <c r="M83" s="47" t="str">
        <f>IFERROR(VLOOKUP(A83,RECEITAS!A:B,2,FALSE),"")</f>
        <v>CROISSANT</v>
      </c>
      <c r="N83" s="47">
        <f t="shared" si="5"/>
        <v>5</v>
      </c>
    </row>
    <row r="84" spans="1:14" x14ac:dyDescent="0.3">
      <c r="A84" t="s">
        <v>17</v>
      </c>
      <c r="B84" t="s">
        <v>17</v>
      </c>
      <c r="C84">
        <v>4</v>
      </c>
      <c r="D84">
        <v>0.1</v>
      </c>
      <c r="E84" t="s">
        <v>185</v>
      </c>
      <c r="F84" s="35">
        <v>43256</v>
      </c>
      <c r="G84">
        <v>3</v>
      </c>
      <c r="H84">
        <v>10.35</v>
      </c>
      <c r="I84">
        <v>41.4</v>
      </c>
      <c r="J84" s="35"/>
      <c r="K84" s="47">
        <f t="shared" si="3"/>
        <v>1.2000000000000002</v>
      </c>
      <c r="L84" s="47" t="str">
        <f t="shared" si="4"/>
        <v>ter</v>
      </c>
      <c r="M84" s="47" t="str">
        <f>IFERROR(VLOOKUP(A84,RECEITAS!A:B,2,FALSE),"")</f>
        <v>CROISSANT</v>
      </c>
      <c r="N84" s="47">
        <f t="shared" si="5"/>
        <v>12</v>
      </c>
    </row>
    <row r="85" spans="1:14" x14ac:dyDescent="0.3">
      <c r="A85" t="s">
        <v>17</v>
      </c>
      <c r="B85" t="s">
        <v>17</v>
      </c>
      <c r="C85">
        <v>5</v>
      </c>
      <c r="D85">
        <v>0.12</v>
      </c>
      <c r="E85" t="s">
        <v>185</v>
      </c>
      <c r="F85" s="35">
        <v>43256</v>
      </c>
      <c r="G85">
        <v>1</v>
      </c>
      <c r="H85">
        <v>4.5999999999999996</v>
      </c>
      <c r="I85">
        <v>23</v>
      </c>
      <c r="J85" s="35"/>
      <c r="K85" s="47">
        <f t="shared" si="3"/>
        <v>0.6</v>
      </c>
      <c r="L85" s="47" t="str">
        <f t="shared" si="4"/>
        <v>ter</v>
      </c>
      <c r="M85" s="47" t="str">
        <f>IFERROR(VLOOKUP(A85,RECEITAS!A:B,2,FALSE),"")</f>
        <v>CROISSANT</v>
      </c>
      <c r="N85" s="47">
        <f t="shared" si="5"/>
        <v>5</v>
      </c>
    </row>
    <row r="86" spans="1:14" x14ac:dyDescent="0.3">
      <c r="A86" t="s">
        <v>56</v>
      </c>
      <c r="B86" t="s">
        <v>152</v>
      </c>
      <c r="C86">
        <v>3</v>
      </c>
      <c r="D86">
        <v>0.6</v>
      </c>
      <c r="E86" t="s">
        <v>185</v>
      </c>
      <c r="F86" s="35">
        <v>43256</v>
      </c>
      <c r="G86">
        <v>1</v>
      </c>
      <c r="H86">
        <v>6.79</v>
      </c>
      <c r="I86">
        <v>20.37</v>
      </c>
      <c r="J86" s="35"/>
      <c r="K86" s="47">
        <f t="shared" si="3"/>
        <v>1.7999999999999998</v>
      </c>
      <c r="L86" s="47" t="str">
        <f t="shared" si="4"/>
        <v>ter</v>
      </c>
      <c r="M86" s="47" t="str">
        <f>IFERROR(VLOOKUP(A86,RECEITAS!A:B,2,FALSE),"")</f>
        <v>RÚSTICO</v>
      </c>
      <c r="N86" s="47">
        <f t="shared" si="5"/>
        <v>3</v>
      </c>
    </row>
    <row r="87" spans="1:14" x14ac:dyDescent="0.3">
      <c r="A87" t="s">
        <v>23</v>
      </c>
      <c r="B87" t="s">
        <v>187</v>
      </c>
      <c r="C87">
        <v>3</v>
      </c>
      <c r="D87">
        <v>0.3</v>
      </c>
      <c r="E87" t="s">
        <v>185</v>
      </c>
      <c r="F87" s="35">
        <v>43256</v>
      </c>
      <c r="G87">
        <v>2</v>
      </c>
      <c r="H87">
        <v>6.9</v>
      </c>
      <c r="I87">
        <v>20.7</v>
      </c>
      <c r="J87" s="35"/>
      <c r="K87" s="47">
        <f t="shared" si="3"/>
        <v>1.7999999999999998</v>
      </c>
      <c r="L87" s="47" t="str">
        <f t="shared" si="4"/>
        <v>ter</v>
      </c>
      <c r="M87" s="47" t="str">
        <f>IFERROR(VLOOKUP(A87,RECEITAS!A:B,2,FALSE),"")</f>
        <v>RÚSTICO</v>
      </c>
      <c r="N87" s="47">
        <f t="shared" si="5"/>
        <v>6</v>
      </c>
    </row>
    <row r="88" spans="1:14" x14ac:dyDescent="0.3">
      <c r="A88" t="s">
        <v>28</v>
      </c>
      <c r="B88" t="s">
        <v>188</v>
      </c>
      <c r="C88">
        <v>15</v>
      </c>
      <c r="D88">
        <v>0.08</v>
      </c>
      <c r="E88" t="s">
        <v>185</v>
      </c>
      <c r="F88" s="35">
        <v>43256</v>
      </c>
      <c r="G88">
        <v>6</v>
      </c>
      <c r="H88">
        <v>2.76</v>
      </c>
      <c r="I88">
        <v>41.4</v>
      </c>
      <c r="J88" s="35"/>
      <c r="K88" s="47">
        <f t="shared" si="3"/>
        <v>7.1999999999999993</v>
      </c>
      <c r="L88" s="47" t="str">
        <f t="shared" si="4"/>
        <v>ter</v>
      </c>
      <c r="M88" s="47" t="str">
        <f>IFERROR(VLOOKUP(A88,RECEITAS!A:B,2,FALSE),"")</f>
        <v>DIRETO</v>
      </c>
      <c r="N88" s="47">
        <f t="shared" si="5"/>
        <v>90</v>
      </c>
    </row>
    <row r="89" spans="1:14" x14ac:dyDescent="0.3">
      <c r="A89" t="s">
        <v>47</v>
      </c>
      <c r="B89" t="s">
        <v>189</v>
      </c>
      <c r="C89">
        <v>21</v>
      </c>
      <c r="D89">
        <v>0.08</v>
      </c>
      <c r="E89" t="s">
        <v>190</v>
      </c>
      <c r="F89" s="35">
        <v>43257</v>
      </c>
      <c r="G89">
        <v>8</v>
      </c>
      <c r="H89">
        <v>10.35</v>
      </c>
      <c r="I89">
        <v>217.35</v>
      </c>
      <c r="J89" s="35"/>
      <c r="K89" s="47">
        <f t="shared" si="3"/>
        <v>13.44</v>
      </c>
      <c r="L89" s="47" t="str">
        <f t="shared" si="4"/>
        <v>qua</v>
      </c>
      <c r="M89" s="47" t="str">
        <f>IFERROR(VLOOKUP(A89,RECEITAS!A:B,2,FALSE),"")</f>
        <v>RÚSTICO</v>
      </c>
      <c r="N89" s="47">
        <f t="shared" si="5"/>
        <v>168</v>
      </c>
    </row>
    <row r="90" spans="1:14" x14ac:dyDescent="0.3">
      <c r="A90" t="s">
        <v>20</v>
      </c>
      <c r="B90" t="s">
        <v>145</v>
      </c>
      <c r="C90">
        <v>10</v>
      </c>
      <c r="D90">
        <v>0.1</v>
      </c>
      <c r="E90" t="s">
        <v>190</v>
      </c>
      <c r="F90" s="35">
        <v>43257</v>
      </c>
      <c r="G90">
        <v>6</v>
      </c>
      <c r="H90">
        <v>11.18</v>
      </c>
      <c r="I90">
        <v>111.8</v>
      </c>
      <c r="J90" s="35"/>
      <c r="K90" s="47">
        <f t="shared" si="3"/>
        <v>6.0000000000000009</v>
      </c>
      <c r="L90" s="47" t="str">
        <f t="shared" si="4"/>
        <v>qua</v>
      </c>
      <c r="M90" s="47" t="str">
        <f>IFERROR(VLOOKUP(A90,RECEITAS!A:B,2,FALSE),"")</f>
        <v>DIRETO</v>
      </c>
      <c r="N90" s="47">
        <f t="shared" si="5"/>
        <v>60</v>
      </c>
    </row>
    <row r="91" spans="1:14" x14ac:dyDescent="0.3">
      <c r="A91" t="s">
        <v>21</v>
      </c>
      <c r="B91" t="s">
        <v>145</v>
      </c>
      <c r="C91">
        <v>15</v>
      </c>
      <c r="D91">
        <v>0.1</v>
      </c>
      <c r="E91" t="s">
        <v>190</v>
      </c>
      <c r="F91" s="35">
        <v>43257</v>
      </c>
      <c r="G91">
        <v>6</v>
      </c>
      <c r="H91">
        <v>10.07</v>
      </c>
      <c r="I91">
        <v>151.05000000000001</v>
      </c>
      <c r="J91" s="35"/>
      <c r="K91" s="47">
        <f t="shared" si="3"/>
        <v>9.0000000000000018</v>
      </c>
      <c r="L91" s="47" t="str">
        <f t="shared" si="4"/>
        <v>qua</v>
      </c>
      <c r="M91" s="47" t="str">
        <f>IFERROR(VLOOKUP(A91,RECEITAS!A:B,2,FALSE),"")</f>
        <v>DIRETO</v>
      </c>
      <c r="N91" s="47">
        <f t="shared" si="5"/>
        <v>90</v>
      </c>
    </row>
    <row r="92" spans="1:14" x14ac:dyDescent="0.3">
      <c r="A92" t="s">
        <v>20</v>
      </c>
      <c r="B92" t="s">
        <v>145</v>
      </c>
      <c r="C92">
        <v>5</v>
      </c>
      <c r="D92">
        <v>0.1</v>
      </c>
      <c r="E92" t="s">
        <v>191</v>
      </c>
      <c r="F92" s="35">
        <v>43257</v>
      </c>
      <c r="G92">
        <v>6</v>
      </c>
      <c r="H92">
        <v>11.18</v>
      </c>
      <c r="I92">
        <v>55.9</v>
      </c>
      <c r="J92" s="35"/>
      <c r="K92" s="47">
        <f t="shared" si="3"/>
        <v>3.0000000000000004</v>
      </c>
      <c r="L92" s="47" t="str">
        <f t="shared" si="4"/>
        <v>qua</v>
      </c>
      <c r="M92" s="47" t="str">
        <f>IFERROR(VLOOKUP(A92,RECEITAS!A:B,2,FALSE),"")</f>
        <v>DIRETO</v>
      </c>
      <c r="N92" s="47">
        <f t="shared" si="5"/>
        <v>30</v>
      </c>
    </row>
    <row r="93" spans="1:14" x14ac:dyDescent="0.3">
      <c r="A93" t="s">
        <v>21</v>
      </c>
      <c r="B93" t="s">
        <v>145</v>
      </c>
      <c r="C93">
        <v>15</v>
      </c>
      <c r="D93">
        <v>0.1</v>
      </c>
      <c r="E93" t="s">
        <v>191</v>
      </c>
      <c r="F93" s="35">
        <v>43257</v>
      </c>
      <c r="G93">
        <v>6</v>
      </c>
      <c r="H93">
        <v>10.07</v>
      </c>
      <c r="I93">
        <v>151.05000000000001</v>
      </c>
      <c r="J93" s="35"/>
      <c r="K93" s="47">
        <f t="shared" si="3"/>
        <v>9.0000000000000018</v>
      </c>
      <c r="L93" s="47" t="str">
        <f t="shared" si="4"/>
        <v>qua</v>
      </c>
      <c r="M93" s="47" t="str">
        <f>IFERROR(VLOOKUP(A93,RECEITAS!A:B,2,FALSE),"")</f>
        <v>DIRETO</v>
      </c>
      <c r="N93" s="47">
        <f t="shared" si="5"/>
        <v>90</v>
      </c>
    </row>
    <row r="94" spans="1:14" x14ac:dyDescent="0.3">
      <c r="A94" t="s">
        <v>28</v>
      </c>
      <c r="B94" t="s">
        <v>145</v>
      </c>
      <c r="C94">
        <v>10</v>
      </c>
      <c r="D94">
        <v>0.1</v>
      </c>
      <c r="E94" t="s">
        <v>192</v>
      </c>
      <c r="F94" s="35">
        <v>43257</v>
      </c>
      <c r="G94">
        <v>6</v>
      </c>
      <c r="H94">
        <v>8.83</v>
      </c>
      <c r="I94">
        <v>88.3</v>
      </c>
      <c r="J94" s="35"/>
      <c r="K94" s="47">
        <f t="shared" si="3"/>
        <v>6.0000000000000009</v>
      </c>
      <c r="L94" s="47" t="str">
        <f t="shared" si="4"/>
        <v>qua</v>
      </c>
      <c r="M94" s="47" t="str">
        <f>IFERROR(VLOOKUP(A94,RECEITAS!A:B,2,FALSE),"")</f>
        <v>DIRETO</v>
      </c>
      <c r="N94" s="47">
        <f t="shared" si="5"/>
        <v>60</v>
      </c>
    </row>
    <row r="95" spans="1:14" x14ac:dyDescent="0.3">
      <c r="A95" t="s">
        <v>28</v>
      </c>
      <c r="B95" t="s">
        <v>145</v>
      </c>
      <c r="C95">
        <v>1</v>
      </c>
      <c r="D95">
        <v>0.1</v>
      </c>
      <c r="E95" t="s">
        <v>193</v>
      </c>
      <c r="F95" s="35">
        <v>43257</v>
      </c>
      <c r="G95">
        <v>6</v>
      </c>
      <c r="J95" s="35"/>
      <c r="K95" s="47">
        <f t="shared" si="3"/>
        <v>0.60000000000000009</v>
      </c>
      <c r="L95" s="47" t="str">
        <f t="shared" si="4"/>
        <v>qua</v>
      </c>
      <c r="M95" s="47" t="str">
        <f>IFERROR(VLOOKUP(A95,RECEITAS!A:B,2,FALSE),"")</f>
        <v>DIRETO</v>
      </c>
      <c r="N95" s="47">
        <f t="shared" si="5"/>
        <v>6</v>
      </c>
    </row>
    <row r="96" spans="1:14" x14ac:dyDescent="0.3">
      <c r="A96" t="s">
        <v>28</v>
      </c>
      <c r="B96" t="s">
        <v>156</v>
      </c>
      <c r="C96">
        <v>34</v>
      </c>
      <c r="D96">
        <v>0.1</v>
      </c>
      <c r="E96" t="s">
        <v>194</v>
      </c>
      <c r="F96" s="35">
        <v>43257</v>
      </c>
      <c r="G96">
        <v>6</v>
      </c>
      <c r="H96">
        <v>5.75</v>
      </c>
      <c r="I96">
        <v>195.5</v>
      </c>
      <c r="J96" s="35"/>
      <c r="K96" s="47">
        <f t="shared" si="3"/>
        <v>20.400000000000002</v>
      </c>
      <c r="L96" s="47" t="str">
        <f t="shared" si="4"/>
        <v>qua</v>
      </c>
      <c r="M96" s="47" t="str">
        <f>IFERROR(VLOOKUP(A96,RECEITAS!A:B,2,FALSE),"")</f>
        <v>DIRETO</v>
      </c>
      <c r="N96" s="47">
        <f t="shared" si="5"/>
        <v>204</v>
      </c>
    </row>
    <row r="97" spans="1:14" x14ac:dyDescent="0.3">
      <c r="A97" t="s">
        <v>28</v>
      </c>
      <c r="B97" t="s">
        <v>172</v>
      </c>
      <c r="C97">
        <v>7</v>
      </c>
      <c r="D97">
        <v>0.04</v>
      </c>
      <c r="E97" t="s">
        <v>195</v>
      </c>
      <c r="F97" s="35">
        <v>43257</v>
      </c>
      <c r="G97">
        <v>15</v>
      </c>
      <c r="H97">
        <v>8.6999999999999993</v>
      </c>
      <c r="I97">
        <v>60.9</v>
      </c>
      <c r="J97" s="35"/>
      <c r="K97" s="47">
        <f t="shared" si="3"/>
        <v>4.2</v>
      </c>
      <c r="L97" s="47" t="str">
        <f t="shared" si="4"/>
        <v>qua</v>
      </c>
      <c r="M97" s="47" t="str">
        <f>IFERROR(VLOOKUP(A97,RECEITAS!A:B,2,FALSE),"")</f>
        <v>DIRETO</v>
      </c>
      <c r="N97" s="47">
        <f t="shared" si="5"/>
        <v>105</v>
      </c>
    </row>
    <row r="98" spans="1:14" x14ac:dyDescent="0.3">
      <c r="A98" t="s">
        <v>20</v>
      </c>
      <c r="B98" t="s">
        <v>145</v>
      </c>
      <c r="C98">
        <v>1</v>
      </c>
      <c r="D98">
        <v>0.1</v>
      </c>
      <c r="E98" t="s">
        <v>196</v>
      </c>
      <c r="F98" s="35">
        <v>43257</v>
      </c>
      <c r="G98">
        <v>6</v>
      </c>
      <c r="H98">
        <v>11.18</v>
      </c>
      <c r="I98">
        <v>11.18</v>
      </c>
      <c r="J98" s="35"/>
      <c r="K98" s="47">
        <f t="shared" si="3"/>
        <v>0.60000000000000009</v>
      </c>
      <c r="L98" s="47" t="str">
        <f t="shared" si="4"/>
        <v>qua</v>
      </c>
      <c r="M98" s="47" t="str">
        <f>IFERROR(VLOOKUP(A98,RECEITAS!A:B,2,FALSE),"")</f>
        <v>DIRETO</v>
      </c>
      <c r="N98" s="47">
        <f t="shared" si="5"/>
        <v>6</v>
      </c>
    </row>
    <row r="99" spans="1:14" x14ac:dyDescent="0.3">
      <c r="A99" t="s">
        <v>21</v>
      </c>
      <c r="B99" t="s">
        <v>145</v>
      </c>
      <c r="C99">
        <v>3</v>
      </c>
      <c r="D99">
        <v>0.1</v>
      </c>
      <c r="E99" t="s">
        <v>196</v>
      </c>
      <c r="F99" s="35">
        <v>43257</v>
      </c>
      <c r="G99">
        <v>6</v>
      </c>
      <c r="H99">
        <v>10.07</v>
      </c>
      <c r="I99">
        <v>30.21</v>
      </c>
      <c r="J99" s="35"/>
      <c r="K99" s="47">
        <f t="shared" si="3"/>
        <v>1.8000000000000003</v>
      </c>
      <c r="L99" s="47" t="str">
        <f t="shared" si="4"/>
        <v>qua</v>
      </c>
      <c r="M99" s="47" t="str">
        <f>IFERROR(VLOOKUP(A99,RECEITAS!A:B,2,FALSE),"")</f>
        <v>DIRETO</v>
      </c>
      <c r="N99" s="47">
        <f t="shared" si="5"/>
        <v>18</v>
      </c>
    </row>
    <row r="100" spans="1:14" x14ac:dyDescent="0.3">
      <c r="A100" t="s">
        <v>20</v>
      </c>
      <c r="B100" t="s">
        <v>145</v>
      </c>
      <c r="C100">
        <v>6</v>
      </c>
      <c r="D100">
        <v>0.1</v>
      </c>
      <c r="E100" t="s">
        <v>197</v>
      </c>
      <c r="F100" s="35">
        <v>43257</v>
      </c>
      <c r="G100">
        <v>6</v>
      </c>
      <c r="H100">
        <v>11.18</v>
      </c>
      <c r="I100">
        <v>67.08</v>
      </c>
      <c r="J100" s="35"/>
      <c r="K100" s="47">
        <f t="shared" si="3"/>
        <v>3.6000000000000005</v>
      </c>
      <c r="L100" s="47" t="str">
        <f t="shared" si="4"/>
        <v>qua</v>
      </c>
      <c r="M100" s="47" t="str">
        <f>IFERROR(VLOOKUP(A100,RECEITAS!A:B,2,FALSE),"")</f>
        <v>DIRETO</v>
      </c>
      <c r="N100" s="47">
        <f t="shared" si="5"/>
        <v>36</v>
      </c>
    </row>
    <row r="101" spans="1:14" x14ac:dyDescent="0.3">
      <c r="A101" t="s">
        <v>21</v>
      </c>
      <c r="B101" t="s">
        <v>145</v>
      </c>
      <c r="C101">
        <v>4</v>
      </c>
      <c r="D101">
        <v>0.1</v>
      </c>
      <c r="E101" t="s">
        <v>197</v>
      </c>
      <c r="F101" s="35">
        <v>43257</v>
      </c>
      <c r="G101">
        <v>6</v>
      </c>
      <c r="H101">
        <v>10.07</v>
      </c>
      <c r="I101">
        <v>40.28</v>
      </c>
      <c r="J101" s="35"/>
      <c r="K101" s="47">
        <f t="shared" si="3"/>
        <v>2.4000000000000004</v>
      </c>
      <c r="L101" s="47" t="str">
        <f t="shared" si="4"/>
        <v>qua</v>
      </c>
      <c r="M101" s="47" t="str">
        <f>IFERROR(VLOOKUP(A101,RECEITAS!A:B,2,FALSE),"")</f>
        <v>DIRETO</v>
      </c>
      <c r="N101" s="47">
        <f t="shared" si="5"/>
        <v>24</v>
      </c>
    </row>
    <row r="102" spans="1:14" x14ac:dyDescent="0.3">
      <c r="A102" t="s">
        <v>25</v>
      </c>
      <c r="B102" t="s">
        <v>172</v>
      </c>
      <c r="C102">
        <v>2</v>
      </c>
      <c r="D102">
        <v>0.11</v>
      </c>
      <c r="E102" t="s">
        <v>198</v>
      </c>
      <c r="F102" s="35">
        <v>43257</v>
      </c>
      <c r="G102">
        <v>6</v>
      </c>
      <c r="H102">
        <v>12.42</v>
      </c>
      <c r="I102">
        <v>24.84</v>
      </c>
      <c r="J102" s="35"/>
      <c r="K102" s="47">
        <f t="shared" si="3"/>
        <v>1.32</v>
      </c>
      <c r="L102" s="47" t="str">
        <f t="shared" si="4"/>
        <v>qua</v>
      </c>
      <c r="M102" s="47" t="str">
        <f>IFERROR(VLOOKUP(A102,RECEITAS!A:B,2,FALSE),"")</f>
        <v>DIRETO</v>
      </c>
      <c r="N102" s="47">
        <f t="shared" si="5"/>
        <v>12</v>
      </c>
    </row>
    <row r="103" spans="1:14" x14ac:dyDescent="0.3">
      <c r="A103" t="s">
        <v>21</v>
      </c>
      <c r="B103" t="s">
        <v>145</v>
      </c>
      <c r="C103">
        <v>5</v>
      </c>
      <c r="D103">
        <v>0.1</v>
      </c>
      <c r="E103" t="s">
        <v>198</v>
      </c>
      <c r="F103" s="35">
        <v>43257</v>
      </c>
      <c r="G103">
        <v>6</v>
      </c>
      <c r="H103">
        <v>10.07</v>
      </c>
      <c r="I103">
        <v>50.35</v>
      </c>
      <c r="J103" s="35"/>
      <c r="K103" s="47">
        <f t="shared" si="3"/>
        <v>3.0000000000000004</v>
      </c>
      <c r="L103" s="47" t="str">
        <f t="shared" si="4"/>
        <v>qua</v>
      </c>
      <c r="M103" s="47" t="str">
        <f>IFERROR(VLOOKUP(A103,RECEITAS!A:B,2,FALSE),"")</f>
        <v>DIRETO</v>
      </c>
      <c r="N103" s="47">
        <f t="shared" si="5"/>
        <v>30</v>
      </c>
    </row>
    <row r="104" spans="1:14" x14ac:dyDescent="0.3">
      <c r="A104" t="s">
        <v>51</v>
      </c>
      <c r="B104" t="s">
        <v>155</v>
      </c>
      <c r="C104">
        <v>6</v>
      </c>
      <c r="D104">
        <v>7.0000000000000007E-2</v>
      </c>
      <c r="E104" t="s">
        <v>199</v>
      </c>
      <c r="F104" s="35">
        <v>43257</v>
      </c>
      <c r="G104">
        <v>6</v>
      </c>
      <c r="H104">
        <v>6.07</v>
      </c>
      <c r="I104">
        <v>36.42</v>
      </c>
      <c r="J104" s="35"/>
      <c r="K104" s="47">
        <f t="shared" si="3"/>
        <v>2.5200000000000005</v>
      </c>
      <c r="L104" s="47" t="str">
        <f t="shared" si="4"/>
        <v>qua</v>
      </c>
      <c r="M104" s="47" t="str">
        <f>IFERROR(VLOOKUP(A104,RECEITAS!A:B,2,FALSE),"")</f>
        <v>DIRETO</v>
      </c>
      <c r="N104" s="47">
        <f t="shared" si="5"/>
        <v>36</v>
      </c>
    </row>
    <row r="105" spans="1:14" x14ac:dyDescent="0.3">
      <c r="A105" t="s">
        <v>51</v>
      </c>
      <c r="B105" t="s">
        <v>159</v>
      </c>
      <c r="C105">
        <v>2</v>
      </c>
      <c r="D105">
        <v>0.04</v>
      </c>
      <c r="E105" t="s">
        <v>199</v>
      </c>
      <c r="F105" s="35">
        <v>43257</v>
      </c>
      <c r="G105">
        <v>15</v>
      </c>
      <c r="H105">
        <v>10.35</v>
      </c>
      <c r="I105">
        <v>20.7</v>
      </c>
      <c r="J105" s="35"/>
      <c r="K105" s="47">
        <f t="shared" si="3"/>
        <v>1.2</v>
      </c>
      <c r="L105" s="47" t="str">
        <f t="shared" si="4"/>
        <v>qua</v>
      </c>
      <c r="M105" s="47" t="str">
        <f>IFERROR(VLOOKUP(A105,RECEITAS!A:B,2,FALSE),"")</f>
        <v>DIRETO</v>
      </c>
      <c r="N105" s="47">
        <f t="shared" si="5"/>
        <v>30</v>
      </c>
    </row>
    <row r="106" spans="1:14" x14ac:dyDescent="0.3">
      <c r="A106" t="s">
        <v>51</v>
      </c>
      <c r="B106" t="s">
        <v>155</v>
      </c>
      <c r="C106">
        <v>10</v>
      </c>
      <c r="D106">
        <v>7.0000000000000007E-2</v>
      </c>
      <c r="E106" t="s">
        <v>199</v>
      </c>
      <c r="F106" s="35">
        <v>43257</v>
      </c>
      <c r="G106">
        <v>6</v>
      </c>
      <c r="H106">
        <v>5.38</v>
      </c>
      <c r="I106">
        <v>53.8</v>
      </c>
      <c r="J106" s="35"/>
      <c r="K106" s="47">
        <f t="shared" si="3"/>
        <v>4.2</v>
      </c>
      <c r="L106" s="47" t="str">
        <f t="shared" si="4"/>
        <v>qua</v>
      </c>
      <c r="M106" s="47" t="str">
        <f>IFERROR(VLOOKUP(A106,RECEITAS!A:B,2,FALSE),"")</f>
        <v>DIRETO</v>
      </c>
      <c r="N106" s="47">
        <f t="shared" si="5"/>
        <v>60</v>
      </c>
    </row>
    <row r="107" spans="1:14" x14ac:dyDescent="0.3">
      <c r="A107" t="s">
        <v>35</v>
      </c>
      <c r="B107" t="s">
        <v>164</v>
      </c>
      <c r="C107">
        <v>2</v>
      </c>
      <c r="D107">
        <v>0.08</v>
      </c>
      <c r="E107" t="s">
        <v>199</v>
      </c>
      <c r="F107" s="35">
        <v>43257</v>
      </c>
      <c r="G107">
        <v>6</v>
      </c>
      <c r="H107">
        <v>4.83</v>
      </c>
      <c r="I107">
        <v>9.66</v>
      </c>
      <c r="J107" s="35"/>
      <c r="K107" s="47">
        <f t="shared" si="3"/>
        <v>0.96</v>
      </c>
      <c r="L107" s="47" t="str">
        <f t="shared" si="4"/>
        <v>qua</v>
      </c>
      <c r="M107" s="47" t="str">
        <f>IFERROR(VLOOKUP(A107,RECEITAS!A:B,2,FALSE),"")</f>
        <v>DIRETO</v>
      </c>
      <c r="N107" s="47">
        <f t="shared" si="5"/>
        <v>12</v>
      </c>
    </row>
    <row r="108" spans="1:14" x14ac:dyDescent="0.3">
      <c r="A108" t="s">
        <v>54</v>
      </c>
      <c r="B108" t="s">
        <v>188</v>
      </c>
      <c r="C108">
        <v>40</v>
      </c>
      <c r="D108">
        <v>0.09</v>
      </c>
      <c r="E108" t="s">
        <v>199</v>
      </c>
      <c r="F108" s="35">
        <v>43257</v>
      </c>
      <c r="G108">
        <v>7</v>
      </c>
      <c r="H108">
        <v>5.23</v>
      </c>
      <c r="I108">
        <v>209.2</v>
      </c>
      <c r="J108" s="35"/>
      <c r="K108" s="47">
        <f t="shared" si="3"/>
        <v>25.2</v>
      </c>
      <c r="L108" s="47" t="str">
        <f t="shared" si="4"/>
        <v>qua</v>
      </c>
      <c r="M108" s="47" t="str">
        <f>IFERROR(VLOOKUP(A108,RECEITAS!A:B,2,FALSE),"")</f>
        <v>DIRETO</v>
      </c>
      <c r="N108" s="47">
        <f t="shared" si="5"/>
        <v>280</v>
      </c>
    </row>
    <row r="109" spans="1:14" x14ac:dyDescent="0.3">
      <c r="A109" t="s">
        <v>20</v>
      </c>
      <c r="B109" t="s">
        <v>155</v>
      </c>
      <c r="C109">
        <v>12</v>
      </c>
      <c r="D109">
        <v>7.0000000000000007E-2</v>
      </c>
      <c r="E109" t="s">
        <v>199</v>
      </c>
      <c r="F109" s="35">
        <v>43257</v>
      </c>
      <c r="G109">
        <v>6</v>
      </c>
      <c r="H109">
        <v>8.69</v>
      </c>
      <c r="I109">
        <v>104.28</v>
      </c>
      <c r="J109" s="35"/>
      <c r="K109" s="47">
        <f t="shared" si="3"/>
        <v>5.0400000000000009</v>
      </c>
      <c r="L109" s="47" t="str">
        <f t="shared" si="4"/>
        <v>qua</v>
      </c>
      <c r="M109" s="47" t="str">
        <f>IFERROR(VLOOKUP(A109,RECEITAS!A:B,2,FALSE),"")</f>
        <v>DIRETO</v>
      </c>
      <c r="N109" s="47">
        <f t="shared" si="5"/>
        <v>72</v>
      </c>
    </row>
    <row r="110" spans="1:14" x14ac:dyDescent="0.3">
      <c r="A110" t="s">
        <v>61</v>
      </c>
      <c r="B110" t="s">
        <v>155</v>
      </c>
      <c r="C110">
        <v>10</v>
      </c>
      <c r="D110">
        <v>7.0000000000000007E-2</v>
      </c>
      <c r="E110" t="s">
        <v>199</v>
      </c>
      <c r="F110" s="35">
        <v>43257</v>
      </c>
      <c r="G110">
        <v>6</v>
      </c>
      <c r="H110">
        <v>10.35</v>
      </c>
      <c r="I110">
        <v>103.5</v>
      </c>
      <c r="J110" s="35"/>
      <c r="K110" s="47">
        <f t="shared" si="3"/>
        <v>4.2</v>
      </c>
      <c r="L110" s="47" t="str">
        <f t="shared" si="4"/>
        <v>qua</v>
      </c>
      <c r="M110" s="47" t="str">
        <f>IFERROR(VLOOKUP(A110,RECEITAS!A:B,2,FALSE),"")</f>
        <v>DIRETO</v>
      </c>
      <c r="N110" s="47">
        <f t="shared" si="5"/>
        <v>60</v>
      </c>
    </row>
    <row r="111" spans="1:14" x14ac:dyDescent="0.3">
      <c r="A111" t="s">
        <v>62</v>
      </c>
      <c r="B111" t="s">
        <v>155</v>
      </c>
      <c r="C111">
        <v>3</v>
      </c>
      <c r="D111">
        <v>7.0000000000000007E-2</v>
      </c>
      <c r="E111" t="s">
        <v>199</v>
      </c>
      <c r="F111" s="35">
        <v>43257</v>
      </c>
      <c r="G111">
        <v>6</v>
      </c>
      <c r="H111">
        <v>10.35</v>
      </c>
      <c r="I111">
        <v>31.05</v>
      </c>
      <c r="J111" s="35"/>
      <c r="K111" s="47">
        <f t="shared" si="3"/>
        <v>1.2600000000000002</v>
      </c>
      <c r="L111" s="47" t="str">
        <f t="shared" si="4"/>
        <v>qua</v>
      </c>
      <c r="M111" s="47" t="str">
        <f>IFERROR(VLOOKUP(A111,RECEITAS!A:B,2,FALSE),"")</f>
        <v>DIRETO</v>
      </c>
      <c r="N111" s="47">
        <f t="shared" si="5"/>
        <v>18</v>
      </c>
    </row>
    <row r="112" spans="1:14" x14ac:dyDescent="0.3">
      <c r="A112" t="s">
        <v>57</v>
      </c>
      <c r="B112" t="s">
        <v>155</v>
      </c>
      <c r="C112">
        <v>3</v>
      </c>
      <c r="D112">
        <v>7.0000000000000007E-2</v>
      </c>
      <c r="E112" t="s">
        <v>199</v>
      </c>
      <c r="F112" s="35">
        <v>43257</v>
      </c>
      <c r="G112">
        <v>6</v>
      </c>
      <c r="H112">
        <v>10.35</v>
      </c>
      <c r="I112">
        <v>31.05</v>
      </c>
      <c r="K112" s="47">
        <f t="shared" si="3"/>
        <v>1.2600000000000002</v>
      </c>
      <c r="L112" s="47" t="str">
        <f t="shared" si="4"/>
        <v>qua</v>
      </c>
      <c r="M112" s="47" t="str">
        <f>IFERROR(VLOOKUP(A112,RECEITAS!A:B,2,FALSE),"")</f>
        <v>DIRETO</v>
      </c>
      <c r="N112" s="47">
        <f t="shared" si="5"/>
        <v>18</v>
      </c>
    </row>
    <row r="113" spans="1:14" x14ac:dyDescent="0.3">
      <c r="A113" t="s">
        <v>25</v>
      </c>
      <c r="B113" t="s">
        <v>155</v>
      </c>
      <c r="C113">
        <v>2</v>
      </c>
      <c r="D113">
        <v>7.0000000000000007E-2</v>
      </c>
      <c r="E113" t="s">
        <v>200</v>
      </c>
      <c r="F113" s="35">
        <v>43257</v>
      </c>
      <c r="G113">
        <v>6</v>
      </c>
      <c r="H113">
        <v>9.32</v>
      </c>
      <c r="I113">
        <v>18.64</v>
      </c>
      <c r="K113" s="47">
        <f t="shared" si="3"/>
        <v>0.84000000000000008</v>
      </c>
      <c r="L113" s="47" t="str">
        <f t="shared" si="4"/>
        <v>qua</v>
      </c>
      <c r="M113" s="47" t="str">
        <f>IFERROR(VLOOKUP(A113,RECEITAS!A:B,2,FALSE),"")</f>
        <v>DIRETO</v>
      </c>
      <c r="N113" s="47">
        <f t="shared" si="5"/>
        <v>12</v>
      </c>
    </row>
    <row r="114" spans="1:14" x14ac:dyDescent="0.3">
      <c r="A114" t="s">
        <v>22</v>
      </c>
      <c r="B114" t="s">
        <v>155</v>
      </c>
      <c r="C114">
        <v>4</v>
      </c>
      <c r="D114">
        <v>7.0000000000000007E-2</v>
      </c>
      <c r="E114" t="s">
        <v>200</v>
      </c>
      <c r="F114" s="35">
        <v>43257</v>
      </c>
      <c r="G114">
        <v>6</v>
      </c>
      <c r="H114">
        <v>8.9700000000000006</v>
      </c>
      <c r="I114">
        <v>35.880000000000003</v>
      </c>
      <c r="K114" s="47">
        <f t="shared" si="3"/>
        <v>1.6800000000000002</v>
      </c>
      <c r="L114" s="47" t="str">
        <f t="shared" si="4"/>
        <v>qua</v>
      </c>
      <c r="M114" s="47" t="str">
        <f>IFERROR(VLOOKUP(A114,RECEITAS!A:B,2,FALSE),"")</f>
        <v>DIRETO</v>
      </c>
      <c r="N114" s="47">
        <f t="shared" si="5"/>
        <v>24</v>
      </c>
    </row>
    <row r="115" spans="1:14" x14ac:dyDescent="0.3">
      <c r="A115" t="s">
        <v>20</v>
      </c>
      <c r="B115" t="s">
        <v>145</v>
      </c>
      <c r="C115">
        <v>7</v>
      </c>
      <c r="D115">
        <v>0.1</v>
      </c>
      <c r="E115" t="s">
        <v>201</v>
      </c>
      <c r="F115" s="35">
        <v>43257</v>
      </c>
      <c r="G115">
        <v>6</v>
      </c>
      <c r="H115">
        <v>11.18</v>
      </c>
      <c r="I115">
        <v>78.260000000000005</v>
      </c>
      <c r="K115" s="47">
        <f t="shared" si="3"/>
        <v>4.2000000000000011</v>
      </c>
      <c r="L115" s="47" t="str">
        <f t="shared" si="4"/>
        <v>qua</v>
      </c>
      <c r="M115" s="47" t="str">
        <f>IFERROR(VLOOKUP(A115,RECEITAS!A:B,2,FALSE),"")</f>
        <v>DIRETO</v>
      </c>
      <c r="N115" s="47">
        <f t="shared" si="5"/>
        <v>42</v>
      </c>
    </row>
    <row r="116" spans="1:14" x14ac:dyDescent="0.3">
      <c r="A116" t="s">
        <v>21</v>
      </c>
      <c r="B116" t="s">
        <v>145</v>
      </c>
      <c r="C116">
        <v>10</v>
      </c>
      <c r="D116">
        <v>0.1</v>
      </c>
      <c r="E116" t="s">
        <v>201</v>
      </c>
      <c r="F116" s="35">
        <v>43257</v>
      </c>
      <c r="G116">
        <v>6</v>
      </c>
      <c r="H116">
        <v>10.07</v>
      </c>
      <c r="I116">
        <v>100.7</v>
      </c>
      <c r="K116" s="47">
        <f t="shared" si="3"/>
        <v>6.0000000000000009</v>
      </c>
      <c r="L116" s="47" t="str">
        <f t="shared" si="4"/>
        <v>qua</v>
      </c>
      <c r="M116" s="47" t="str">
        <f>IFERROR(VLOOKUP(A116,RECEITAS!A:B,2,FALSE),"")</f>
        <v>DIRETO</v>
      </c>
      <c r="N116" s="47">
        <f t="shared" si="5"/>
        <v>60</v>
      </c>
    </row>
    <row r="117" spans="1:14" x14ac:dyDescent="0.3">
      <c r="A117" t="s">
        <v>20</v>
      </c>
      <c r="B117" t="s">
        <v>145</v>
      </c>
      <c r="C117">
        <v>1</v>
      </c>
      <c r="D117">
        <v>0.1</v>
      </c>
      <c r="E117" t="s">
        <v>171</v>
      </c>
      <c r="F117" s="35">
        <v>43257</v>
      </c>
      <c r="G117">
        <v>6</v>
      </c>
      <c r="H117">
        <v>11.18</v>
      </c>
      <c r="I117">
        <v>11.18</v>
      </c>
      <c r="K117" s="47">
        <f t="shared" si="3"/>
        <v>0.60000000000000009</v>
      </c>
      <c r="L117" s="47" t="str">
        <f t="shared" si="4"/>
        <v>qua</v>
      </c>
      <c r="M117" s="47" t="str">
        <f>IFERROR(VLOOKUP(A117,RECEITAS!A:B,2,FALSE),"")</f>
        <v>DIRETO</v>
      </c>
      <c r="N117" s="47">
        <f t="shared" si="5"/>
        <v>6</v>
      </c>
    </row>
    <row r="118" spans="1:14" x14ac:dyDescent="0.3">
      <c r="A118" t="s">
        <v>25</v>
      </c>
      <c r="B118" t="s">
        <v>145</v>
      </c>
      <c r="C118">
        <v>1</v>
      </c>
      <c r="D118">
        <v>0.1</v>
      </c>
      <c r="E118" t="s">
        <v>171</v>
      </c>
      <c r="F118" s="35">
        <v>43257</v>
      </c>
      <c r="G118">
        <v>6</v>
      </c>
      <c r="H118">
        <v>12.42</v>
      </c>
      <c r="I118">
        <v>12.42</v>
      </c>
      <c r="K118" s="47">
        <f t="shared" si="3"/>
        <v>0.60000000000000009</v>
      </c>
      <c r="L118" s="47" t="str">
        <f t="shared" si="4"/>
        <v>qua</v>
      </c>
      <c r="M118" s="47" t="str">
        <f>IFERROR(VLOOKUP(A118,RECEITAS!A:B,2,FALSE),"")</f>
        <v>DIRETO</v>
      </c>
      <c r="N118" s="47">
        <f t="shared" si="5"/>
        <v>6</v>
      </c>
    </row>
    <row r="119" spans="1:14" x14ac:dyDescent="0.3">
      <c r="A119" t="s">
        <v>21</v>
      </c>
      <c r="B119" t="s">
        <v>145</v>
      </c>
      <c r="C119">
        <v>1</v>
      </c>
      <c r="D119">
        <v>0.1</v>
      </c>
      <c r="E119" t="s">
        <v>171</v>
      </c>
      <c r="F119" s="35">
        <v>43257</v>
      </c>
      <c r="G119">
        <v>6</v>
      </c>
      <c r="H119">
        <v>10.07</v>
      </c>
      <c r="I119">
        <v>10.07</v>
      </c>
      <c r="K119" s="47">
        <f t="shared" si="3"/>
        <v>0.60000000000000009</v>
      </c>
      <c r="L119" s="47" t="str">
        <f t="shared" si="4"/>
        <v>qua</v>
      </c>
      <c r="M119" s="47" t="str">
        <f>IFERROR(VLOOKUP(A119,RECEITAS!A:B,2,FALSE),"")</f>
        <v>DIRETO</v>
      </c>
      <c r="N119" s="47">
        <f t="shared" si="5"/>
        <v>6</v>
      </c>
    </row>
    <row r="120" spans="1:14" x14ac:dyDescent="0.3">
      <c r="A120" t="s">
        <v>21</v>
      </c>
      <c r="B120" t="s">
        <v>145</v>
      </c>
      <c r="C120">
        <v>1</v>
      </c>
      <c r="D120">
        <v>0.1</v>
      </c>
      <c r="E120" t="s">
        <v>171</v>
      </c>
      <c r="F120" s="35">
        <v>43257</v>
      </c>
      <c r="G120">
        <v>6</v>
      </c>
      <c r="H120">
        <v>10.76</v>
      </c>
      <c r="I120">
        <v>10.76</v>
      </c>
      <c r="K120" s="47">
        <f t="shared" si="3"/>
        <v>0.60000000000000009</v>
      </c>
      <c r="L120" s="47" t="str">
        <f t="shared" si="4"/>
        <v>qua</v>
      </c>
      <c r="M120" s="47" t="str">
        <f>IFERROR(VLOOKUP(A120,RECEITAS!A:B,2,FALSE),"")</f>
        <v>DIRETO</v>
      </c>
      <c r="N120" s="47">
        <f t="shared" si="5"/>
        <v>6</v>
      </c>
    </row>
    <row r="121" spans="1:14" x14ac:dyDescent="0.3">
      <c r="A121" t="s">
        <v>21</v>
      </c>
      <c r="B121" t="s">
        <v>145</v>
      </c>
      <c r="C121">
        <v>1</v>
      </c>
      <c r="D121">
        <v>0.1</v>
      </c>
      <c r="E121" t="s">
        <v>171</v>
      </c>
      <c r="F121" s="35">
        <v>43258</v>
      </c>
      <c r="G121">
        <v>6</v>
      </c>
      <c r="H121">
        <v>11.18</v>
      </c>
      <c r="I121">
        <v>11.18</v>
      </c>
      <c r="K121" s="47">
        <f t="shared" si="3"/>
        <v>0.60000000000000009</v>
      </c>
      <c r="L121" s="47" t="str">
        <f t="shared" si="4"/>
        <v>qui</v>
      </c>
      <c r="M121" s="47" t="str">
        <f>IFERROR(VLOOKUP(A121,RECEITAS!A:B,2,FALSE),"")</f>
        <v>DIRETO</v>
      </c>
      <c r="N121" s="47">
        <f t="shared" si="5"/>
        <v>6</v>
      </c>
    </row>
    <row r="122" spans="1:14" x14ac:dyDescent="0.3">
      <c r="A122" t="s">
        <v>22</v>
      </c>
      <c r="B122" t="s">
        <v>145</v>
      </c>
      <c r="C122">
        <v>1</v>
      </c>
      <c r="D122">
        <v>0.1</v>
      </c>
      <c r="E122" t="s">
        <v>171</v>
      </c>
      <c r="F122" s="35">
        <v>43258</v>
      </c>
      <c r="G122">
        <v>6</v>
      </c>
      <c r="H122">
        <v>12.42</v>
      </c>
      <c r="I122">
        <v>12.42</v>
      </c>
      <c r="K122" s="47">
        <f t="shared" si="3"/>
        <v>0.60000000000000009</v>
      </c>
      <c r="L122" s="47" t="str">
        <f t="shared" si="4"/>
        <v>qui</v>
      </c>
      <c r="M122" s="47" t="str">
        <f>IFERROR(VLOOKUP(A122,RECEITAS!A:B,2,FALSE),"")</f>
        <v>DIRETO</v>
      </c>
      <c r="N122" s="47">
        <f t="shared" si="5"/>
        <v>6</v>
      </c>
    </row>
    <row r="123" spans="1:14" x14ac:dyDescent="0.3">
      <c r="A123" t="s">
        <v>25</v>
      </c>
      <c r="B123" t="s">
        <v>172</v>
      </c>
      <c r="C123">
        <v>6</v>
      </c>
      <c r="D123">
        <v>0.11</v>
      </c>
      <c r="E123" t="s">
        <v>173</v>
      </c>
      <c r="F123" s="35">
        <v>43258</v>
      </c>
      <c r="G123">
        <v>6</v>
      </c>
      <c r="H123">
        <v>12.42</v>
      </c>
      <c r="I123">
        <v>74.52</v>
      </c>
      <c r="K123" s="47">
        <f t="shared" si="3"/>
        <v>3.96</v>
      </c>
      <c r="L123" s="47" t="str">
        <f t="shared" si="4"/>
        <v>qui</v>
      </c>
      <c r="M123" s="47" t="str">
        <f>IFERROR(VLOOKUP(A123,RECEITAS!A:B,2,FALSE),"")</f>
        <v>DIRETO</v>
      </c>
      <c r="N123" s="47">
        <f t="shared" si="5"/>
        <v>36</v>
      </c>
    </row>
    <row r="124" spans="1:14" x14ac:dyDescent="0.3">
      <c r="A124" t="s">
        <v>20</v>
      </c>
      <c r="B124" t="s">
        <v>155</v>
      </c>
      <c r="C124">
        <v>1</v>
      </c>
      <c r="D124">
        <v>7.0000000000000007E-2</v>
      </c>
      <c r="E124" t="s">
        <v>202</v>
      </c>
      <c r="F124" s="35">
        <v>43258</v>
      </c>
      <c r="G124">
        <v>6</v>
      </c>
      <c r="H124">
        <v>8.69</v>
      </c>
      <c r="I124">
        <v>8.69</v>
      </c>
      <c r="K124" s="47">
        <f t="shared" si="3"/>
        <v>0.42000000000000004</v>
      </c>
      <c r="L124" s="47" t="str">
        <f t="shared" si="4"/>
        <v>qui</v>
      </c>
      <c r="M124" s="47" t="str">
        <f>IFERROR(VLOOKUP(A124,RECEITAS!A:B,2,FALSE),"")</f>
        <v>DIRETO</v>
      </c>
      <c r="N124" s="47">
        <f t="shared" si="5"/>
        <v>6</v>
      </c>
    </row>
    <row r="125" spans="1:14" x14ac:dyDescent="0.3">
      <c r="A125" t="s">
        <v>21</v>
      </c>
      <c r="B125" t="s">
        <v>155</v>
      </c>
      <c r="C125">
        <v>1</v>
      </c>
      <c r="D125">
        <v>7.0000000000000007E-2</v>
      </c>
      <c r="E125" t="s">
        <v>202</v>
      </c>
      <c r="F125" s="35">
        <v>43258</v>
      </c>
      <c r="G125">
        <v>6</v>
      </c>
      <c r="H125">
        <v>8</v>
      </c>
      <c r="I125">
        <v>8</v>
      </c>
      <c r="K125" s="47">
        <f t="shared" si="3"/>
        <v>0.42000000000000004</v>
      </c>
      <c r="L125" s="47" t="str">
        <f t="shared" si="4"/>
        <v>qui</v>
      </c>
      <c r="M125" s="47" t="str">
        <f>IFERROR(VLOOKUP(A125,RECEITAS!A:B,2,FALSE),"")</f>
        <v>DIRETO</v>
      </c>
      <c r="N125" s="47">
        <f t="shared" si="5"/>
        <v>6</v>
      </c>
    </row>
    <row r="126" spans="1:14" x14ac:dyDescent="0.3">
      <c r="A126" t="s">
        <v>21</v>
      </c>
      <c r="B126" t="s">
        <v>172</v>
      </c>
      <c r="C126">
        <v>1</v>
      </c>
      <c r="D126">
        <v>0.04</v>
      </c>
      <c r="E126" t="s">
        <v>202</v>
      </c>
      <c r="F126" s="35">
        <v>43258</v>
      </c>
      <c r="G126">
        <v>10</v>
      </c>
      <c r="H126">
        <v>5.8</v>
      </c>
      <c r="I126">
        <v>5.8</v>
      </c>
      <c r="K126" s="47">
        <f t="shared" si="3"/>
        <v>0.4</v>
      </c>
      <c r="L126" s="47" t="str">
        <f t="shared" si="4"/>
        <v>qui</v>
      </c>
      <c r="M126" s="47" t="str">
        <f>IFERROR(VLOOKUP(A126,RECEITAS!A:B,2,FALSE),"")</f>
        <v>DIRETO</v>
      </c>
      <c r="N126" s="47">
        <f t="shared" si="5"/>
        <v>10</v>
      </c>
    </row>
    <row r="127" spans="1:14" x14ac:dyDescent="0.3">
      <c r="A127" t="s">
        <v>20</v>
      </c>
      <c r="B127" t="s">
        <v>145</v>
      </c>
      <c r="C127">
        <v>5</v>
      </c>
      <c r="D127">
        <v>0.1</v>
      </c>
      <c r="E127" t="s">
        <v>203</v>
      </c>
      <c r="F127" s="35">
        <v>43258</v>
      </c>
      <c r="G127">
        <v>6</v>
      </c>
      <c r="H127">
        <v>11.18</v>
      </c>
      <c r="I127">
        <v>55.9</v>
      </c>
      <c r="K127" s="47">
        <f t="shared" si="3"/>
        <v>3.0000000000000004</v>
      </c>
      <c r="L127" s="47" t="str">
        <f t="shared" si="4"/>
        <v>qui</v>
      </c>
      <c r="M127" s="47" t="str">
        <f>IFERROR(VLOOKUP(A127,RECEITAS!A:B,2,FALSE),"")</f>
        <v>DIRETO</v>
      </c>
      <c r="N127" s="47">
        <f t="shared" si="5"/>
        <v>30</v>
      </c>
    </row>
    <row r="128" spans="1:14" x14ac:dyDescent="0.3">
      <c r="A128" t="s">
        <v>33</v>
      </c>
      <c r="B128" t="s">
        <v>145</v>
      </c>
      <c r="C128">
        <v>30</v>
      </c>
      <c r="D128">
        <v>0.1</v>
      </c>
      <c r="E128" t="s">
        <v>203</v>
      </c>
      <c r="F128" s="35">
        <v>43258</v>
      </c>
      <c r="G128">
        <v>6</v>
      </c>
      <c r="H128">
        <v>10.35</v>
      </c>
      <c r="I128">
        <v>310.5</v>
      </c>
      <c r="K128" s="47">
        <f t="shared" si="3"/>
        <v>18.000000000000004</v>
      </c>
      <c r="L128" s="47" t="str">
        <f t="shared" si="4"/>
        <v>qui</v>
      </c>
      <c r="M128" s="47" t="str">
        <f>IFERROR(VLOOKUP(A128,RECEITAS!A:B,2,FALSE),"")</f>
        <v>DIRETO</v>
      </c>
      <c r="N128" s="47">
        <f t="shared" si="5"/>
        <v>180</v>
      </c>
    </row>
    <row r="129" spans="1:14" x14ac:dyDescent="0.3">
      <c r="A129" t="s">
        <v>23</v>
      </c>
      <c r="B129" t="s">
        <v>204</v>
      </c>
      <c r="C129">
        <v>1</v>
      </c>
      <c r="D129">
        <v>0.05</v>
      </c>
      <c r="E129" t="s">
        <v>149</v>
      </c>
      <c r="F129" s="35">
        <v>43258</v>
      </c>
      <c r="G129">
        <v>15</v>
      </c>
      <c r="H129">
        <v>30</v>
      </c>
      <c r="I129">
        <v>30</v>
      </c>
      <c r="K129" s="47">
        <f t="shared" si="3"/>
        <v>0.75</v>
      </c>
      <c r="L129" s="47" t="str">
        <f t="shared" si="4"/>
        <v>qui</v>
      </c>
      <c r="M129" s="47" t="str">
        <f>IFERROR(VLOOKUP(A129,RECEITAS!A:B,2,FALSE),"")</f>
        <v>RÚSTICO</v>
      </c>
      <c r="N129" s="47">
        <f t="shared" si="5"/>
        <v>15</v>
      </c>
    </row>
    <row r="130" spans="1:14" x14ac:dyDescent="0.3">
      <c r="A130" t="s">
        <v>17</v>
      </c>
      <c r="B130" t="s">
        <v>17</v>
      </c>
      <c r="C130">
        <v>2</v>
      </c>
      <c r="D130">
        <v>6.6000000000000003E-2</v>
      </c>
      <c r="E130" t="s">
        <v>149</v>
      </c>
      <c r="F130" s="35">
        <v>43258</v>
      </c>
      <c r="G130">
        <v>4</v>
      </c>
      <c r="H130">
        <v>13.8</v>
      </c>
      <c r="I130">
        <v>27.6</v>
      </c>
      <c r="K130" s="47">
        <f t="shared" ref="K130:K193" si="6">G130*D130*C130</f>
        <v>0.52800000000000002</v>
      </c>
      <c r="L130" s="47" t="str">
        <f t="shared" ref="L130:L193" si="7">IF(F130=0,"",TEXT(F130,"DDD"))</f>
        <v>qui</v>
      </c>
      <c r="M130" s="47" t="str">
        <f>IFERROR(VLOOKUP(A130,RECEITAS!A:B,2,FALSE),"")</f>
        <v>CROISSANT</v>
      </c>
      <c r="N130" s="47">
        <f t="shared" si="5"/>
        <v>8</v>
      </c>
    </row>
    <row r="131" spans="1:14" x14ac:dyDescent="0.3">
      <c r="A131" t="s">
        <v>56</v>
      </c>
      <c r="B131" t="s">
        <v>152</v>
      </c>
      <c r="C131">
        <v>1</v>
      </c>
      <c r="D131">
        <v>0.6</v>
      </c>
      <c r="E131" t="s">
        <v>149</v>
      </c>
      <c r="F131" s="35">
        <v>43258</v>
      </c>
      <c r="G131">
        <v>1</v>
      </c>
      <c r="H131">
        <v>6.79</v>
      </c>
      <c r="I131">
        <v>6.79</v>
      </c>
      <c r="K131" s="47">
        <f t="shared" si="6"/>
        <v>0.6</v>
      </c>
      <c r="L131" s="47" t="str">
        <f t="shared" si="7"/>
        <v>qui</v>
      </c>
      <c r="M131" s="47" t="str">
        <f>IFERROR(VLOOKUP(A131,RECEITAS!A:B,2,FALSE),"")</f>
        <v>RÚSTICO</v>
      </c>
      <c r="N131" s="47">
        <f t="shared" ref="N131:N194" si="8">G131*C131</f>
        <v>1</v>
      </c>
    </row>
    <row r="132" spans="1:14" x14ac:dyDescent="0.3">
      <c r="A132" t="s">
        <v>20</v>
      </c>
      <c r="B132" t="s">
        <v>159</v>
      </c>
      <c r="C132">
        <v>1</v>
      </c>
      <c r="D132">
        <v>0.04</v>
      </c>
      <c r="E132" t="s">
        <v>149</v>
      </c>
      <c r="F132" s="35">
        <v>43258</v>
      </c>
      <c r="G132">
        <v>15</v>
      </c>
      <c r="H132">
        <v>11.73</v>
      </c>
      <c r="I132">
        <v>11.73</v>
      </c>
      <c r="K132" s="47">
        <f t="shared" si="6"/>
        <v>0.6</v>
      </c>
      <c r="L132" s="47" t="str">
        <f t="shared" si="7"/>
        <v>qui</v>
      </c>
      <c r="M132" s="47" t="str">
        <f>IFERROR(VLOOKUP(A132,RECEITAS!A:B,2,FALSE),"")</f>
        <v>DIRETO</v>
      </c>
      <c r="N132" s="47">
        <f t="shared" si="8"/>
        <v>15</v>
      </c>
    </row>
    <row r="133" spans="1:14" x14ac:dyDescent="0.3">
      <c r="A133" t="s">
        <v>205</v>
      </c>
      <c r="B133" t="s">
        <v>159</v>
      </c>
      <c r="C133">
        <v>1</v>
      </c>
      <c r="D133">
        <v>0.04</v>
      </c>
      <c r="E133" t="s">
        <v>149</v>
      </c>
      <c r="F133" s="35">
        <v>43258</v>
      </c>
      <c r="G133">
        <v>15</v>
      </c>
      <c r="H133">
        <v>12.75</v>
      </c>
      <c r="I133">
        <v>12.75</v>
      </c>
      <c r="K133" s="47">
        <f t="shared" si="6"/>
        <v>0.6</v>
      </c>
      <c r="L133" s="47" t="str">
        <f t="shared" si="7"/>
        <v>qui</v>
      </c>
      <c r="M133" s="47" t="str">
        <f>IFERROR(VLOOKUP(A133,RECEITAS!A:B,2,FALSE),"")</f>
        <v/>
      </c>
      <c r="N133" s="47">
        <f t="shared" si="8"/>
        <v>15</v>
      </c>
    </row>
    <row r="134" spans="1:14" x14ac:dyDescent="0.3">
      <c r="A134" t="s">
        <v>28</v>
      </c>
      <c r="B134" t="s">
        <v>151</v>
      </c>
      <c r="C134">
        <v>6</v>
      </c>
      <c r="D134">
        <v>0.11</v>
      </c>
      <c r="E134" t="s">
        <v>175</v>
      </c>
      <c r="F134" s="35">
        <v>43258</v>
      </c>
      <c r="G134">
        <v>5</v>
      </c>
      <c r="H134">
        <v>5.75</v>
      </c>
      <c r="I134">
        <v>34.5</v>
      </c>
      <c r="K134" s="47">
        <f t="shared" si="6"/>
        <v>3.3000000000000003</v>
      </c>
      <c r="L134" s="47" t="str">
        <f t="shared" si="7"/>
        <v>qui</v>
      </c>
      <c r="M134" s="47" t="str">
        <f>IFERROR(VLOOKUP(A134,RECEITAS!A:B,2,FALSE),"")</f>
        <v>DIRETO</v>
      </c>
      <c r="N134" s="47">
        <f t="shared" si="8"/>
        <v>30</v>
      </c>
    </row>
    <row r="135" spans="1:14" x14ac:dyDescent="0.3">
      <c r="A135" t="s">
        <v>28</v>
      </c>
      <c r="B135" t="s">
        <v>159</v>
      </c>
      <c r="C135">
        <v>6</v>
      </c>
      <c r="D135">
        <v>0.11</v>
      </c>
      <c r="E135" t="s">
        <v>175</v>
      </c>
      <c r="F135" s="35">
        <v>43258</v>
      </c>
      <c r="G135">
        <v>5</v>
      </c>
      <c r="H135">
        <v>6.9</v>
      </c>
      <c r="I135">
        <v>41.4</v>
      </c>
      <c r="K135" s="47">
        <f t="shared" si="6"/>
        <v>3.3000000000000003</v>
      </c>
      <c r="L135" s="47" t="str">
        <f t="shared" si="7"/>
        <v>qui</v>
      </c>
      <c r="M135" s="47" t="str">
        <f>IFERROR(VLOOKUP(A135,RECEITAS!A:B,2,FALSE),"")</f>
        <v>DIRETO</v>
      </c>
      <c r="N135" s="47">
        <f t="shared" si="8"/>
        <v>30</v>
      </c>
    </row>
    <row r="136" spans="1:14" x14ac:dyDescent="0.3">
      <c r="A136" t="s">
        <v>21</v>
      </c>
      <c r="B136" t="s">
        <v>145</v>
      </c>
      <c r="C136">
        <v>6</v>
      </c>
      <c r="D136">
        <v>0.1</v>
      </c>
      <c r="E136" t="s">
        <v>175</v>
      </c>
      <c r="F136" s="35">
        <v>43258</v>
      </c>
      <c r="G136">
        <v>6</v>
      </c>
      <c r="H136">
        <v>10.07</v>
      </c>
      <c r="I136">
        <v>60.42</v>
      </c>
      <c r="K136" s="47">
        <f t="shared" si="6"/>
        <v>3.6000000000000005</v>
      </c>
      <c r="L136" s="47" t="str">
        <f t="shared" si="7"/>
        <v>qui</v>
      </c>
      <c r="M136" s="47" t="str">
        <f>IFERROR(VLOOKUP(A136,RECEITAS!A:B,2,FALSE),"")</f>
        <v>DIRETO</v>
      </c>
      <c r="N136" s="47">
        <f t="shared" si="8"/>
        <v>36</v>
      </c>
    </row>
    <row r="137" spans="1:14" x14ac:dyDescent="0.3">
      <c r="A137" t="s">
        <v>20</v>
      </c>
      <c r="B137" t="s">
        <v>145</v>
      </c>
      <c r="C137">
        <v>6</v>
      </c>
      <c r="D137">
        <v>0.1</v>
      </c>
      <c r="E137" t="s">
        <v>206</v>
      </c>
      <c r="F137" s="35">
        <v>43258</v>
      </c>
      <c r="G137">
        <v>6</v>
      </c>
      <c r="H137">
        <v>11.18</v>
      </c>
      <c r="I137">
        <v>67.08</v>
      </c>
      <c r="K137" s="47">
        <f t="shared" si="6"/>
        <v>3.6000000000000005</v>
      </c>
      <c r="L137" s="47" t="str">
        <f t="shared" si="7"/>
        <v>qui</v>
      </c>
      <c r="M137" s="47" t="str">
        <f>IFERROR(VLOOKUP(A137,RECEITAS!A:B,2,FALSE),"")</f>
        <v>DIRETO</v>
      </c>
      <c r="N137" s="47">
        <f t="shared" si="8"/>
        <v>36</v>
      </c>
    </row>
    <row r="138" spans="1:14" x14ac:dyDescent="0.3">
      <c r="A138" t="s">
        <v>21</v>
      </c>
      <c r="B138" t="s">
        <v>145</v>
      </c>
      <c r="C138">
        <v>14</v>
      </c>
      <c r="D138">
        <v>0.1</v>
      </c>
      <c r="E138" t="s">
        <v>206</v>
      </c>
      <c r="F138" s="35">
        <v>43258</v>
      </c>
      <c r="G138">
        <v>6</v>
      </c>
      <c r="H138">
        <v>10.07</v>
      </c>
      <c r="I138">
        <v>140.97999999999999</v>
      </c>
      <c r="K138" s="47">
        <f t="shared" si="6"/>
        <v>8.4000000000000021</v>
      </c>
      <c r="L138" s="47" t="str">
        <f t="shared" si="7"/>
        <v>qui</v>
      </c>
      <c r="M138" s="47" t="str">
        <f>IFERROR(VLOOKUP(A138,RECEITAS!A:B,2,FALSE),"")</f>
        <v>DIRETO</v>
      </c>
      <c r="N138" s="47">
        <f t="shared" si="8"/>
        <v>84</v>
      </c>
    </row>
    <row r="139" spans="1:14" x14ac:dyDescent="0.3">
      <c r="A139" t="s">
        <v>21</v>
      </c>
      <c r="B139" t="s">
        <v>145</v>
      </c>
      <c r="C139">
        <v>25</v>
      </c>
      <c r="D139">
        <v>0.1</v>
      </c>
      <c r="E139" t="s">
        <v>207</v>
      </c>
      <c r="F139" s="35">
        <v>43258</v>
      </c>
      <c r="G139">
        <v>6</v>
      </c>
      <c r="H139">
        <v>10.07</v>
      </c>
      <c r="I139">
        <v>251.75</v>
      </c>
      <c r="K139" s="47">
        <f t="shared" si="6"/>
        <v>15.000000000000002</v>
      </c>
      <c r="L139" s="47" t="str">
        <f t="shared" si="7"/>
        <v>qui</v>
      </c>
      <c r="M139" s="47" t="str">
        <f>IFERROR(VLOOKUP(A139,RECEITAS!A:B,2,FALSE),"")</f>
        <v>DIRETO</v>
      </c>
      <c r="N139" s="47">
        <f t="shared" si="8"/>
        <v>150</v>
      </c>
    </row>
    <row r="140" spans="1:14" x14ac:dyDescent="0.3">
      <c r="A140" t="s">
        <v>20</v>
      </c>
      <c r="B140" t="s">
        <v>145</v>
      </c>
      <c r="C140">
        <v>6</v>
      </c>
      <c r="D140">
        <v>0.1</v>
      </c>
      <c r="E140" t="s">
        <v>208</v>
      </c>
      <c r="F140" s="35">
        <v>43258</v>
      </c>
      <c r="G140">
        <v>6</v>
      </c>
      <c r="H140">
        <v>11.18</v>
      </c>
      <c r="I140">
        <v>67.08</v>
      </c>
      <c r="K140" s="47">
        <f t="shared" si="6"/>
        <v>3.6000000000000005</v>
      </c>
      <c r="L140" s="47" t="str">
        <f t="shared" si="7"/>
        <v>qui</v>
      </c>
      <c r="M140" s="47" t="str">
        <f>IFERROR(VLOOKUP(A140,RECEITAS!A:B,2,FALSE),"")</f>
        <v>DIRETO</v>
      </c>
      <c r="N140" s="47">
        <f t="shared" si="8"/>
        <v>36</v>
      </c>
    </row>
    <row r="141" spans="1:14" x14ac:dyDescent="0.3">
      <c r="A141" t="s">
        <v>21</v>
      </c>
      <c r="B141" t="s">
        <v>145</v>
      </c>
      <c r="C141">
        <v>10</v>
      </c>
      <c r="D141">
        <v>0.1</v>
      </c>
      <c r="E141" t="s">
        <v>208</v>
      </c>
      <c r="F141" s="35">
        <v>43258</v>
      </c>
      <c r="G141">
        <v>6</v>
      </c>
      <c r="H141">
        <v>10.07</v>
      </c>
      <c r="I141">
        <v>100.7</v>
      </c>
      <c r="K141" s="47">
        <f t="shared" si="6"/>
        <v>6.0000000000000009</v>
      </c>
      <c r="L141" s="47" t="str">
        <f t="shared" si="7"/>
        <v>qui</v>
      </c>
      <c r="M141" s="47" t="str">
        <f>IFERROR(VLOOKUP(A141,RECEITAS!A:B,2,FALSE),"")</f>
        <v>DIRETO</v>
      </c>
      <c r="N141" s="47">
        <f t="shared" si="8"/>
        <v>60</v>
      </c>
    </row>
    <row r="142" spans="1:14" x14ac:dyDescent="0.3">
      <c r="A142" t="s">
        <v>22</v>
      </c>
      <c r="B142" t="s">
        <v>145</v>
      </c>
      <c r="C142">
        <v>5</v>
      </c>
      <c r="D142">
        <v>0.1</v>
      </c>
      <c r="E142" t="s">
        <v>208</v>
      </c>
      <c r="F142" s="35">
        <v>43258</v>
      </c>
      <c r="G142">
        <v>6</v>
      </c>
      <c r="H142">
        <v>12.42</v>
      </c>
      <c r="I142">
        <v>62.1</v>
      </c>
      <c r="K142" s="47">
        <f t="shared" si="6"/>
        <v>3.0000000000000004</v>
      </c>
      <c r="L142" s="47" t="str">
        <f t="shared" si="7"/>
        <v>qui</v>
      </c>
      <c r="M142" s="47" t="str">
        <f>IFERROR(VLOOKUP(A142,RECEITAS!A:B,2,FALSE),"")</f>
        <v>DIRETO</v>
      </c>
      <c r="N142" s="47">
        <f t="shared" si="8"/>
        <v>30</v>
      </c>
    </row>
    <row r="143" spans="1:14" x14ac:dyDescent="0.3">
      <c r="A143" t="s">
        <v>49</v>
      </c>
      <c r="B143" t="s">
        <v>155</v>
      </c>
      <c r="C143">
        <v>2</v>
      </c>
      <c r="D143">
        <v>7.0000000000000007E-2</v>
      </c>
      <c r="E143" t="s">
        <v>176</v>
      </c>
      <c r="F143" s="35">
        <v>43258</v>
      </c>
      <c r="G143">
        <v>6</v>
      </c>
      <c r="H143">
        <v>10.49</v>
      </c>
      <c r="I143">
        <v>20.98</v>
      </c>
      <c r="K143" s="47">
        <f t="shared" si="6"/>
        <v>0.84000000000000008</v>
      </c>
      <c r="L143" s="47" t="str">
        <f t="shared" si="7"/>
        <v>qui</v>
      </c>
      <c r="M143" s="47" t="str">
        <f>IFERROR(VLOOKUP(A143,RECEITAS!A:B,2,FALSE),"")</f>
        <v>DIRETO</v>
      </c>
      <c r="N143" s="47">
        <f t="shared" si="8"/>
        <v>12</v>
      </c>
    </row>
    <row r="144" spans="1:14" x14ac:dyDescent="0.3">
      <c r="A144" t="s">
        <v>21</v>
      </c>
      <c r="B144" t="s">
        <v>155</v>
      </c>
      <c r="C144">
        <v>33</v>
      </c>
      <c r="D144">
        <v>7.0000000000000007E-2</v>
      </c>
      <c r="E144" t="s">
        <v>176</v>
      </c>
      <c r="F144" s="35">
        <v>43258</v>
      </c>
      <c r="G144">
        <v>6</v>
      </c>
      <c r="H144">
        <v>8.49</v>
      </c>
      <c r="I144">
        <v>280.17</v>
      </c>
      <c r="K144" s="47">
        <f t="shared" si="6"/>
        <v>13.860000000000001</v>
      </c>
      <c r="L144" s="47" t="str">
        <f t="shared" si="7"/>
        <v>qui</v>
      </c>
      <c r="M144" s="47" t="str">
        <f>IFERROR(VLOOKUP(A144,RECEITAS!A:B,2,FALSE),"")</f>
        <v>DIRETO</v>
      </c>
      <c r="N144" s="47">
        <f t="shared" si="8"/>
        <v>198</v>
      </c>
    </row>
    <row r="145" spans="1:14" x14ac:dyDescent="0.3">
      <c r="A145" t="s">
        <v>21</v>
      </c>
      <c r="B145" t="s">
        <v>145</v>
      </c>
      <c r="C145">
        <v>12</v>
      </c>
      <c r="D145">
        <v>0.1</v>
      </c>
      <c r="E145" t="s">
        <v>158</v>
      </c>
      <c r="F145" s="35">
        <v>43258</v>
      </c>
      <c r="G145">
        <v>6</v>
      </c>
      <c r="H145">
        <v>10.07</v>
      </c>
      <c r="I145">
        <v>120.84</v>
      </c>
      <c r="K145" s="47">
        <f t="shared" si="6"/>
        <v>7.2000000000000011</v>
      </c>
      <c r="L145" s="47" t="str">
        <f t="shared" si="7"/>
        <v>qui</v>
      </c>
      <c r="M145" s="47" t="str">
        <f>IFERROR(VLOOKUP(A145,RECEITAS!A:B,2,FALSE),"")</f>
        <v>DIRETO</v>
      </c>
      <c r="N145" s="47">
        <f t="shared" si="8"/>
        <v>72</v>
      </c>
    </row>
    <row r="146" spans="1:14" x14ac:dyDescent="0.3">
      <c r="A146" t="s">
        <v>21</v>
      </c>
      <c r="B146" t="s">
        <v>159</v>
      </c>
      <c r="C146">
        <v>2</v>
      </c>
      <c r="D146">
        <v>0.06</v>
      </c>
      <c r="E146" t="s">
        <v>158</v>
      </c>
      <c r="F146" s="35">
        <v>43258</v>
      </c>
      <c r="G146">
        <v>8</v>
      </c>
      <c r="H146">
        <v>6.16</v>
      </c>
      <c r="I146">
        <v>12.32</v>
      </c>
      <c r="K146" s="47">
        <f t="shared" si="6"/>
        <v>0.96</v>
      </c>
      <c r="L146" s="47" t="str">
        <f t="shared" si="7"/>
        <v>qui</v>
      </c>
      <c r="M146" s="47" t="str">
        <f>IFERROR(VLOOKUP(A146,RECEITAS!A:B,2,FALSE),"")</f>
        <v>DIRETO</v>
      </c>
      <c r="N146" s="47">
        <f t="shared" si="8"/>
        <v>16</v>
      </c>
    </row>
    <row r="147" spans="1:14" x14ac:dyDescent="0.3">
      <c r="A147" t="s">
        <v>21</v>
      </c>
      <c r="B147" t="s">
        <v>164</v>
      </c>
      <c r="C147">
        <v>4</v>
      </c>
      <c r="D147">
        <v>0.14000000000000001</v>
      </c>
      <c r="E147" t="s">
        <v>177</v>
      </c>
      <c r="F147" s="35">
        <v>43258</v>
      </c>
      <c r="G147">
        <v>4</v>
      </c>
      <c r="H147">
        <v>7.48</v>
      </c>
      <c r="I147">
        <v>29.92</v>
      </c>
      <c r="K147" s="47">
        <f t="shared" si="6"/>
        <v>2.2400000000000002</v>
      </c>
      <c r="L147" s="47" t="str">
        <f t="shared" si="7"/>
        <v>qui</v>
      </c>
      <c r="M147" s="47" t="str">
        <f>IFERROR(VLOOKUP(A147,RECEITAS!A:B,2,FALSE),"")</f>
        <v>DIRETO</v>
      </c>
      <c r="N147" s="47">
        <f t="shared" si="8"/>
        <v>16</v>
      </c>
    </row>
    <row r="148" spans="1:14" x14ac:dyDescent="0.3">
      <c r="A148" t="s">
        <v>21</v>
      </c>
      <c r="B148" t="s">
        <v>159</v>
      </c>
      <c r="C148">
        <v>25</v>
      </c>
      <c r="D148">
        <v>0.12</v>
      </c>
      <c r="E148" t="s">
        <v>177</v>
      </c>
      <c r="F148" s="35">
        <v>43258</v>
      </c>
      <c r="G148">
        <v>5</v>
      </c>
      <c r="H148">
        <v>10.35</v>
      </c>
      <c r="I148">
        <v>258.75</v>
      </c>
      <c r="K148" s="47">
        <f t="shared" si="6"/>
        <v>15</v>
      </c>
      <c r="L148" s="47" t="str">
        <f t="shared" si="7"/>
        <v>qui</v>
      </c>
      <c r="M148" s="47" t="str">
        <f>IFERROR(VLOOKUP(A148,RECEITAS!A:B,2,FALSE),"")</f>
        <v>DIRETO</v>
      </c>
      <c r="N148" s="47">
        <f t="shared" si="8"/>
        <v>125</v>
      </c>
    </row>
    <row r="149" spans="1:14" x14ac:dyDescent="0.3">
      <c r="A149" t="s">
        <v>21</v>
      </c>
      <c r="B149" t="s">
        <v>159</v>
      </c>
      <c r="C149">
        <v>1</v>
      </c>
      <c r="D149">
        <v>0.12</v>
      </c>
      <c r="E149" t="s">
        <v>177</v>
      </c>
      <c r="F149" s="35">
        <v>43258</v>
      </c>
      <c r="G149">
        <v>6</v>
      </c>
      <c r="H149">
        <v>9.8000000000000007</v>
      </c>
      <c r="I149">
        <v>9.8000000000000007</v>
      </c>
      <c r="K149" s="47">
        <f t="shared" si="6"/>
        <v>0.72</v>
      </c>
      <c r="L149" s="47" t="str">
        <f t="shared" si="7"/>
        <v>qui</v>
      </c>
      <c r="M149" s="47" t="str">
        <f>IFERROR(VLOOKUP(A149,RECEITAS!A:B,2,FALSE),"")</f>
        <v>DIRETO</v>
      </c>
      <c r="N149" s="47">
        <f t="shared" si="8"/>
        <v>6</v>
      </c>
    </row>
    <row r="150" spans="1:14" x14ac:dyDescent="0.3">
      <c r="A150" t="s">
        <v>20</v>
      </c>
      <c r="B150" t="s">
        <v>145</v>
      </c>
      <c r="C150">
        <v>4</v>
      </c>
      <c r="D150">
        <v>0.1</v>
      </c>
      <c r="E150" t="s">
        <v>209</v>
      </c>
      <c r="F150" s="35">
        <v>43258</v>
      </c>
      <c r="G150">
        <v>6</v>
      </c>
      <c r="H150">
        <v>11.18</v>
      </c>
      <c r="I150">
        <v>44.72</v>
      </c>
      <c r="K150" s="47">
        <f t="shared" si="6"/>
        <v>2.4000000000000004</v>
      </c>
      <c r="L150" s="47" t="str">
        <f t="shared" si="7"/>
        <v>qui</v>
      </c>
      <c r="M150" s="47" t="str">
        <f>IFERROR(VLOOKUP(A150,RECEITAS!A:B,2,FALSE),"")</f>
        <v>DIRETO</v>
      </c>
      <c r="N150" s="47">
        <f t="shared" si="8"/>
        <v>24</v>
      </c>
    </row>
    <row r="151" spans="1:14" x14ac:dyDescent="0.3">
      <c r="A151" t="s">
        <v>21</v>
      </c>
      <c r="B151" t="s">
        <v>145</v>
      </c>
      <c r="C151">
        <v>15</v>
      </c>
      <c r="D151">
        <v>0.1</v>
      </c>
      <c r="E151" t="s">
        <v>209</v>
      </c>
      <c r="F151" s="35">
        <v>43258</v>
      </c>
      <c r="G151">
        <v>6</v>
      </c>
      <c r="H151">
        <v>10.07</v>
      </c>
      <c r="I151">
        <v>151.05000000000001</v>
      </c>
      <c r="K151" s="47">
        <f t="shared" si="6"/>
        <v>9.0000000000000018</v>
      </c>
      <c r="L151" s="47" t="str">
        <f t="shared" si="7"/>
        <v>qui</v>
      </c>
      <c r="M151" s="47" t="str">
        <f>IFERROR(VLOOKUP(A151,RECEITAS!A:B,2,FALSE),"")</f>
        <v>DIRETO</v>
      </c>
      <c r="N151" s="47">
        <f t="shared" si="8"/>
        <v>90</v>
      </c>
    </row>
    <row r="152" spans="1:14" x14ac:dyDescent="0.3">
      <c r="A152" t="s">
        <v>60</v>
      </c>
      <c r="B152" t="s">
        <v>145</v>
      </c>
      <c r="C152">
        <v>4</v>
      </c>
      <c r="D152">
        <v>0.1</v>
      </c>
      <c r="E152" t="s">
        <v>209</v>
      </c>
      <c r="F152" s="35">
        <v>43258</v>
      </c>
      <c r="G152">
        <v>6</v>
      </c>
      <c r="H152">
        <v>12.42</v>
      </c>
      <c r="I152">
        <v>49.68</v>
      </c>
      <c r="K152" s="47">
        <f t="shared" si="6"/>
        <v>2.4000000000000004</v>
      </c>
      <c r="L152" s="47" t="str">
        <f t="shared" si="7"/>
        <v>qui</v>
      </c>
      <c r="M152" s="47" t="str">
        <f>IFERROR(VLOOKUP(A152,RECEITAS!A:B,2,FALSE),"")</f>
        <v>DIRETO</v>
      </c>
      <c r="N152" s="47">
        <f t="shared" si="8"/>
        <v>24</v>
      </c>
    </row>
    <row r="153" spans="1:14" x14ac:dyDescent="0.3">
      <c r="A153" t="s">
        <v>50</v>
      </c>
      <c r="B153" t="s">
        <v>159</v>
      </c>
      <c r="C153">
        <v>4</v>
      </c>
      <c r="D153">
        <v>0.04</v>
      </c>
      <c r="E153" t="s">
        <v>149</v>
      </c>
      <c r="F153" s="35">
        <v>43258</v>
      </c>
      <c r="G153">
        <v>15</v>
      </c>
      <c r="H153">
        <v>37.5</v>
      </c>
      <c r="I153">
        <v>150</v>
      </c>
      <c r="K153" s="47">
        <f t="shared" si="6"/>
        <v>2.4</v>
      </c>
      <c r="L153" s="47" t="str">
        <f t="shared" si="7"/>
        <v>qui</v>
      </c>
      <c r="M153" s="47" t="str">
        <f>IFERROR(VLOOKUP(A153,RECEITAS!A:B,2,FALSE),"")</f>
        <v>DIRETO</v>
      </c>
      <c r="N153" s="47">
        <f t="shared" si="8"/>
        <v>60</v>
      </c>
    </row>
    <row r="154" spans="1:14" x14ac:dyDescent="0.3">
      <c r="A154" t="s">
        <v>28</v>
      </c>
      <c r="B154" t="s">
        <v>151</v>
      </c>
      <c r="C154">
        <v>10</v>
      </c>
      <c r="D154">
        <v>0.13</v>
      </c>
      <c r="E154" t="s">
        <v>210</v>
      </c>
      <c r="F154" s="35">
        <v>43258</v>
      </c>
      <c r="G154">
        <v>5</v>
      </c>
      <c r="H154">
        <v>7.48</v>
      </c>
      <c r="I154">
        <v>74.8</v>
      </c>
      <c r="K154" s="47">
        <f t="shared" si="6"/>
        <v>6.5</v>
      </c>
      <c r="L154" s="47" t="str">
        <f t="shared" si="7"/>
        <v>qui</v>
      </c>
      <c r="M154" s="47" t="str">
        <f>IFERROR(VLOOKUP(A154,RECEITAS!A:B,2,FALSE),"")</f>
        <v>DIRETO</v>
      </c>
      <c r="N154" s="47">
        <f t="shared" si="8"/>
        <v>50</v>
      </c>
    </row>
    <row r="155" spans="1:14" x14ac:dyDescent="0.3">
      <c r="A155" t="s">
        <v>21</v>
      </c>
      <c r="B155" t="s">
        <v>145</v>
      </c>
      <c r="C155">
        <v>18</v>
      </c>
      <c r="D155">
        <v>0.1</v>
      </c>
      <c r="E155" t="s">
        <v>210</v>
      </c>
      <c r="F155" s="35">
        <v>43258</v>
      </c>
      <c r="G155">
        <v>6</v>
      </c>
      <c r="H155">
        <v>11.04</v>
      </c>
      <c r="I155">
        <v>198.72</v>
      </c>
      <c r="K155" s="47">
        <f t="shared" si="6"/>
        <v>10.8</v>
      </c>
      <c r="L155" s="47" t="str">
        <f t="shared" si="7"/>
        <v>qui</v>
      </c>
      <c r="M155" s="47" t="str">
        <f>IFERROR(VLOOKUP(A155,RECEITAS!A:B,2,FALSE),"")</f>
        <v>DIRETO</v>
      </c>
      <c r="N155" s="47">
        <f t="shared" si="8"/>
        <v>108</v>
      </c>
    </row>
    <row r="156" spans="1:14" x14ac:dyDescent="0.3">
      <c r="A156" t="s">
        <v>114</v>
      </c>
      <c r="B156" t="s">
        <v>151</v>
      </c>
      <c r="C156">
        <v>10</v>
      </c>
      <c r="D156">
        <v>0.13</v>
      </c>
      <c r="E156" t="s">
        <v>210</v>
      </c>
      <c r="F156" s="35">
        <v>43258</v>
      </c>
      <c r="G156">
        <v>5</v>
      </c>
      <c r="H156">
        <v>10.93</v>
      </c>
      <c r="I156">
        <v>109.3</v>
      </c>
      <c r="K156" s="47">
        <f t="shared" si="6"/>
        <v>6.5</v>
      </c>
      <c r="L156" s="47" t="str">
        <f t="shared" si="7"/>
        <v>qui</v>
      </c>
      <c r="M156" s="47" t="str">
        <f>IFERROR(VLOOKUP(A156,RECEITAS!A:B,2,FALSE),"")</f>
        <v>DIRETO</v>
      </c>
      <c r="N156" s="47">
        <f t="shared" si="8"/>
        <v>50</v>
      </c>
    </row>
    <row r="157" spans="1:14" x14ac:dyDescent="0.3">
      <c r="A157" t="s">
        <v>20</v>
      </c>
      <c r="B157" t="s">
        <v>145</v>
      </c>
      <c r="C157">
        <v>9</v>
      </c>
      <c r="D157">
        <v>0.1</v>
      </c>
      <c r="E157" t="s">
        <v>210</v>
      </c>
      <c r="F157" s="35">
        <v>43258</v>
      </c>
      <c r="G157">
        <v>6</v>
      </c>
      <c r="H157">
        <v>11.18</v>
      </c>
      <c r="I157">
        <v>100.62</v>
      </c>
      <c r="K157" s="47">
        <f t="shared" si="6"/>
        <v>5.4</v>
      </c>
      <c r="L157" s="47" t="str">
        <f t="shared" si="7"/>
        <v>qui</v>
      </c>
      <c r="M157" s="47" t="str">
        <f>IFERROR(VLOOKUP(A157,RECEITAS!A:B,2,FALSE),"")</f>
        <v>DIRETO</v>
      </c>
      <c r="N157" s="47">
        <f t="shared" si="8"/>
        <v>54</v>
      </c>
    </row>
    <row r="158" spans="1:14" x14ac:dyDescent="0.3">
      <c r="A158" t="s">
        <v>21</v>
      </c>
      <c r="B158" t="s">
        <v>145</v>
      </c>
      <c r="C158">
        <v>9</v>
      </c>
      <c r="D158">
        <v>0.1</v>
      </c>
      <c r="E158" t="s">
        <v>210</v>
      </c>
      <c r="F158" s="35">
        <v>43258</v>
      </c>
      <c r="G158">
        <v>6</v>
      </c>
      <c r="H158">
        <v>10.07</v>
      </c>
      <c r="I158">
        <v>90.63</v>
      </c>
      <c r="K158" s="47">
        <f t="shared" si="6"/>
        <v>5.4</v>
      </c>
      <c r="L158" s="47" t="str">
        <f t="shared" si="7"/>
        <v>qui</v>
      </c>
      <c r="M158" s="47" t="str">
        <f>IFERROR(VLOOKUP(A158,RECEITAS!A:B,2,FALSE),"")</f>
        <v>DIRETO</v>
      </c>
      <c r="N158" s="47">
        <f t="shared" si="8"/>
        <v>54</v>
      </c>
    </row>
    <row r="159" spans="1:14" x14ac:dyDescent="0.3">
      <c r="A159" t="s">
        <v>29</v>
      </c>
      <c r="B159" t="s">
        <v>160</v>
      </c>
      <c r="C159">
        <v>8</v>
      </c>
      <c r="D159">
        <v>0.37</v>
      </c>
      <c r="E159" t="s">
        <v>161</v>
      </c>
      <c r="F159" s="35">
        <v>43258</v>
      </c>
      <c r="G159">
        <v>5</v>
      </c>
      <c r="H159">
        <v>18.399999999999999</v>
      </c>
      <c r="I159">
        <v>147.19999999999999</v>
      </c>
      <c r="K159" s="47">
        <f t="shared" si="6"/>
        <v>14.8</v>
      </c>
      <c r="L159" s="47" t="str">
        <f t="shared" si="7"/>
        <v>qui</v>
      </c>
      <c r="M159" s="47" t="str">
        <f>IFERROR(VLOOKUP(A159,RECEITAS!A:B,2,FALSE),"")</f>
        <v>RÚSTICO</v>
      </c>
      <c r="N159" s="47">
        <f t="shared" si="8"/>
        <v>40</v>
      </c>
    </row>
    <row r="160" spans="1:14" x14ac:dyDescent="0.3">
      <c r="A160" t="s">
        <v>23</v>
      </c>
      <c r="B160" t="s">
        <v>156</v>
      </c>
      <c r="C160">
        <v>2</v>
      </c>
      <c r="D160">
        <v>0.35</v>
      </c>
      <c r="E160" t="s">
        <v>211</v>
      </c>
      <c r="F160" s="35">
        <v>43258</v>
      </c>
      <c r="G160">
        <v>5</v>
      </c>
      <c r="H160">
        <v>21.05</v>
      </c>
      <c r="I160">
        <v>42.1</v>
      </c>
      <c r="K160" s="47">
        <f t="shared" si="6"/>
        <v>3.5</v>
      </c>
      <c r="L160" s="47" t="str">
        <f t="shared" si="7"/>
        <v>qui</v>
      </c>
      <c r="M160" s="47" t="str">
        <f>IFERROR(VLOOKUP(A160,RECEITAS!A:B,2,FALSE),"")</f>
        <v>RÚSTICO</v>
      </c>
      <c r="N160" s="47">
        <f t="shared" si="8"/>
        <v>10</v>
      </c>
    </row>
    <row r="161" spans="1:14" x14ac:dyDescent="0.3">
      <c r="A161" t="s">
        <v>24</v>
      </c>
      <c r="B161" t="s">
        <v>156</v>
      </c>
      <c r="C161">
        <v>7</v>
      </c>
      <c r="D161">
        <v>0.25</v>
      </c>
      <c r="E161" t="s">
        <v>211</v>
      </c>
      <c r="F161" s="35">
        <v>43258</v>
      </c>
      <c r="G161">
        <v>5</v>
      </c>
      <c r="H161">
        <v>14.72</v>
      </c>
      <c r="I161">
        <v>103.04</v>
      </c>
      <c r="K161" s="47">
        <f t="shared" si="6"/>
        <v>8.75</v>
      </c>
      <c r="L161" s="47" t="str">
        <f t="shared" si="7"/>
        <v>qui</v>
      </c>
      <c r="M161" s="47" t="str">
        <f>IFERROR(VLOOKUP(A161,RECEITAS!A:B,2,FALSE),"")</f>
        <v>RÚSTICO</v>
      </c>
      <c r="N161" s="47">
        <f t="shared" si="8"/>
        <v>35</v>
      </c>
    </row>
    <row r="162" spans="1:14" x14ac:dyDescent="0.3">
      <c r="A162" t="s">
        <v>25</v>
      </c>
      <c r="B162" t="s">
        <v>153</v>
      </c>
      <c r="C162">
        <v>1</v>
      </c>
      <c r="D162">
        <v>0.27</v>
      </c>
      <c r="E162" t="s">
        <v>211</v>
      </c>
      <c r="F162" s="35">
        <v>43258</v>
      </c>
      <c r="G162">
        <v>3</v>
      </c>
      <c r="H162">
        <v>14.63</v>
      </c>
      <c r="I162">
        <v>14.63</v>
      </c>
      <c r="K162" s="47">
        <f t="shared" si="6"/>
        <v>0.81</v>
      </c>
      <c r="L162" s="47" t="str">
        <f t="shared" si="7"/>
        <v>qui</v>
      </c>
      <c r="M162" s="47" t="str">
        <f>IFERROR(VLOOKUP(A162,RECEITAS!A:B,2,FALSE),"")</f>
        <v>DIRETO</v>
      </c>
      <c r="N162" s="47">
        <f t="shared" si="8"/>
        <v>3</v>
      </c>
    </row>
    <row r="163" spans="1:14" x14ac:dyDescent="0.3">
      <c r="A163" t="s">
        <v>20</v>
      </c>
      <c r="B163" t="s">
        <v>164</v>
      </c>
      <c r="C163">
        <v>2</v>
      </c>
      <c r="D163">
        <v>0.1</v>
      </c>
      <c r="E163" t="s">
        <v>211</v>
      </c>
      <c r="F163" s="35">
        <v>43258</v>
      </c>
      <c r="G163">
        <v>6</v>
      </c>
      <c r="H163">
        <v>6.97</v>
      </c>
      <c r="I163">
        <v>13.94</v>
      </c>
      <c r="K163" s="47">
        <f t="shared" si="6"/>
        <v>1.2000000000000002</v>
      </c>
      <c r="L163" s="47" t="str">
        <f t="shared" si="7"/>
        <v>qui</v>
      </c>
      <c r="M163" s="47" t="str">
        <f>IFERROR(VLOOKUP(A163,RECEITAS!A:B,2,FALSE),"")</f>
        <v>DIRETO</v>
      </c>
      <c r="N163" s="47">
        <f t="shared" si="8"/>
        <v>12</v>
      </c>
    </row>
    <row r="164" spans="1:14" x14ac:dyDescent="0.3">
      <c r="A164" t="s">
        <v>26</v>
      </c>
      <c r="B164" t="s">
        <v>151</v>
      </c>
      <c r="C164">
        <v>3</v>
      </c>
      <c r="D164">
        <v>0.13</v>
      </c>
      <c r="E164" t="s">
        <v>211</v>
      </c>
      <c r="F164" s="35">
        <v>43258</v>
      </c>
      <c r="G164">
        <v>6</v>
      </c>
      <c r="H164">
        <v>8.56</v>
      </c>
      <c r="I164">
        <v>25.68</v>
      </c>
      <c r="K164" s="47">
        <f t="shared" si="6"/>
        <v>2.34</v>
      </c>
      <c r="L164" s="47" t="str">
        <f t="shared" si="7"/>
        <v>qui</v>
      </c>
      <c r="M164" s="47" t="str">
        <f>IFERROR(VLOOKUP(A164,RECEITAS!A:B,2,FALSE),"")</f>
        <v>RÚSTICO</v>
      </c>
      <c r="N164" s="47">
        <f t="shared" si="8"/>
        <v>18</v>
      </c>
    </row>
    <row r="165" spans="1:14" x14ac:dyDescent="0.3">
      <c r="A165" t="s">
        <v>21</v>
      </c>
      <c r="B165" t="s">
        <v>164</v>
      </c>
      <c r="C165">
        <v>5</v>
      </c>
      <c r="D165">
        <v>0.1</v>
      </c>
      <c r="E165" t="s">
        <v>211</v>
      </c>
      <c r="F165" s="35">
        <v>43258</v>
      </c>
      <c r="G165">
        <v>4</v>
      </c>
      <c r="H165">
        <v>2.99</v>
      </c>
      <c r="I165">
        <v>14.95</v>
      </c>
      <c r="K165" s="47">
        <f t="shared" si="6"/>
        <v>2</v>
      </c>
      <c r="L165" s="47" t="str">
        <f t="shared" si="7"/>
        <v>qui</v>
      </c>
      <c r="M165" s="47" t="str">
        <f>IFERROR(VLOOKUP(A165,RECEITAS!A:B,2,FALSE),"")</f>
        <v>DIRETO</v>
      </c>
      <c r="N165" s="47">
        <f t="shared" si="8"/>
        <v>20</v>
      </c>
    </row>
    <row r="166" spans="1:14" x14ac:dyDescent="0.3">
      <c r="A166" t="s">
        <v>27</v>
      </c>
      <c r="B166" t="s">
        <v>154</v>
      </c>
      <c r="C166">
        <v>7</v>
      </c>
      <c r="D166">
        <v>0.45</v>
      </c>
      <c r="E166" t="s">
        <v>211</v>
      </c>
      <c r="F166" s="35">
        <v>43258</v>
      </c>
      <c r="G166">
        <v>1</v>
      </c>
      <c r="H166">
        <v>4.6900000000000004</v>
      </c>
      <c r="I166">
        <v>32.83</v>
      </c>
      <c r="K166" s="47">
        <f t="shared" si="6"/>
        <v>3.15</v>
      </c>
      <c r="L166" s="47" t="str">
        <f t="shared" si="7"/>
        <v>qui</v>
      </c>
      <c r="M166" s="47" t="str">
        <f>IFERROR(VLOOKUP(A166,RECEITAS!A:B,2,FALSE),"")</f>
        <v>DIRETO</v>
      </c>
      <c r="N166" s="47">
        <f t="shared" si="8"/>
        <v>7</v>
      </c>
    </row>
    <row r="167" spans="1:14" x14ac:dyDescent="0.3">
      <c r="A167" t="s">
        <v>21</v>
      </c>
      <c r="B167" t="s">
        <v>154</v>
      </c>
      <c r="C167">
        <v>3</v>
      </c>
      <c r="D167">
        <v>0.4</v>
      </c>
      <c r="E167" t="s">
        <v>211</v>
      </c>
      <c r="F167" s="35">
        <v>43258</v>
      </c>
      <c r="G167">
        <v>1</v>
      </c>
      <c r="H167">
        <v>3.97</v>
      </c>
      <c r="I167">
        <v>11.91</v>
      </c>
      <c r="K167" s="47">
        <f t="shared" si="6"/>
        <v>1.2000000000000002</v>
      </c>
      <c r="L167" s="47" t="str">
        <f t="shared" si="7"/>
        <v>qui</v>
      </c>
      <c r="M167" s="47" t="str">
        <f>IFERROR(VLOOKUP(A167,RECEITAS!A:B,2,FALSE),"")</f>
        <v>DIRETO</v>
      </c>
      <c r="N167" s="47">
        <f t="shared" si="8"/>
        <v>3</v>
      </c>
    </row>
    <row r="168" spans="1:14" x14ac:dyDescent="0.3">
      <c r="A168" t="s">
        <v>20</v>
      </c>
      <c r="B168" t="s">
        <v>155</v>
      </c>
      <c r="C168">
        <v>6</v>
      </c>
      <c r="D168">
        <v>7.0000000000000007E-2</v>
      </c>
      <c r="E168" t="s">
        <v>211</v>
      </c>
      <c r="F168" s="35">
        <v>43258</v>
      </c>
      <c r="G168">
        <v>4</v>
      </c>
      <c r="H168">
        <v>3.45</v>
      </c>
      <c r="I168">
        <v>20.7</v>
      </c>
      <c r="K168" s="47">
        <f t="shared" si="6"/>
        <v>1.6800000000000002</v>
      </c>
      <c r="L168" s="47" t="str">
        <f t="shared" si="7"/>
        <v>qui</v>
      </c>
      <c r="M168" s="47" t="str">
        <f>IFERROR(VLOOKUP(A168,RECEITAS!A:B,2,FALSE),"")</f>
        <v>DIRETO</v>
      </c>
      <c r="N168" s="47">
        <f t="shared" si="8"/>
        <v>24</v>
      </c>
    </row>
    <row r="169" spans="1:14" x14ac:dyDescent="0.3">
      <c r="A169" t="s">
        <v>21</v>
      </c>
      <c r="B169" t="s">
        <v>155</v>
      </c>
      <c r="C169">
        <v>6</v>
      </c>
      <c r="D169">
        <v>7.0000000000000007E-2</v>
      </c>
      <c r="E169" t="s">
        <v>211</v>
      </c>
      <c r="F169" s="35">
        <v>43258</v>
      </c>
      <c r="G169">
        <v>4</v>
      </c>
      <c r="H169">
        <v>2.9</v>
      </c>
      <c r="I169">
        <v>17.399999999999999</v>
      </c>
      <c r="K169" s="47">
        <f t="shared" si="6"/>
        <v>1.6800000000000002</v>
      </c>
      <c r="L169" s="47" t="str">
        <f t="shared" si="7"/>
        <v>qui</v>
      </c>
      <c r="M169" s="47" t="str">
        <f>IFERROR(VLOOKUP(A169,RECEITAS!A:B,2,FALSE),"")</f>
        <v>DIRETO</v>
      </c>
      <c r="N169" s="47">
        <f t="shared" si="8"/>
        <v>24</v>
      </c>
    </row>
    <row r="170" spans="1:14" x14ac:dyDescent="0.3">
      <c r="A170" t="s">
        <v>24</v>
      </c>
      <c r="B170" t="s">
        <v>156</v>
      </c>
      <c r="C170">
        <v>10</v>
      </c>
      <c r="D170">
        <v>0.13</v>
      </c>
      <c r="E170" t="s">
        <v>212</v>
      </c>
      <c r="F170" s="35">
        <v>43258</v>
      </c>
      <c r="G170">
        <v>5</v>
      </c>
      <c r="H170">
        <v>7.25</v>
      </c>
      <c r="I170">
        <v>72.5</v>
      </c>
      <c r="K170" s="47">
        <f t="shared" si="6"/>
        <v>6.5</v>
      </c>
      <c r="L170" s="47" t="str">
        <f t="shared" si="7"/>
        <v>qui</v>
      </c>
      <c r="M170" s="47" t="str">
        <f>IFERROR(VLOOKUP(A170,RECEITAS!A:B,2,FALSE),"")</f>
        <v>RÚSTICO</v>
      </c>
      <c r="N170" s="47">
        <f t="shared" si="8"/>
        <v>50</v>
      </c>
    </row>
    <row r="171" spans="1:14" x14ac:dyDescent="0.3">
      <c r="A171" t="s">
        <v>23</v>
      </c>
      <c r="B171" t="s">
        <v>156</v>
      </c>
      <c r="C171">
        <v>2</v>
      </c>
      <c r="D171">
        <v>0.35</v>
      </c>
      <c r="E171" t="s">
        <v>178</v>
      </c>
      <c r="F171" s="35">
        <v>43258</v>
      </c>
      <c r="G171">
        <v>5</v>
      </c>
      <c r="H171">
        <v>21.05</v>
      </c>
      <c r="I171">
        <v>42.1</v>
      </c>
      <c r="K171" s="47">
        <f t="shared" si="6"/>
        <v>3.5</v>
      </c>
      <c r="L171" s="47" t="str">
        <f t="shared" si="7"/>
        <v>qui</v>
      </c>
      <c r="M171" s="47" t="str">
        <f>IFERROR(VLOOKUP(A171,RECEITAS!A:B,2,FALSE),"")</f>
        <v>RÚSTICO</v>
      </c>
      <c r="N171" s="47">
        <f t="shared" si="8"/>
        <v>10</v>
      </c>
    </row>
    <row r="172" spans="1:14" x14ac:dyDescent="0.3">
      <c r="A172" t="s">
        <v>24</v>
      </c>
      <c r="B172" t="s">
        <v>156</v>
      </c>
      <c r="C172">
        <v>5</v>
      </c>
      <c r="D172">
        <v>0.25</v>
      </c>
      <c r="E172" t="s">
        <v>178</v>
      </c>
      <c r="F172" s="35">
        <v>43258</v>
      </c>
      <c r="G172">
        <v>5</v>
      </c>
      <c r="H172">
        <v>14.72</v>
      </c>
      <c r="I172">
        <v>73.599999999999994</v>
      </c>
      <c r="K172" s="47">
        <f t="shared" si="6"/>
        <v>6.25</v>
      </c>
      <c r="L172" s="47" t="str">
        <f t="shared" si="7"/>
        <v>qui</v>
      </c>
      <c r="M172" s="47" t="str">
        <f>IFERROR(VLOOKUP(A172,RECEITAS!A:B,2,FALSE),"")</f>
        <v>RÚSTICO</v>
      </c>
      <c r="N172" s="47">
        <f t="shared" si="8"/>
        <v>25</v>
      </c>
    </row>
    <row r="173" spans="1:14" x14ac:dyDescent="0.3">
      <c r="A173" t="s">
        <v>25</v>
      </c>
      <c r="B173" t="s">
        <v>153</v>
      </c>
      <c r="C173">
        <v>1</v>
      </c>
      <c r="D173">
        <v>0.27</v>
      </c>
      <c r="E173" t="s">
        <v>178</v>
      </c>
      <c r="F173" s="35">
        <v>43258</v>
      </c>
      <c r="G173">
        <v>3</v>
      </c>
      <c r="H173">
        <v>14.63</v>
      </c>
      <c r="I173">
        <v>14.63</v>
      </c>
      <c r="K173" s="47">
        <f t="shared" si="6"/>
        <v>0.81</v>
      </c>
      <c r="L173" s="47" t="str">
        <f t="shared" si="7"/>
        <v>qui</v>
      </c>
      <c r="M173" s="47" t="str">
        <f>IFERROR(VLOOKUP(A173,RECEITAS!A:B,2,FALSE),"")</f>
        <v>DIRETO</v>
      </c>
      <c r="N173" s="47">
        <f t="shared" si="8"/>
        <v>3</v>
      </c>
    </row>
    <row r="174" spans="1:14" x14ac:dyDescent="0.3">
      <c r="A174" t="s">
        <v>20</v>
      </c>
      <c r="B174" t="s">
        <v>164</v>
      </c>
      <c r="C174">
        <v>3</v>
      </c>
      <c r="D174">
        <v>0.1</v>
      </c>
      <c r="E174" t="s">
        <v>178</v>
      </c>
      <c r="F174" s="35">
        <v>43258</v>
      </c>
      <c r="G174">
        <v>6</v>
      </c>
      <c r="H174">
        <v>6.97</v>
      </c>
      <c r="I174">
        <v>20.91</v>
      </c>
      <c r="K174" s="47">
        <f t="shared" si="6"/>
        <v>1.8000000000000003</v>
      </c>
      <c r="L174" s="47" t="str">
        <f t="shared" si="7"/>
        <v>qui</v>
      </c>
      <c r="M174" s="47" t="str">
        <f>IFERROR(VLOOKUP(A174,RECEITAS!A:B,2,FALSE),"")</f>
        <v>DIRETO</v>
      </c>
      <c r="N174" s="47">
        <f t="shared" si="8"/>
        <v>18</v>
      </c>
    </row>
    <row r="175" spans="1:14" x14ac:dyDescent="0.3">
      <c r="A175" t="s">
        <v>26</v>
      </c>
      <c r="B175" t="s">
        <v>151</v>
      </c>
      <c r="C175">
        <v>4</v>
      </c>
      <c r="D175">
        <v>0.13</v>
      </c>
      <c r="E175" t="s">
        <v>178</v>
      </c>
      <c r="F175" s="35">
        <v>43258</v>
      </c>
      <c r="G175">
        <v>6</v>
      </c>
      <c r="H175">
        <v>8.56</v>
      </c>
      <c r="I175">
        <v>34.24</v>
      </c>
      <c r="K175" s="47">
        <f t="shared" si="6"/>
        <v>3.12</v>
      </c>
      <c r="L175" s="47" t="str">
        <f t="shared" si="7"/>
        <v>qui</v>
      </c>
      <c r="M175" s="47" t="str">
        <f>IFERROR(VLOOKUP(A175,RECEITAS!A:B,2,FALSE),"")</f>
        <v>RÚSTICO</v>
      </c>
      <c r="N175" s="47">
        <f t="shared" si="8"/>
        <v>24</v>
      </c>
    </row>
    <row r="176" spans="1:14" x14ac:dyDescent="0.3">
      <c r="A176" t="s">
        <v>21</v>
      </c>
      <c r="B176" t="s">
        <v>164</v>
      </c>
      <c r="C176">
        <v>3</v>
      </c>
      <c r="D176">
        <v>0.1</v>
      </c>
      <c r="E176" t="s">
        <v>178</v>
      </c>
      <c r="F176" s="35">
        <v>43258</v>
      </c>
      <c r="G176">
        <v>4</v>
      </c>
      <c r="H176">
        <v>2.99</v>
      </c>
      <c r="I176">
        <v>8.9700000000000006</v>
      </c>
      <c r="K176" s="47">
        <f t="shared" si="6"/>
        <v>1.2000000000000002</v>
      </c>
      <c r="L176" s="47" t="str">
        <f t="shared" si="7"/>
        <v>qui</v>
      </c>
      <c r="M176" s="47" t="str">
        <f>IFERROR(VLOOKUP(A176,RECEITAS!A:B,2,FALSE),"")</f>
        <v>DIRETO</v>
      </c>
      <c r="N176" s="47">
        <f t="shared" si="8"/>
        <v>12</v>
      </c>
    </row>
    <row r="177" spans="1:14" x14ac:dyDescent="0.3">
      <c r="A177" t="s">
        <v>27</v>
      </c>
      <c r="B177" t="s">
        <v>154</v>
      </c>
      <c r="C177">
        <v>3</v>
      </c>
      <c r="D177">
        <v>0.45</v>
      </c>
      <c r="E177" t="s">
        <v>178</v>
      </c>
      <c r="F177" s="35">
        <v>43258</v>
      </c>
      <c r="G177">
        <v>1</v>
      </c>
      <c r="H177">
        <v>4.6900000000000004</v>
      </c>
      <c r="I177">
        <v>14.07</v>
      </c>
      <c r="K177" s="47">
        <f t="shared" si="6"/>
        <v>1.35</v>
      </c>
      <c r="L177" s="47" t="str">
        <f t="shared" si="7"/>
        <v>qui</v>
      </c>
      <c r="M177" s="47" t="str">
        <f>IFERROR(VLOOKUP(A177,RECEITAS!A:B,2,FALSE),"")</f>
        <v>DIRETO</v>
      </c>
      <c r="N177" s="47">
        <f t="shared" si="8"/>
        <v>3</v>
      </c>
    </row>
    <row r="178" spans="1:14" x14ac:dyDescent="0.3">
      <c r="A178" t="s">
        <v>21</v>
      </c>
      <c r="B178" t="s">
        <v>154</v>
      </c>
      <c r="C178">
        <v>3</v>
      </c>
      <c r="D178">
        <v>0.4</v>
      </c>
      <c r="E178" t="s">
        <v>178</v>
      </c>
      <c r="F178" s="35">
        <v>43258</v>
      </c>
      <c r="G178">
        <v>1</v>
      </c>
      <c r="H178">
        <v>3.97</v>
      </c>
      <c r="I178">
        <v>11.91</v>
      </c>
      <c r="K178" s="47">
        <f t="shared" si="6"/>
        <v>1.2000000000000002</v>
      </c>
      <c r="L178" s="47" t="str">
        <f t="shared" si="7"/>
        <v>qui</v>
      </c>
      <c r="M178" s="47" t="str">
        <f>IFERROR(VLOOKUP(A178,RECEITAS!A:B,2,FALSE),"")</f>
        <v>DIRETO</v>
      </c>
      <c r="N178" s="47">
        <f t="shared" si="8"/>
        <v>3</v>
      </c>
    </row>
    <row r="179" spans="1:14" x14ac:dyDescent="0.3">
      <c r="A179" t="s">
        <v>20</v>
      </c>
      <c r="B179" t="s">
        <v>155</v>
      </c>
      <c r="C179">
        <v>5</v>
      </c>
      <c r="D179">
        <v>7.0000000000000007E-2</v>
      </c>
      <c r="E179" t="s">
        <v>178</v>
      </c>
      <c r="F179" s="35">
        <v>43258</v>
      </c>
      <c r="G179">
        <v>4</v>
      </c>
      <c r="H179">
        <v>3.45</v>
      </c>
      <c r="I179">
        <v>17.25</v>
      </c>
      <c r="K179" s="47">
        <f t="shared" si="6"/>
        <v>1.4000000000000001</v>
      </c>
      <c r="L179" s="47" t="str">
        <f t="shared" si="7"/>
        <v>qui</v>
      </c>
      <c r="M179" s="47" t="str">
        <f>IFERROR(VLOOKUP(A179,RECEITAS!A:B,2,FALSE),"")</f>
        <v>DIRETO</v>
      </c>
      <c r="N179" s="47">
        <f t="shared" si="8"/>
        <v>20</v>
      </c>
    </row>
    <row r="180" spans="1:14" x14ac:dyDescent="0.3">
      <c r="A180" t="s">
        <v>21</v>
      </c>
      <c r="B180" t="s">
        <v>155</v>
      </c>
      <c r="C180">
        <v>4</v>
      </c>
      <c r="D180">
        <v>7.0000000000000007E-2</v>
      </c>
      <c r="E180" t="s">
        <v>178</v>
      </c>
      <c r="F180" s="35">
        <v>43258</v>
      </c>
      <c r="G180">
        <v>4</v>
      </c>
      <c r="H180">
        <v>2.9</v>
      </c>
      <c r="I180">
        <v>11.6</v>
      </c>
      <c r="K180" s="47">
        <f t="shared" si="6"/>
        <v>1.1200000000000001</v>
      </c>
      <c r="L180" s="47" t="str">
        <f t="shared" si="7"/>
        <v>qui</v>
      </c>
      <c r="M180" s="47" t="str">
        <f>IFERROR(VLOOKUP(A180,RECEITAS!A:B,2,FALSE),"")</f>
        <v>DIRETO</v>
      </c>
      <c r="N180" s="47">
        <f t="shared" si="8"/>
        <v>16</v>
      </c>
    </row>
    <row r="181" spans="1:14" x14ac:dyDescent="0.3">
      <c r="A181" t="s">
        <v>63</v>
      </c>
      <c r="B181" t="s">
        <v>154</v>
      </c>
      <c r="C181">
        <v>1</v>
      </c>
      <c r="D181">
        <v>0.8</v>
      </c>
      <c r="E181" t="s">
        <v>149</v>
      </c>
      <c r="F181" s="35">
        <v>43258</v>
      </c>
      <c r="G181">
        <v>1</v>
      </c>
      <c r="H181">
        <v>20.7</v>
      </c>
      <c r="I181">
        <v>20.7</v>
      </c>
      <c r="K181" s="47">
        <f t="shared" si="6"/>
        <v>0.8</v>
      </c>
      <c r="L181" s="47" t="str">
        <f t="shared" si="7"/>
        <v>qui</v>
      </c>
      <c r="M181" s="47" t="str">
        <f>IFERROR(VLOOKUP(A181,RECEITAS!A:B,2,FALSE),"")</f>
        <v>RÚSTICO</v>
      </c>
      <c r="N181" s="47">
        <f t="shared" si="8"/>
        <v>1</v>
      </c>
    </row>
    <row r="182" spans="1:14" x14ac:dyDescent="0.3">
      <c r="A182" t="s">
        <v>20</v>
      </c>
      <c r="B182" t="s">
        <v>145</v>
      </c>
      <c r="C182">
        <v>2</v>
      </c>
      <c r="D182">
        <v>0.1</v>
      </c>
      <c r="E182" t="s">
        <v>149</v>
      </c>
      <c r="F182" s="35">
        <v>43258</v>
      </c>
      <c r="G182">
        <v>6</v>
      </c>
      <c r="H182">
        <v>11.18</v>
      </c>
      <c r="I182">
        <v>22.36</v>
      </c>
      <c r="K182" s="47">
        <f t="shared" si="6"/>
        <v>1.2000000000000002</v>
      </c>
      <c r="L182" s="47" t="str">
        <f t="shared" si="7"/>
        <v>qui</v>
      </c>
      <c r="M182" s="47" t="str">
        <f>IFERROR(VLOOKUP(A182,RECEITAS!A:B,2,FALSE),"")</f>
        <v>DIRETO</v>
      </c>
      <c r="N182" s="47">
        <f t="shared" si="8"/>
        <v>12</v>
      </c>
    </row>
    <row r="183" spans="1:14" x14ac:dyDescent="0.3">
      <c r="A183" t="s">
        <v>25</v>
      </c>
      <c r="B183" t="s">
        <v>145</v>
      </c>
      <c r="C183">
        <v>2</v>
      </c>
      <c r="D183">
        <v>0.1</v>
      </c>
      <c r="E183" t="s">
        <v>149</v>
      </c>
      <c r="F183" s="35">
        <v>43258</v>
      </c>
      <c r="G183">
        <v>6</v>
      </c>
      <c r="H183">
        <v>12.42</v>
      </c>
      <c r="I183">
        <v>24.84</v>
      </c>
      <c r="K183" s="47">
        <f t="shared" si="6"/>
        <v>1.2000000000000002</v>
      </c>
      <c r="L183" s="47" t="str">
        <f t="shared" si="7"/>
        <v>qui</v>
      </c>
      <c r="M183" s="47" t="str">
        <f>IFERROR(VLOOKUP(A183,RECEITAS!A:B,2,FALSE),"")</f>
        <v>DIRETO</v>
      </c>
      <c r="N183" s="47">
        <f t="shared" si="8"/>
        <v>12</v>
      </c>
    </row>
    <row r="184" spans="1:14" x14ac:dyDescent="0.3">
      <c r="A184" t="s">
        <v>21</v>
      </c>
      <c r="B184" t="s">
        <v>145</v>
      </c>
      <c r="C184">
        <v>2</v>
      </c>
      <c r="D184">
        <v>0.1</v>
      </c>
      <c r="E184" t="s">
        <v>149</v>
      </c>
      <c r="F184" s="35">
        <v>43258</v>
      </c>
      <c r="G184">
        <v>6</v>
      </c>
      <c r="H184">
        <v>10.07</v>
      </c>
      <c r="I184">
        <v>20.14</v>
      </c>
      <c r="K184" s="47">
        <f t="shared" si="6"/>
        <v>1.2000000000000002</v>
      </c>
      <c r="L184" s="47" t="str">
        <f t="shared" si="7"/>
        <v>qui</v>
      </c>
      <c r="M184" s="47" t="str">
        <f>IFERROR(VLOOKUP(A184,RECEITAS!A:B,2,FALSE),"")</f>
        <v>DIRETO</v>
      </c>
      <c r="N184" s="47">
        <f t="shared" si="8"/>
        <v>12</v>
      </c>
    </row>
    <row r="185" spans="1:14" x14ac:dyDescent="0.3">
      <c r="A185" t="s">
        <v>23</v>
      </c>
      <c r="B185" t="s">
        <v>148</v>
      </c>
      <c r="C185">
        <v>1</v>
      </c>
      <c r="D185">
        <v>0.15</v>
      </c>
      <c r="E185" t="s">
        <v>213</v>
      </c>
      <c r="F185" s="35">
        <v>43258</v>
      </c>
      <c r="G185">
        <v>3</v>
      </c>
      <c r="H185">
        <v>7.59</v>
      </c>
      <c r="I185">
        <v>7.59</v>
      </c>
      <c r="K185" s="47">
        <f t="shared" si="6"/>
        <v>0.44999999999999996</v>
      </c>
      <c r="L185" s="47" t="str">
        <f t="shared" si="7"/>
        <v>qui</v>
      </c>
      <c r="M185" s="47" t="str">
        <f>IFERROR(VLOOKUP(A185,RECEITAS!A:B,2,FALSE),"")</f>
        <v>RÚSTICO</v>
      </c>
      <c r="N185" s="47">
        <f t="shared" si="8"/>
        <v>3</v>
      </c>
    </row>
    <row r="186" spans="1:14" x14ac:dyDescent="0.3">
      <c r="A186" t="s">
        <v>20</v>
      </c>
      <c r="B186" t="s">
        <v>164</v>
      </c>
      <c r="C186">
        <v>1</v>
      </c>
      <c r="D186">
        <v>0.1</v>
      </c>
      <c r="E186" t="s">
        <v>213</v>
      </c>
      <c r="F186" s="35">
        <v>43258</v>
      </c>
      <c r="G186">
        <v>4</v>
      </c>
      <c r="H186">
        <v>9.1999999999999993</v>
      </c>
      <c r="I186">
        <v>9.1999999999999993</v>
      </c>
      <c r="K186" s="47">
        <f t="shared" si="6"/>
        <v>0.4</v>
      </c>
      <c r="L186" s="47" t="str">
        <f t="shared" si="7"/>
        <v>qui</v>
      </c>
      <c r="M186" s="47" t="str">
        <f>IFERROR(VLOOKUP(A186,RECEITAS!A:B,2,FALSE),"")</f>
        <v>DIRETO</v>
      </c>
      <c r="N186" s="47">
        <f t="shared" si="8"/>
        <v>4</v>
      </c>
    </row>
    <row r="187" spans="1:14" x14ac:dyDescent="0.3">
      <c r="A187" t="s">
        <v>25</v>
      </c>
      <c r="B187" t="s">
        <v>214</v>
      </c>
      <c r="C187">
        <v>4</v>
      </c>
      <c r="D187">
        <v>0.12</v>
      </c>
      <c r="E187" t="s">
        <v>213</v>
      </c>
      <c r="F187" s="35">
        <v>43258</v>
      </c>
      <c r="G187">
        <v>4</v>
      </c>
      <c r="H187">
        <v>10.119999999999999</v>
      </c>
      <c r="I187">
        <v>40.479999999999997</v>
      </c>
      <c r="K187" s="47">
        <f t="shared" si="6"/>
        <v>1.92</v>
      </c>
      <c r="L187" s="47" t="str">
        <f t="shared" si="7"/>
        <v>qui</v>
      </c>
      <c r="M187" s="47" t="str">
        <f>IFERROR(VLOOKUP(A187,RECEITAS!A:B,2,FALSE),"")</f>
        <v>DIRETO</v>
      </c>
      <c r="N187" s="47">
        <f t="shared" si="8"/>
        <v>16</v>
      </c>
    </row>
    <row r="188" spans="1:14" x14ac:dyDescent="0.3">
      <c r="A188" t="s">
        <v>23</v>
      </c>
      <c r="B188" t="s">
        <v>156</v>
      </c>
      <c r="C188">
        <v>1</v>
      </c>
      <c r="D188">
        <v>0.35</v>
      </c>
      <c r="E188" t="s">
        <v>213</v>
      </c>
      <c r="F188" s="35">
        <v>43258</v>
      </c>
      <c r="G188">
        <v>1</v>
      </c>
      <c r="H188">
        <v>12.94</v>
      </c>
      <c r="I188">
        <v>12.94</v>
      </c>
      <c r="K188" s="47">
        <f t="shared" si="6"/>
        <v>0.35</v>
      </c>
      <c r="L188" s="47" t="str">
        <f t="shared" si="7"/>
        <v>qui</v>
      </c>
      <c r="M188" s="47" t="str">
        <f>IFERROR(VLOOKUP(A188,RECEITAS!A:B,2,FALSE),"")</f>
        <v>RÚSTICO</v>
      </c>
      <c r="N188" s="47">
        <f t="shared" si="8"/>
        <v>1</v>
      </c>
    </row>
    <row r="189" spans="1:14" x14ac:dyDescent="0.3">
      <c r="A189" t="s">
        <v>21</v>
      </c>
      <c r="B189" t="s">
        <v>164</v>
      </c>
      <c r="C189">
        <v>10</v>
      </c>
      <c r="D189">
        <v>0.1</v>
      </c>
      <c r="E189" t="s">
        <v>213</v>
      </c>
      <c r="F189" s="35">
        <v>43258</v>
      </c>
      <c r="G189">
        <v>4</v>
      </c>
      <c r="H189">
        <v>2.99</v>
      </c>
      <c r="I189">
        <v>29.9</v>
      </c>
      <c r="K189" s="47">
        <f t="shared" si="6"/>
        <v>4</v>
      </c>
      <c r="L189" s="47" t="str">
        <f t="shared" si="7"/>
        <v>qui</v>
      </c>
      <c r="M189" s="47" t="str">
        <f>IFERROR(VLOOKUP(A189,RECEITAS!A:B,2,FALSE),"")</f>
        <v>DIRETO</v>
      </c>
      <c r="N189" s="47">
        <f t="shared" si="8"/>
        <v>40</v>
      </c>
    </row>
    <row r="190" spans="1:14" x14ac:dyDescent="0.3">
      <c r="A190" t="s">
        <v>21</v>
      </c>
      <c r="B190" t="s">
        <v>154</v>
      </c>
      <c r="C190">
        <v>1</v>
      </c>
      <c r="D190">
        <v>0.4</v>
      </c>
      <c r="E190" t="s">
        <v>213</v>
      </c>
      <c r="F190" s="35">
        <v>43258</v>
      </c>
      <c r="G190">
        <v>1</v>
      </c>
      <c r="H190">
        <v>3.97</v>
      </c>
      <c r="I190">
        <v>3.97</v>
      </c>
      <c r="K190" s="47">
        <f t="shared" si="6"/>
        <v>0.4</v>
      </c>
      <c r="L190" s="47" t="str">
        <f t="shared" si="7"/>
        <v>qui</v>
      </c>
      <c r="M190" s="47" t="str">
        <f>IFERROR(VLOOKUP(A190,RECEITAS!A:B,2,FALSE),"")</f>
        <v>DIRETO</v>
      </c>
      <c r="N190" s="47">
        <f t="shared" si="8"/>
        <v>1</v>
      </c>
    </row>
    <row r="191" spans="1:14" x14ac:dyDescent="0.3">
      <c r="A191" t="s">
        <v>20</v>
      </c>
      <c r="B191" t="s">
        <v>155</v>
      </c>
      <c r="C191">
        <v>11</v>
      </c>
      <c r="D191">
        <v>7.0000000000000007E-2</v>
      </c>
      <c r="E191" t="s">
        <v>213</v>
      </c>
      <c r="F191" s="35">
        <v>43258</v>
      </c>
      <c r="G191">
        <v>4</v>
      </c>
      <c r="H191">
        <v>3.45</v>
      </c>
      <c r="I191">
        <v>37.950000000000003</v>
      </c>
      <c r="K191" s="47">
        <f t="shared" si="6"/>
        <v>3.08</v>
      </c>
      <c r="L191" s="47" t="str">
        <f t="shared" si="7"/>
        <v>qui</v>
      </c>
      <c r="M191" s="47" t="str">
        <f>IFERROR(VLOOKUP(A191,RECEITAS!A:B,2,FALSE),"")</f>
        <v>DIRETO</v>
      </c>
      <c r="N191" s="47">
        <f t="shared" si="8"/>
        <v>44</v>
      </c>
    </row>
    <row r="192" spans="1:14" x14ac:dyDescent="0.3">
      <c r="A192" t="s">
        <v>21</v>
      </c>
      <c r="B192" t="s">
        <v>155</v>
      </c>
      <c r="C192">
        <v>1</v>
      </c>
      <c r="D192">
        <v>7.0000000000000007E-2</v>
      </c>
      <c r="E192" t="s">
        <v>213</v>
      </c>
      <c r="F192" s="35">
        <v>43258</v>
      </c>
      <c r="G192">
        <v>4</v>
      </c>
      <c r="H192">
        <v>2.9</v>
      </c>
      <c r="I192">
        <v>2.9</v>
      </c>
      <c r="K192" s="47">
        <f t="shared" si="6"/>
        <v>0.28000000000000003</v>
      </c>
      <c r="L192" s="47" t="str">
        <f t="shared" si="7"/>
        <v>qui</v>
      </c>
      <c r="M192" s="47" t="str">
        <f>IFERROR(VLOOKUP(A192,RECEITAS!A:B,2,FALSE),"")</f>
        <v>DIRETO</v>
      </c>
      <c r="N192" s="47">
        <f t="shared" si="8"/>
        <v>4</v>
      </c>
    </row>
    <row r="193" spans="1:14" x14ac:dyDescent="0.3">
      <c r="A193" t="s">
        <v>21</v>
      </c>
      <c r="B193" t="s">
        <v>145</v>
      </c>
      <c r="C193">
        <v>5</v>
      </c>
      <c r="D193">
        <v>0.1</v>
      </c>
      <c r="E193" t="s">
        <v>215</v>
      </c>
      <c r="F193" s="35">
        <v>43258</v>
      </c>
      <c r="G193">
        <v>6</v>
      </c>
      <c r="H193">
        <v>10.07</v>
      </c>
      <c r="I193">
        <v>50.35</v>
      </c>
      <c r="K193" s="47">
        <f t="shared" si="6"/>
        <v>3.0000000000000004</v>
      </c>
      <c r="L193" s="47" t="str">
        <f t="shared" si="7"/>
        <v>qui</v>
      </c>
      <c r="M193" s="47" t="str">
        <f>IFERROR(VLOOKUP(A193,RECEITAS!A:B,2,FALSE),"")</f>
        <v>DIRETO</v>
      </c>
      <c r="N193" s="47">
        <f t="shared" si="8"/>
        <v>30</v>
      </c>
    </row>
    <row r="194" spans="1:14" x14ac:dyDescent="0.3">
      <c r="A194" t="s">
        <v>21</v>
      </c>
      <c r="B194" t="s">
        <v>216</v>
      </c>
      <c r="C194">
        <v>5</v>
      </c>
      <c r="D194">
        <v>0.06</v>
      </c>
      <c r="E194" t="s">
        <v>217</v>
      </c>
      <c r="F194" s="35">
        <v>43259</v>
      </c>
      <c r="G194">
        <v>8</v>
      </c>
      <c r="H194">
        <v>6.44</v>
      </c>
      <c r="I194">
        <v>32.200000000000003</v>
      </c>
      <c r="K194" s="47">
        <f t="shared" ref="K194:K257" si="9">G194*D194*C194</f>
        <v>2.4</v>
      </c>
      <c r="L194" s="47" t="str">
        <f t="shared" ref="L194:L257" si="10">IF(F194=0,"",TEXT(F194,"DDD"))</f>
        <v>sex</v>
      </c>
      <c r="M194" s="47" t="str">
        <f>IFERROR(VLOOKUP(A194,RECEITAS!A:B,2,FALSE),"")</f>
        <v>DIRETO</v>
      </c>
      <c r="N194" s="47">
        <f t="shared" si="8"/>
        <v>40</v>
      </c>
    </row>
    <row r="195" spans="1:14" x14ac:dyDescent="0.3">
      <c r="A195" t="s">
        <v>28</v>
      </c>
      <c r="B195" t="s">
        <v>151</v>
      </c>
      <c r="C195">
        <v>5</v>
      </c>
      <c r="D195">
        <v>0.11</v>
      </c>
      <c r="E195" t="s">
        <v>175</v>
      </c>
      <c r="F195" s="35">
        <v>43259</v>
      </c>
      <c r="G195">
        <v>5</v>
      </c>
      <c r="H195">
        <v>5.75</v>
      </c>
      <c r="I195">
        <v>28.75</v>
      </c>
      <c r="K195" s="47">
        <f t="shared" si="9"/>
        <v>2.75</v>
      </c>
      <c r="L195" s="47" t="str">
        <f t="shared" si="10"/>
        <v>sex</v>
      </c>
      <c r="M195" s="47" t="str">
        <f>IFERROR(VLOOKUP(A195,RECEITAS!A:B,2,FALSE),"")</f>
        <v>DIRETO</v>
      </c>
      <c r="N195" s="47">
        <f t="shared" ref="N195:N258" si="11">G195*C195</f>
        <v>25</v>
      </c>
    </row>
    <row r="196" spans="1:14" x14ac:dyDescent="0.3">
      <c r="A196" t="s">
        <v>113</v>
      </c>
      <c r="B196" t="s">
        <v>148</v>
      </c>
      <c r="C196">
        <v>5</v>
      </c>
      <c r="D196">
        <v>0.13</v>
      </c>
      <c r="E196" t="s">
        <v>175</v>
      </c>
      <c r="F196" s="35">
        <v>43259</v>
      </c>
      <c r="G196">
        <v>4</v>
      </c>
      <c r="H196">
        <v>9.3800000000000008</v>
      </c>
      <c r="I196">
        <v>46.9</v>
      </c>
      <c r="K196" s="47">
        <f t="shared" si="9"/>
        <v>2.6</v>
      </c>
      <c r="L196" s="47" t="str">
        <f t="shared" si="10"/>
        <v>sex</v>
      </c>
      <c r="M196" s="47" t="str">
        <f>IFERROR(VLOOKUP(A196,RECEITAS!A:B,2,FALSE),"")</f>
        <v>RÚSTICO</v>
      </c>
      <c r="N196" s="47">
        <f t="shared" si="11"/>
        <v>20</v>
      </c>
    </row>
    <row r="197" spans="1:14" x14ac:dyDescent="0.3">
      <c r="A197" t="s">
        <v>28</v>
      </c>
      <c r="B197" t="s">
        <v>159</v>
      </c>
      <c r="C197">
        <v>5</v>
      </c>
      <c r="D197">
        <v>0.11</v>
      </c>
      <c r="E197" t="s">
        <v>175</v>
      </c>
      <c r="F197" s="35">
        <v>43259</v>
      </c>
      <c r="G197">
        <v>5</v>
      </c>
      <c r="H197">
        <v>6.9</v>
      </c>
      <c r="I197">
        <v>34.5</v>
      </c>
      <c r="K197" s="47">
        <f t="shared" si="9"/>
        <v>2.75</v>
      </c>
      <c r="L197" s="47" t="str">
        <f t="shared" si="10"/>
        <v>sex</v>
      </c>
      <c r="M197" s="47" t="str">
        <f>IFERROR(VLOOKUP(A197,RECEITAS!A:B,2,FALSE),"")</f>
        <v>DIRETO</v>
      </c>
      <c r="N197" s="47">
        <f t="shared" si="11"/>
        <v>25</v>
      </c>
    </row>
    <row r="198" spans="1:14" x14ac:dyDescent="0.3">
      <c r="A198" t="s">
        <v>21</v>
      </c>
      <c r="B198" t="s">
        <v>145</v>
      </c>
      <c r="C198">
        <v>5</v>
      </c>
      <c r="D198">
        <v>0.1</v>
      </c>
      <c r="E198" t="s">
        <v>175</v>
      </c>
      <c r="F198" s="35">
        <v>43259</v>
      </c>
      <c r="G198">
        <v>6</v>
      </c>
      <c r="H198">
        <v>10.07</v>
      </c>
      <c r="I198">
        <v>50.35</v>
      </c>
      <c r="K198" s="47">
        <f t="shared" si="9"/>
        <v>3.0000000000000004</v>
      </c>
      <c r="L198" s="47" t="str">
        <f t="shared" si="10"/>
        <v>sex</v>
      </c>
      <c r="M198" s="47" t="str">
        <f>IFERROR(VLOOKUP(A198,RECEITAS!A:B,2,FALSE),"")</f>
        <v>DIRETO</v>
      </c>
      <c r="N198" s="47">
        <f t="shared" si="11"/>
        <v>30</v>
      </c>
    </row>
    <row r="199" spans="1:14" x14ac:dyDescent="0.3">
      <c r="A199" t="s">
        <v>46</v>
      </c>
      <c r="B199" t="s">
        <v>156</v>
      </c>
      <c r="C199">
        <v>3</v>
      </c>
      <c r="D199">
        <v>0.4</v>
      </c>
      <c r="E199" t="s">
        <v>218</v>
      </c>
      <c r="F199" s="35">
        <v>43259</v>
      </c>
      <c r="G199">
        <v>5</v>
      </c>
      <c r="H199">
        <v>27.6</v>
      </c>
      <c r="I199">
        <v>82.8</v>
      </c>
      <c r="K199" s="47">
        <f t="shared" si="9"/>
        <v>6</v>
      </c>
      <c r="L199" s="47" t="str">
        <f t="shared" si="10"/>
        <v>sex</v>
      </c>
      <c r="M199" s="47" t="str">
        <f>IFERROR(VLOOKUP(A199,RECEITAS!A:B,2,FALSE),"")</f>
        <v>RÚSTICO</v>
      </c>
      <c r="N199" s="47">
        <f t="shared" si="11"/>
        <v>15</v>
      </c>
    </row>
    <row r="200" spans="1:14" x14ac:dyDescent="0.3">
      <c r="A200" t="s">
        <v>118</v>
      </c>
      <c r="B200" t="s">
        <v>219</v>
      </c>
      <c r="C200">
        <v>4</v>
      </c>
      <c r="D200">
        <v>7.0000000000000007E-2</v>
      </c>
      <c r="E200" t="s">
        <v>218</v>
      </c>
      <c r="F200" s="35">
        <v>43259</v>
      </c>
      <c r="G200">
        <v>8</v>
      </c>
      <c r="H200">
        <v>13</v>
      </c>
      <c r="I200">
        <v>52</v>
      </c>
      <c r="K200" s="47">
        <f t="shared" si="9"/>
        <v>2.2400000000000002</v>
      </c>
      <c r="L200" s="47" t="str">
        <f t="shared" si="10"/>
        <v>sex</v>
      </c>
      <c r="M200" s="47" t="str">
        <f>IFERROR(VLOOKUP(A200,RECEITAS!A:B,2,FALSE),"")</f>
        <v>DIRETO</v>
      </c>
      <c r="N200" s="47">
        <f t="shared" si="11"/>
        <v>32</v>
      </c>
    </row>
    <row r="201" spans="1:14" x14ac:dyDescent="0.3">
      <c r="A201" t="s">
        <v>35</v>
      </c>
      <c r="B201" t="s">
        <v>159</v>
      </c>
      <c r="C201">
        <v>3</v>
      </c>
      <c r="D201">
        <v>0.04</v>
      </c>
      <c r="E201" t="s">
        <v>218</v>
      </c>
      <c r="F201" s="35">
        <v>43259</v>
      </c>
      <c r="G201">
        <v>15</v>
      </c>
      <c r="H201">
        <v>9.49</v>
      </c>
      <c r="I201">
        <v>28.47</v>
      </c>
      <c r="K201" s="47">
        <f t="shared" si="9"/>
        <v>1.7999999999999998</v>
      </c>
      <c r="L201" s="47" t="str">
        <f t="shared" si="10"/>
        <v>sex</v>
      </c>
      <c r="M201" s="47" t="str">
        <f>IFERROR(VLOOKUP(A201,RECEITAS!A:B,2,FALSE),"")</f>
        <v>DIRETO</v>
      </c>
      <c r="N201" s="47">
        <f t="shared" si="11"/>
        <v>45</v>
      </c>
    </row>
    <row r="202" spans="1:14" x14ac:dyDescent="0.3">
      <c r="A202" t="s">
        <v>20</v>
      </c>
      <c r="B202" t="s">
        <v>159</v>
      </c>
      <c r="C202">
        <v>6</v>
      </c>
      <c r="D202">
        <v>0.04</v>
      </c>
      <c r="E202" t="s">
        <v>220</v>
      </c>
      <c r="F202" s="35">
        <v>43259</v>
      </c>
      <c r="G202">
        <v>15</v>
      </c>
      <c r="H202">
        <v>11.73</v>
      </c>
      <c r="I202">
        <v>70.38</v>
      </c>
      <c r="K202" s="47">
        <f t="shared" si="9"/>
        <v>3.5999999999999996</v>
      </c>
      <c r="L202" s="47" t="str">
        <f t="shared" si="10"/>
        <v>sex</v>
      </c>
      <c r="M202" s="47" t="str">
        <f>IFERROR(VLOOKUP(A202,RECEITAS!A:B,2,FALSE),"")</f>
        <v>DIRETO</v>
      </c>
      <c r="N202" s="47">
        <f t="shared" si="11"/>
        <v>90</v>
      </c>
    </row>
    <row r="203" spans="1:14" x14ac:dyDescent="0.3">
      <c r="A203" t="s">
        <v>20</v>
      </c>
      <c r="B203" t="s">
        <v>159</v>
      </c>
      <c r="C203">
        <v>4</v>
      </c>
      <c r="D203">
        <v>0.11</v>
      </c>
      <c r="E203" t="s">
        <v>220</v>
      </c>
      <c r="F203" s="35">
        <v>43259</v>
      </c>
      <c r="G203">
        <v>6</v>
      </c>
      <c r="H203">
        <v>12.77</v>
      </c>
      <c r="I203">
        <v>51.08</v>
      </c>
      <c r="K203" s="47">
        <f t="shared" si="9"/>
        <v>2.64</v>
      </c>
      <c r="L203" s="47" t="str">
        <f t="shared" si="10"/>
        <v>sex</v>
      </c>
      <c r="M203" s="47" t="str">
        <f>IFERROR(VLOOKUP(A203,RECEITAS!A:B,2,FALSE),"")</f>
        <v>DIRETO</v>
      </c>
      <c r="N203" s="47">
        <f t="shared" si="11"/>
        <v>24</v>
      </c>
    </row>
    <row r="204" spans="1:14" x14ac:dyDescent="0.3">
      <c r="A204" t="s">
        <v>21</v>
      </c>
      <c r="B204" t="s">
        <v>159</v>
      </c>
      <c r="C204">
        <v>5</v>
      </c>
      <c r="D204">
        <v>0.11</v>
      </c>
      <c r="E204" t="s">
        <v>220</v>
      </c>
      <c r="F204" s="35">
        <v>43259</v>
      </c>
      <c r="G204">
        <v>6</v>
      </c>
      <c r="H204">
        <v>12.08</v>
      </c>
      <c r="I204">
        <v>60.4</v>
      </c>
      <c r="K204" s="47">
        <f t="shared" si="9"/>
        <v>3.3000000000000003</v>
      </c>
      <c r="L204" s="47" t="str">
        <f t="shared" si="10"/>
        <v>sex</v>
      </c>
      <c r="M204" s="47" t="str">
        <f>IFERROR(VLOOKUP(A204,RECEITAS!A:B,2,FALSE),"")</f>
        <v>DIRETO</v>
      </c>
      <c r="N204" s="47">
        <f t="shared" si="11"/>
        <v>30</v>
      </c>
    </row>
    <row r="205" spans="1:14" x14ac:dyDescent="0.3">
      <c r="A205" t="s">
        <v>35</v>
      </c>
      <c r="B205" t="s">
        <v>159</v>
      </c>
      <c r="C205">
        <v>7</v>
      </c>
      <c r="D205">
        <v>0.04</v>
      </c>
      <c r="E205" t="s">
        <v>220</v>
      </c>
      <c r="F205" s="35">
        <v>43259</v>
      </c>
      <c r="G205">
        <v>15</v>
      </c>
      <c r="H205">
        <v>9.49</v>
      </c>
      <c r="I205">
        <v>66.430000000000007</v>
      </c>
      <c r="K205" s="47">
        <f t="shared" si="9"/>
        <v>4.2</v>
      </c>
      <c r="L205" s="47" t="str">
        <f t="shared" si="10"/>
        <v>sex</v>
      </c>
      <c r="M205" s="47" t="str">
        <f>IFERROR(VLOOKUP(A205,RECEITAS!A:B,2,FALSE),"")</f>
        <v>DIRETO</v>
      </c>
      <c r="N205" s="47">
        <f t="shared" si="11"/>
        <v>105</v>
      </c>
    </row>
    <row r="206" spans="1:14" x14ac:dyDescent="0.3">
      <c r="A206" t="s">
        <v>28</v>
      </c>
      <c r="B206" t="s">
        <v>151</v>
      </c>
      <c r="C206">
        <v>60</v>
      </c>
      <c r="D206">
        <v>0.08</v>
      </c>
      <c r="E206" t="s">
        <v>149</v>
      </c>
      <c r="F206" s="35">
        <v>43259</v>
      </c>
      <c r="G206">
        <v>1</v>
      </c>
      <c r="H206">
        <v>0.92</v>
      </c>
      <c r="I206">
        <v>55.2</v>
      </c>
      <c r="K206" s="47">
        <f t="shared" si="9"/>
        <v>4.8</v>
      </c>
      <c r="L206" s="47" t="str">
        <f t="shared" si="10"/>
        <v>sex</v>
      </c>
      <c r="M206" s="47" t="str">
        <f>IFERROR(VLOOKUP(A206,RECEITAS!A:B,2,FALSE),"")</f>
        <v>DIRETO</v>
      </c>
      <c r="N206" s="47">
        <f t="shared" si="11"/>
        <v>60</v>
      </c>
    </row>
    <row r="207" spans="1:14" x14ac:dyDescent="0.3">
      <c r="A207" t="s">
        <v>46</v>
      </c>
      <c r="B207" t="s">
        <v>221</v>
      </c>
      <c r="C207">
        <v>5</v>
      </c>
      <c r="D207">
        <v>0.4</v>
      </c>
      <c r="E207" t="s">
        <v>149</v>
      </c>
      <c r="F207" s="35">
        <v>43259</v>
      </c>
      <c r="G207">
        <v>1</v>
      </c>
      <c r="H207">
        <v>6.9</v>
      </c>
      <c r="I207">
        <v>34.5</v>
      </c>
      <c r="K207" s="47">
        <f t="shared" si="9"/>
        <v>2</v>
      </c>
      <c r="L207" s="47" t="str">
        <f t="shared" si="10"/>
        <v>sex</v>
      </c>
      <c r="M207" s="47" t="str">
        <f>IFERROR(VLOOKUP(A207,RECEITAS!A:B,2,FALSE),"")</f>
        <v>RÚSTICO</v>
      </c>
      <c r="N207" s="47">
        <f t="shared" si="11"/>
        <v>5</v>
      </c>
    </row>
    <row r="208" spans="1:14" x14ac:dyDescent="0.3">
      <c r="A208" t="s">
        <v>21</v>
      </c>
      <c r="B208" t="s">
        <v>145</v>
      </c>
      <c r="C208">
        <v>21</v>
      </c>
      <c r="D208">
        <v>0.1</v>
      </c>
      <c r="E208" t="s">
        <v>222</v>
      </c>
      <c r="F208" s="35">
        <v>43259</v>
      </c>
      <c r="G208">
        <v>6</v>
      </c>
      <c r="H208">
        <v>10.07</v>
      </c>
      <c r="I208">
        <v>211.47</v>
      </c>
      <c r="K208" s="47">
        <f t="shared" si="9"/>
        <v>12.600000000000001</v>
      </c>
      <c r="L208" s="47" t="str">
        <f t="shared" si="10"/>
        <v>sex</v>
      </c>
      <c r="M208" s="47" t="str">
        <f>IFERROR(VLOOKUP(A208,RECEITAS!A:B,2,FALSE),"")</f>
        <v>DIRETO</v>
      </c>
      <c r="N208" s="47">
        <f t="shared" si="11"/>
        <v>126</v>
      </c>
    </row>
    <row r="209" spans="1:16" x14ac:dyDescent="0.3">
      <c r="A209" t="s">
        <v>20</v>
      </c>
      <c r="B209" t="s">
        <v>145</v>
      </c>
      <c r="C209">
        <v>3</v>
      </c>
      <c r="D209">
        <v>0.1</v>
      </c>
      <c r="E209" t="s">
        <v>203</v>
      </c>
      <c r="F209" s="35">
        <v>43259</v>
      </c>
      <c r="G209">
        <v>6</v>
      </c>
      <c r="H209">
        <v>11.18</v>
      </c>
      <c r="I209">
        <v>33.54</v>
      </c>
      <c r="K209" s="47">
        <f t="shared" si="9"/>
        <v>1.8000000000000003</v>
      </c>
      <c r="L209" s="47" t="str">
        <f t="shared" si="10"/>
        <v>sex</v>
      </c>
      <c r="M209" s="47" t="str">
        <f>IFERROR(VLOOKUP(A209,RECEITAS!A:B,2,FALSE),"")</f>
        <v>DIRETO</v>
      </c>
      <c r="N209" s="47">
        <f t="shared" si="11"/>
        <v>18</v>
      </c>
    </row>
    <row r="210" spans="1:16" x14ac:dyDescent="0.3">
      <c r="A210" t="s">
        <v>33</v>
      </c>
      <c r="B210" t="s">
        <v>145</v>
      </c>
      <c r="C210">
        <v>20</v>
      </c>
      <c r="D210">
        <v>0.1</v>
      </c>
      <c r="E210" t="s">
        <v>203</v>
      </c>
      <c r="F210" s="35">
        <v>43259</v>
      </c>
      <c r="G210">
        <v>6</v>
      </c>
      <c r="H210">
        <v>10.35</v>
      </c>
      <c r="I210">
        <v>207</v>
      </c>
      <c r="K210" s="47">
        <f t="shared" si="9"/>
        <v>12.000000000000002</v>
      </c>
      <c r="L210" s="47" t="str">
        <f t="shared" si="10"/>
        <v>sex</v>
      </c>
      <c r="M210" s="47" t="str">
        <f>IFERROR(VLOOKUP(A210,RECEITAS!A:B,2,FALSE),"")</f>
        <v>DIRETO</v>
      </c>
      <c r="N210" s="47">
        <f t="shared" si="11"/>
        <v>120</v>
      </c>
    </row>
    <row r="211" spans="1:16" x14ac:dyDescent="0.3">
      <c r="A211" t="s">
        <v>22</v>
      </c>
      <c r="B211" t="s">
        <v>145</v>
      </c>
      <c r="C211">
        <v>1</v>
      </c>
      <c r="D211">
        <v>0.1</v>
      </c>
      <c r="E211" t="s">
        <v>203</v>
      </c>
      <c r="F211" s="35">
        <v>43259</v>
      </c>
      <c r="G211">
        <v>6</v>
      </c>
      <c r="H211">
        <v>12.42</v>
      </c>
      <c r="I211">
        <v>12.42</v>
      </c>
      <c r="K211" s="47">
        <f t="shared" si="9"/>
        <v>0.60000000000000009</v>
      </c>
      <c r="L211" s="47" t="str">
        <f t="shared" si="10"/>
        <v>sex</v>
      </c>
      <c r="M211" s="47" t="str">
        <f>IFERROR(VLOOKUP(A211,RECEITAS!A:B,2,FALSE),"")</f>
        <v>DIRETO</v>
      </c>
      <c r="N211" s="47">
        <f t="shared" si="11"/>
        <v>6</v>
      </c>
    </row>
    <row r="212" spans="1:16" x14ac:dyDescent="0.3">
      <c r="A212" t="s">
        <v>167</v>
      </c>
      <c r="B212" t="s">
        <v>168</v>
      </c>
      <c r="C212">
        <v>1</v>
      </c>
      <c r="D212">
        <v>1</v>
      </c>
      <c r="E212" t="s">
        <v>203</v>
      </c>
      <c r="F212" s="35">
        <v>43259</v>
      </c>
      <c r="G212">
        <v>1</v>
      </c>
      <c r="H212">
        <v>25.42</v>
      </c>
      <c r="I212">
        <v>25.42</v>
      </c>
      <c r="K212" s="47">
        <f t="shared" si="9"/>
        <v>1</v>
      </c>
      <c r="L212" s="47" t="str">
        <f t="shared" si="10"/>
        <v>sex</v>
      </c>
      <c r="M212" s="47" t="str">
        <f>IFERROR(VLOOKUP(A212,RECEITAS!A:B,2,FALSE),"")</f>
        <v/>
      </c>
      <c r="N212" s="47">
        <f t="shared" si="11"/>
        <v>1</v>
      </c>
    </row>
    <row r="213" spans="1:16" x14ac:dyDescent="0.3">
      <c r="A213" t="s">
        <v>21</v>
      </c>
      <c r="B213" t="s">
        <v>145</v>
      </c>
      <c r="C213">
        <v>13</v>
      </c>
      <c r="D213">
        <v>0.1</v>
      </c>
      <c r="E213" t="s">
        <v>223</v>
      </c>
      <c r="F213" s="35">
        <v>43259</v>
      </c>
      <c r="G213">
        <v>6</v>
      </c>
      <c r="H213">
        <v>10.07</v>
      </c>
      <c r="I213">
        <v>130.91</v>
      </c>
      <c r="K213" s="47">
        <f t="shared" si="9"/>
        <v>7.8000000000000007</v>
      </c>
      <c r="L213" s="47" t="str">
        <f t="shared" si="10"/>
        <v>sex</v>
      </c>
      <c r="M213" s="47" t="str">
        <f>IFERROR(VLOOKUP(A213,RECEITAS!A:B,2,FALSE),"")</f>
        <v>DIRETO</v>
      </c>
      <c r="N213" s="47">
        <f t="shared" si="11"/>
        <v>78</v>
      </c>
      <c r="P213">
        <v>1561</v>
      </c>
    </row>
    <row r="214" spans="1:16" x14ac:dyDescent="0.3">
      <c r="A214" t="s">
        <v>23</v>
      </c>
      <c r="B214" t="s">
        <v>148</v>
      </c>
      <c r="C214">
        <v>2</v>
      </c>
      <c r="D214">
        <v>0.13</v>
      </c>
      <c r="E214" t="s">
        <v>224</v>
      </c>
      <c r="F214" s="35">
        <v>43259</v>
      </c>
      <c r="G214">
        <v>5</v>
      </c>
      <c r="H214">
        <v>10.35</v>
      </c>
      <c r="I214">
        <v>20.7</v>
      </c>
      <c r="K214" s="47">
        <f t="shared" si="9"/>
        <v>1.3</v>
      </c>
      <c r="L214" s="47" t="str">
        <f t="shared" si="10"/>
        <v>sex</v>
      </c>
      <c r="M214" s="47" t="str">
        <f>IFERROR(VLOOKUP(A214,RECEITAS!A:B,2,FALSE),"")</f>
        <v>RÚSTICO</v>
      </c>
      <c r="N214" s="47">
        <f t="shared" si="11"/>
        <v>10</v>
      </c>
      <c r="P214">
        <v>450</v>
      </c>
    </row>
    <row r="215" spans="1:16" x14ac:dyDescent="0.3">
      <c r="A215" t="s">
        <v>20</v>
      </c>
      <c r="B215" t="s">
        <v>155</v>
      </c>
      <c r="C215">
        <v>4</v>
      </c>
      <c r="D215">
        <v>7.0000000000000007E-2</v>
      </c>
      <c r="E215" t="s">
        <v>224</v>
      </c>
      <c r="F215" s="35">
        <v>43259</v>
      </c>
      <c r="G215">
        <v>6</v>
      </c>
      <c r="H215">
        <v>8.69</v>
      </c>
      <c r="I215">
        <v>34.76</v>
      </c>
      <c r="K215" s="47">
        <f t="shared" si="9"/>
        <v>1.6800000000000002</v>
      </c>
      <c r="L215" s="47" t="str">
        <f t="shared" si="10"/>
        <v>sex</v>
      </c>
      <c r="M215" s="47" t="str">
        <f>IFERROR(VLOOKUP(A215,RECEITAS!A:B,2,FALSE),"")</f>
        <v>DIRETO</v>
      </c>
      <c r="N215" s="47">
        <f t="shared" si="11"/>
        <v>24</v>
      </c>
      <c r="P215">
        <v>700</v>
      </c>
    </row>
    <row r="216" spans="1:16" x14ac:dyDescent="0.3">
      <c r="A216" t="s">
        <v>21</v>
      </c>
      <c r="B216" t="s">
        <v>155</v>
      </c>
      <c r="C216">
        <v>10</v>
      </c>
      <c r="D216">
        <v>7.0000000000000007E-2</v>
      </c>
      <c r="E216" t="s">
        <v>224</v>
      </c>
      <c r="F216" s="35">
        <v>43259</v>
      </c>
      <c r="G216">
        <v>6</v>
      </c>
      <c r="H216">
        <v>8</v>
      </c>
      <c r="I216">
        <v>80</v>
      </c>
      <c r="K216" s="47">
        <f t="shared" si="9"/>
        <v>4.2</v>
      </c>
      <c r="L216" s="47" t="str">
        <f t="shared" si="10"/>
        <v>sex</v>
      </c>
      <c r="M216" s="47" t="str">
        <f>IFERROR(VLOOKUP(A216,RECEITAS!A:B,2,FALSE),"")</f>
        <v>DIRETO</v>
      </c>
      <c r="N216" s="47">
        <f t="shared" si="11"/>
        <v>60</v>
      </c>
      <c r="P216">
        <f>SUBTOTAL(9,P213:P215)</f>
        <v>2711</v>
      </c>
    </row>
    <row r="217" spans="1:16" x14ac:dyDescent="0.3">
      <c r="A217" t="s">
        <v>25</v>
      </c>
      <c r="B217" t="s">
        <v>172</v>
      </c>
      <c r="C217">
        <v>10</v>
      </c>
      <c r="D217">
        <v>0.11</v>
      </c>
      <c r="E217" t="s">
        <v>198</v>
      </c>
      <c r="F217" s="35">
        <v>43259</v>
      </c>
      <c r="G217">
        <v>6</v>
      </c>
      <c r="H217">
        <v>12.42</v>
      </c>
      <c r="I217">
        <v>124.2</v>
      </c>
      <c r="K217" s="47">
        <f t="shared" si="9"/>
        <v>6.6000000000000005</v>
      </c>
      <c r="L217" s="47" t="str">
        <f t="shared" si="10"/>
        <v>sex</v>
      </c>
      <c r="M217" s="47" t="str">
        <f>IFERROR(VLOOKUP(A217,RECEITAS!A:B,2,FALSE),"")</f>
        <v>DIRETO</v>
      </c>
      <c r="N217" s="47">
        <f t="shared" si="11"/>
        <v>60</v>
      </c>
    </row>
    <row r="218" spans="1:16" x14ac:dyDescent="0.3">
      <c r="A218" t="s">
        <v>21</v>
      </c>
      <c r="B218" t="s">
        <v>145</v>
      </c>
      <c r="C218">
        <v>8</v>
      </c>
      <c r="D218">
        <v>0.1</v>
      </c>
      <c r="E218" t="s">
        <v>198</v>
      </c>
      <c r="F218" s="35">
        <v>43259</v>
      </c>
      <c r="G218">
        <v>6</v>
      </c>
      <c r="H218">
        <v>12.42</v>
      </c>
      <c r="I218">
        <v>99.36</v>
      </c>
      <c r="K218" s="47">
        <f t="shared" si="9"/>
        <v>4.8000000000000007</v>
      </c>
      <c r="L218" s="47" t="str">
        <f t="shared" si="10"/>
        <v>sex</v>
      </c>
      <c r="M218" s="47" t="str">
        <f>IFERROR(VLOOKUP(A218,RECEITAS!A:B,2,FALSE),"")</f>
        <v>DIRETO</v>
      </c>
      <c r="N218" s="47">
        <f t="shared" si="11"/>
        <v>48</v>
      </c>
    </row>
    <row r="219" spans="1:16" x14ac:dyDescent="0.3">
      <c r="A219" t="s">
        <v>20</v>
      </c>
      <c r="B219" t="s">
        <v>145</v>
      </c>
      <c r="C219">
        <v>8</v>
      </c>
      <c r="D219">
        <v>0.1</v>
      </c>
      <c r="E219" t="s">
        <v>198</v>
      </c>
      <c r="F219" s="35">
        <v>43259</v>
      </c>
      <c r="G219">
        <v>6</v>
      </c>
      <c r="H219">
        <v>11.18</v>
      </c>
      <c r="I219">
        <v>89.44</v>
      </c>
      <c r="K219" s="47">
        <f t="shared" si="9"/>
        <v>4.8000000000000007</v>
      </c>
      <c r="L219" s="47" t="str">
        <f t="shared" si="10"/>
        <v>sex</v>
      </c>
      <c r="M219" s="47" t="str">
        <f>IFERROR(VLOOKUP(A219,RECEITAS!A:B,2,FALSE),"")</f>
        <v>DIRETO</v>
      </c>
      <c r="N219" s="47">
        <f t="shared" si="11"/>
        <v>48</v>
      </c>
    </row>
    <row r="220" spans="1:16" x14ac:dyDescent="0.3">
      <c r="A220" t="s">
        <v>21</v>
      </c>
      <c r="B220" t="s">
        <v>145</v>
      </c>
      <c r="C220">
        <v>10</v>
      </c>
      <c r="D220">
        <v>0.1</v>
      </c>
      <c r="E220" t="s">
        <v>198</v>
      </c>
      <c r="F220" s="35">
        <v>43259</v>
      </c>
      <c r="G220">
        <v>6</v>
      </c>
      <c r="H220">
        <v>10.07</v>
      </c>
      <c r="I220">
        <v>100.7</v>
      </c>
      <c r="K220" s="47">
        <f t="shared" si="9"/>
        <v>6.0000000000000009</v>
      </c>
      <c r="L220" s="47" t="str">
        <f t="shared" si="10"/>
        <v>sex</v>
      </c>
      <c r="M220" s="47" t="str">
        <f>IFERROR(VLOOKUP(A220,RECEITAS!A:B,2,FALSE),"")</f>
        <v>DIRETO</v>
      </c>
      <c r="N220" s="47">
        <f t="shared" si="11"/>
        <v>60</v>
      </c>
    </row>
    <row r="221" spans="1:16" x14ac:dyDescent="0.3">
      <c r="A221" t="s">
        <v>25</v>
      </c>
      <c r="B221" t="s">
        <v>145</v>
      </c>
      <c r="C221">
        <v>6</v>
      </c>
      <c r="D221">
        <v>0.1</v>
      </c>
      <c r="E221" t="s">
        <v>225</v>
      </c>
      <c r="F221" s="35">
        <v>43259</v>
      </c>
      <c r="G221">
        <v>6</v>
      </c>
      <c r="H221">
        <v>12.42</v>
      </c>
      <c r="I221">
        <v>74.52</v>
      </c>
      <c r="K221" s="47">
        <f t="shared" si="9"/>
        <v>3.6000000000000005</v>
      </c>
      <c r="L221" s="47" t="str">
        <f t="shared" si="10"/>
        <v>sex</v>
      </c>
      <c r="M221" s="47" t="str">
        <f>IFERROR(VLOOKUP(A221,RECEITAS!A:B,2,FALSE),"")</f>
        <v>DIRETO</v>
      </c>
      <c r="N221" s="47">
        <f t="shared" si="11"/>
        <v>36</v>
      </c>
    </row>
    <row r="222" spans="1:16" x14ac:dyDescent="0.3">
      <c r="A222" t="s">
        <v>21</v>
      </c>
      <c r="B222" t="s">
        <v>159</v>
      </c>
      <c r="C222">
        <v>1</v>
      </c>
      <c r="D222">
        <v>0.06</v>
      </c>
      <c r="E222" t="s">
        <v>225</v>
      </c>
      <c r="F222" s="35">
        <v>43259</v>
      </c>
      <c r="G222">
        <v>8</v>
      </c>
      <c r="H222">
        <v>6.16</v>
      </c>
      <c r="I222">
        <v>6.16</v>
      </c>
      <c r="K222" s="47">
        <f t="shared" si="9"/>
        <v>0.48</v>
      </c>
      <c r="L222" s="47" t="str">
        <f t="shared" si="10"/>
        <v>sex</v>
      </c>
      <c r="M222" s="47" t="str">
        <f>IFERROR(VLOOKUP(A222,RECEITAS!A:B,2,FALSE),"")</f>
        <v>DIRETO</v>
      </c>
      <c r="N222" s="47">
        <f t="shared" si="11"/>
        <v>8</v>
      </c>
    </row>
    <row r="223" spans="1:16" x14ac:dyDescent="0.3">
      <c r="A223" t="s">
        <v>35</v>
      </c>
      <c r="B223" t="s">
        <v>145</v>
      </c>
      <c r="C223">
        <v>6</v>
      </c>
      <c r="D223">
        <v>0.1</v>
      </c>
      <c r="E223" t="s">
        <v>225</v>
      </c>
      <c r="F223" s="35">
        <v>43259</v>
      </c>
      <c r="G223">
        <v>6</v>
      </c>
      <c r="H223">
        <v>8.4</v>
      </c>
      <c r="I223">
        <v>50.4</v>
      </c>
      <c r="K223" s="47">
        <f t="shared" si="9"/>
        <v>3.6000000000000005</v>
      </c>
      <c r="L223" s="47" t="str">
        <f t="shared" si="10"/>
        <v>sex</v>
      </c>
      <c r="M223" s="47" t="str">
        <f>IFERROR(VLOOKUP(A223,RECEITAS!A:B,2,FALSE),"")</f>
        <v>DIRETO</v>
      </c>
      <c r="N223" s="47">
        <f t="shared" si="11"/>
        <v>36</v>
      </c>
    </row>
    <row r="224" spans="1:16" x14ac:dyDescent="0.3">
      <c r="A224" t="s">
        <v>21</v>
      </c>
      <c r="B224" t="s">
        <v>164</v>
      </c>
      <c r="C224">
        <v>5</v>
      </c>
      <c r="D224">
        <v>0.1</v>
      </c>
      <c r="E224" t="s">
        <v>197</v>
      </c>
      <c r="F224" s="35">
        <v>43259</v>
      </c>
      <c r="G224">
        <v>6</v>
      </c>
      <c r="H224">
        <v>10.83</v>
      </c>
      <c r="I224">
        <v>54.15</v>
      </c>
      <c r="K224" s="47">
        <f t="shared" si="9"/>
        <v>3.0000000000000004</v>
      </c>
      <c r="L224" s="47" t="str">
        <f t="shared" si="10"/>
        <v>sex</v>
      </c>
      <c r="M224" s="47" t="str">
        <f>IFERROR(VLOOKUP(A224,RECEITAS!A:B,2,FALSE),"")</f>
        <v>DIRETO</v>
      </c>
      <c r="N224" s="47">
        <f t="shared" si="11"/>
        <v>30</v>
      </c>
    </row>
    <row r="225" spans="1:14" x14ac:dyDescent="0.3">
      <c r="A225" t="s">
        <v>20</v>
      </c>
      <c r="B225" t="s">
        <v>145</v>
      </c>
      <c r="C225">
        <v>7</v>
      </c>
      <c r="D225">
        <v>0.1</v>
      </c>
      <c r="E225" t="s">
        <v>197</v>
      </c>
      <c r="F225" s="35">
        <v>43259</v>
      </c>
      <c r="G225">
        <v>6</v>
      </c>
      <c r="H225">
        <v>11.18</v>
      </c>
      <c r="I225">
        <v>78.260000000000005</v>
      </c>
      <c r="K225" s="47">
        <f t="shared" si="9"/>
        <v>4.2000000000000011</v>
      </c>
      <c r="L225" s="47" t="str">
        <f t="shared" si="10"/>
        <v>sex</v>
      </c>
      <c r="M225" s="47" t="str">
        <f>IFERROR(VLOOKUP(A225,RECEITAS!A:B,2,FALSE),"")</f>
        <v>DIRETO</v>
      </c>
      <c r="N225" s="47">
        <f t="shared" si="11"/>
        <v>42</v>
      </c>
    </row>
    <row r="226" spans="1:14" x14ac:dyDescent="0.3">
      <c r="A226" t="s">
        <v>21</v>
      </c>
      <c r="B226" t="s">
        <v>145</v>
      </c>
      <c r="C226">
        <v>10</v>
      </c>
      <c r="D226">
        <v>0.1</v>
      </c>
      <c r="E226" t="s">
        <v>197</v>
      </c>
      <c r="F226" s="35">
        <v>43259</v>
      </c>
      <c r="G226">
        <v>6</v>
      </c>
      <c r="H226">
        <v>10.07</v>
      </c>
      <c r="I226">
        <v>100.7</v>
      </c>
      <c r="K226" s="47">
        <f t="shared" si="9"/>
        <v>6.0000000000000009</v>
      </c>
      <c r="L226" s="47" t="str">
        <f t="shared" si="10"/>
        <v>sex</v>
      </c>
      <c r="M226" s="47" t="str">
        <f>IFERROR(VLOOKUP(A226,RECEITAS!A:B,2,FALSE),"")</f>
        <v>DIRETO</v>
      </c>
      <c r="N226" s="47">
        <f t="shared" si="11"/>
        <v>60</v>
      </c>
    </row>
    <row r="227" spans="1:14" x14ac:dyDescent="0.3">
      <c r="A227" t="s">
        <v>20</v>
      </c>
      <c r="B227" t="s">
        <v>145</v>
      </c>
      <c r="C227">
        <v>5</v>
      </c>
      <c r="D227">
        <v>0.1</v>
      </c>
      <c r="E227" t="s">
        <v>158</v>
      </c>
      <c r="F227" s="35">
        <v>43259</v>
      </c>
      <c r="G227">
        <v>6</v>
      </c>
      <c r="H227">
        <v>11.18</v>
      </c>
      <c r="I227">
        <v>55.9</v>
      </c>
      <c r="K227" s="47">
        <f t="shared" si="9"/>
        <v>3.0000000000000004</v>
      </c>
      <c r="L227" s="47" t="str">
        <f t="shared" si="10"/>
        <v>sex</v>
      </c>
      <c r="M227" s="47" t="str">
        <f>IFERROR(VLOOKUP(A227,RECEITAS!A:B,2,FALSE),"")</f>
        <v>DIRETO</v>
      </c>
      <c r="N227" s="47">
        <f t="shared" si="11"/>
        <v>30</v>
      </c>
    </row>
    <row r="228" spans="1:14" x14ac:dyDescent="0.3">
      <c r="A228" t="s">
        <v>21</v>
      </c>
      <c r="B228" t="s">
        <v>145</v>
      </c>
      <c r="C228">
        <v>22</v>
      </c>
      <c r="D228">
        <v>0.1</v>
      </c>
      <c r="E228" t="s">
        <v>158</v>
      </c>
      <c r="F228" s="35">
        <v>43259</v>
      </c>
      <c r="G228">
        <v>6</v>
      </c>
      <c r="H228">
        <v>10.07</v>
      </c>
      <c r="I228">
        <v>221.54</v>
      </c>
      <c r="K228" s="47">
        <f t="shared" si="9"/>
        <v>13.200000000000003</v>
      </c>
      <c r="L228" s="47" t="str">
        <f t="shared" si="10"/>
        <v>sex</v>
      </c>
      <c r="M228" s="47" t="str">
        <f>IFERROR(VLOOKUP(A228,RECEITAS!A:B,2,FALSE),"")</f>
        <v>DIRETO</v>
      </c>
      <c r="N228" s="47">
        <f t="shared" si="11"/>
        <v>132</v>
      </c>
    </row>
    <row r="229" spans="1:14" x14ac:dyDescent="0.3">
      <c r="A229" t="s">
        <v>21</v>
      </c>
      <c r="B229" t="s">
        <v>159</v>
      </c>
      <c r="C229">
        <v>3</v>
      </c>
      <c r="D229">
        <v>0.06</v>
      </c>
      <c r="E229" t="s">
        <v>158</v>
      </c>
      <c r="F229" s="35">
        <v>43259</v>
      </c>
      <c r="G229">
        <v>8</v>
      </c>
      <c r="H229">
        <v>6.16</v>
      </c>
      <c r="I229">
        <v>18.48</v>
      </c>
      <c r="K229" s="47">
        <f t="shared" si="9"/>
        <v>1.44</v>
      </c>
      <c r="L229" s="47" t="str">
        <f t="shared" si="10"/>
        <v>sex</v>
      </c>
      <c r="M229" s="47" t="str">
        <f>IFERROR(VLOOKUP(A229,RECEITAS!A:B,2,FALSE),"")</f>
        <v>DIRETO</v>
      </c>
      <c r="N229" s="47">
        <f t="shared" si="11"/>
        <v>24</v>
      </c>
    </row>
    <row r="230" spans="1:14" x14ac:dyDescent="0.3">
      <c r="A230" t="s">
        <v>33</v>
      </c>
      <c r="B230" t="s">
        <v>145</v>
      </c>
      <c r="C230">
        <v>15</v>
      </c>
      <c r="D230">
        <v>0.1</v>
      </c>
      <c r="E230" t="s">
        <v>226</v>
      </c>
      <c r="F230" s="35">
        <v>43259</v>
      </c>
      <c r="G230">
        <v>6</v>
      </c>
      <c r="H230">
        <v>10.35</v>
      </c>
      <c r="I230">
        <v>155.25</v>
      </c>
      <c r="K230" s="47">
        <f t="shared" si="9"/>
        <v>9.0000000000000018</v>
      </c>
      <c r="L230" s="47" t="str">
        <f t="shared" si="10"/>
        <v>sex</v>
      </c>
      <c r="M230" s="47" t="str">
        <f>IFERROR(VLOOKUP(A230,RECEITAS!A:B,2,FALSE),"")</f>
        <v>DIRETO</v>
      </c>
      <c r="N230" s="47">
        <f t="shared" si="11"/>
        <v>90</v>
      </c>
    </row>
    <row r="231" spans="1:14" x14ac:dyDescent="0.3">
      <c r="A231" t="s">
        <v>32</v>
      </c>
      <c r="B231" t="s">
        <v>145</v>
      </c>
      <c r="C231">
        <v>5</v>
      </c>
      <c r="D231">
        <v>0.1</v>
      </c>
      <c r="E231" t="s">
        <v>226</v>
      </c>
      <c r="F231" s="35">
        <v>43259</v>
      </c>
      <c r="G231">
        <v>6</v>
      </c>
      <c r="H231">
        <v>10.35</v>
      </c>
      <c r="I231">
        <v>51.75</v>
      </c>
      <c r="K231" s="47">
        <f t="shared" si="9"/>
        <v>3.0000000000000004</v>
      </c>
      <c r="L231" s="47" t="str">
        <f t="shared" si="10"/>
        <v>sex</v>
      </c>
      <c r="M231" s="47" t="str">
        <f>IFERROR(VLOOKUP(A231,RECEITAS!A:B,2,FALSE),"")</f>
        <v>DIRETO</v>
      </c>
      <c r="N231" s="47">
        <f t="shared" si="11"/>
        <v>30</v>
      </c>
    </row>
    <row r="232" spans="1:14" x14ac:dyDescent="0.3">
      <c r="A232" t="s">
        <v>46</v>
      </c>
      <c r="B232" t="s">
        <v>156</v>
      </c>
      <c r="C232">
        <v>12</v>
      </c>
      <c r="D232">
        <v>0.4</v>
      </c>
      <c r="E232" t="s">
        <v>183</v>
      </c>
      <c r="F232" s="35">
        <v>43259</v>
      </c>
      <c r="G232">
        <v>5</v>
      </c>
      <c r="H232">
        <v>27.6</v>
      </c>
      <c r="I232">
        <v>331.2</v>
      </c>
      <c r="K232" s="47">
        <f t="shared" si="9"/>
        <v>24</v>
      </c>
      <c r="L232" s="47" t="str">
        <f t="shared" si="10"/>
        <v>sex</v>
      </c>
      <c r="M232" s="47" t="str">
        <f>IFERROR(VLOOKUP(A232,RECEITAS!A:B,2,FALSE),"")</f>
        <v>RÚSTICO</v>
      </c>
      <c r="N232" s="47">
        <f t="shared" si="11"/>
        <v>60</v>
      </c>
    </row>
    <row r="233" spans="1:14" x14ac:dyDescent="0.3">
      <c r="A233" t="s">
        <v>23</v>
      </c>
      <c r="B233" t="s">
        <v>148</v>
      </c>
      <c r="C233">
        <v>5</v>
      </c>
      <c r="D233">
        <v>0.15</v>
      </c>
      <c r="E233" t="s">
        <v>149</v>
      </c>
      <c r="F233" s="35">
        <v>43259</v>
      </c>
      <c r="G233">
        <v>3</v>
      </c>
      <c r="H233">
        <v>7.59</v>
      </c>
      <c r="I233">
        <v>37.950000000000003</v>
      </c>
      <c r="K233" s="47">
        <f t="shared" si="9"/>
        <v>2.25</v>
      </c>
      <c r="L233" s="47" t="str">
        <f t="shared" si="10"/>
        <v>sex</v>
      </c>
      <c r="M233" s="47" t="str">
        <f>IFERROR(VLOOKUP(A233,RECEITAS!A:B,2,FALSE),"")</f>
        <v>RÚSTICO</v>
      </c>
      <c r="N233" s="47">
        <f t="shared" si="11"/>
        <v>15</v>
      </c>
    </row>
    <row r="234" spans="1:14" x14ac:dyDescent="0.3">
      <c r="A234" t="s">
        <v>46</v>
      </c>
      <c r="B234" t="s">
        <v>221</v>
      </c>
      <c r="C234">
        <v>6</v>
      </c>
      <c r="D234">
        <v>0.4</v>
      </c>
      <c r="E234" t="s">
        <v>149</v>
      </c>
      <c r="F234" s="35">
        <v>43259</v>
      </c>
      <c r="G234">
        <v>1</v>
      </c>
      <c r="H234">
        <v>6.9</v>
      </c>
      <c r="I234">
        <v>41.4</v>
      </c>
      <c r="K234" s="47">
        <f t="shared" si="9"/>
        <v>2.4000000000000004</v>
      </c>
      <c r="L234" s="47" t="str">
        <f t="shared" si="10"/>
        <v>sex</v>
      </c>
      <c r="M234" s="47" t="str">
        <f>IFERROR(VLOOKUP(A234,RECEITAS!A:B,2,FALSE),"")</f>
        <v>RÚSTICO</v>
      </c>
      <c r="N234" s="47">
        <f t="shared" si="11"/>
        <v>6</v>
      </c>
    </row>
    <row r="235" spans="1:14" x14ac:dyDescent="0.3">
      <c r="A235" t="s">
        <v>21</v>
      </c>
      <c r="B235" t="s">
        <v>150</v>
      </c>
      <c r="C235">
        <v>7</v>
      </c>
      <c r="D235">
        <v>0.08</v>
      </c>
      <c r="E235" t="s">
        <v>149</v>
      </c>
      <c r="F235" s="35">
        <v>43259</v>
      </c>
      <c r="G235">
        <v>6</v>
      </c>
      <c r="H235">
        <v>6.9</v>
      </c>
      <c r="I235">
        <v>48.3</v>
      </c>
      <c r="K235" s="47">
        <f t="shared" si="9"/>
        <v>3.36</v>
      </c>
      <c r="L235" s="47" t="str">
        <f t="shared" si="10"/>
        <v>sex</v>
      </c>
      <c r="M235" s="47" t="str">
        <f>IFERROR(VLOOKUP(A235,RECEITAS!A:B,2,FALSE),"")</f>
        <v>DIRETO</v>
      </c>
      <c r="N235" s="47">
        <f t="shared" si="11"/>
        <v>42</v>
      </c>
    </row>
    <row r="236" spans="1:14" x14ac:dyDescent="0.3">
      <c r="A236" t="s">
        <v>25</v>
      </c>
      <c r="B236" t="s">
        <v>214</v>
      </c>
      <c r="C236">
        <v>1</v>
      </c>
      <c r="D236">
        <v>0.12</v>
      </c>
      <c r="E236" t="s">
        <v>149</v>
      </c>
      <c r="F236" s="35">
        <v>43259</v>
      </c>
      <c r="G236">
        <v>4</v>
      </c>
      <c r="H236">
        <v>10.119999999999999</v>
      </c>
      <c r="I236">
        <v>10.119999999999999</v>
      </c>
      <c r="K236" s="47">
        <f t="shared" si="9"/>
        <v>0.48</v>
      </c>
      <c r="L236" s="47" t="str">
        <f t="shared" si="10"/>
        <v>sex</v>
      </c>
      <c r="M236" s="47" t="str">
        <f>IFERROR(VLOOKUP(A236,RECEITAS!A:B,2,FALSE),"")</f>
        <v>DIRETO</v>
      </c>
      <c r="N236" s="47">
        <f t="shared" si="11"/>
        <v>4</v>
      </c>
    </row>
    <row r="237" spans="1:14" x14ac:dyDescent="0.3">
      <c r="A237" t="s">
        <v>26</v>
      </c>
      <c r="B237" t="s">
        <v>151</v>
      </c>
      <c r="C237">
        <v>5</v>
      </c>
      <c r="D237">
        <v>0.13</v>
      </c>
      <c r="E237" t="s">
        <v>149</v>
      </c>
      <c r="F237" s="35">
        <v>43259</v>
      </c>
      <c r="G237">
        <v>3</v>
      </c>
      <c r="H237">
        <v>8.6300000000000008</v>
      </c>
      <c r="I237">
        <v>43.15</v>
      </c>
      <c r="K237" s="47">
        <f t="shared" si="9"/>
        <v>1.9500000000000002</v>
      </c>
      <c r="L237" s="47" t="str">
        <f t="shared" si="10"/>
        <v>sex</v>
      </c>
      <c r="M237" s="47" t="str">
        <f>IFERROR(VLOOKUP(A237,RECEITAS!A:B,2,FALSE),"")</f>
        <v>RÚSTICO</v>
      </c>
      <c r="N237" s="47">
        <f t="shared" si="11"/>
        <v>15</v>
      </c>
    </row>
    <row r="238" spans="1:14" x14ac:dyDescent="0.3">
      <c r="A238" t="s">
        <v>50</v>
      </c>
      <c r="B238" t="s">
        <v>227</v>
      </c>
      <c r="C238">
        <v>4</v>
      </c>
      <c r="D238">
        <v>0.06</v>
      </c>
      <c r="E238" t="s">
        <v>149</v>
      </c>
      <c r="F238" s="35">
        <v>43259</v>
      </c>
      <c r="G238">
        <v>1</v>
      </c>
      <c r="H238">
        <v>9.09</v>
      </c>
      <c r="I238">
        <v>36.36</v>
      </c>
      <c r="K238" s="47">
        <f t="shared" si="9"/>
        <v>0.24</v>
      </c>
      <c r="L238" s="47" t="str">
        <f t="shared" si="10"/>
        <v>sex</v>
      </c>
      <c r="M238" s="47" t="str">
        <f>IFERROR(VLOOKUP(A238,RECEITAS!A:B,2,FALSE),"")</f>
        <v>DIRETO</v>
      </c>
      <c r="N238" s="47">
        <f t="shared" si="11"/>
        <v>4</v>
      </c>
    </row>
    <row r="239" spans="1:14" x14ac:dyDescent="0.3">
      <c r="A239" t="s">
        <v>21</v>
      </c>
      <c r="B239" t="s">
        <v>164</v>
      </c>
      <c r="C239">
        <v>3</v>
      </c>
      <c r="D239">
        <v>0.1</v>
      </c>
      <c r="E239" t="s">
        <v>149</v>
      </c>
      <c r="F239" s="35">
        <v>43259</v>
      </c>
      <c r="G239">
        <v>4</v>
      </c>
      <c r="H239">
        <v>9.1999999999999993</v>
      </c>
      <c r="I239">
        <v>27.6</v>
      </c>
      <c r="K239" s="47">
        <f t="shared" si="9"/>
        <v>1.2000000000000002</v>
      </c>
      <c r="L239" s="47" t="str">
        <f t="shared" si="10"/>
        <v>sex</v>
      </c>
      <c r="M239" s="47" t="str">
        <f>IFERROR(VLOOKUP(A239,RECEITAS!A:B,2,FALSE),"")</f>
        <v>DIRETO</v>
      </c>
      <c r="N239" s="47">
        <f t="shared" si="11"/>
        <v>12</v>
      </c>
    </row>
    <row r="240" spans="1:14" x14ac:dyDescent="0.3">
      <c r="A240" t="s">
        <v>50</v>
      </c>
      <c r="B240" t="s">
        <v>30</v>
      </c>
      <c r="C240">
        <v>10</v>
      </c>
      <c r="D240">
        <v>0.08</v>
      </c>
      <c r="E240" t="s">
        <v>149</v>
      </c>
      <c r="F240" s="35">
        <v>43259</v>
      </c>
      <c r="G240">
        <v>1</v>
      </c>
      <c r="H240">
        <v>3.45</v>
      </c>
      <c r="I240">
        <v>34.5</v>
      </c>
      <c r="K240" s="47">
        <f t="shared" si="9"/>
        <v>0.8</v>
      </c>
      <c r="L240" s="47" t="str">
        <f t="shared" si="10"/>
        <v>sex</v>
      </c>
      <c r="M240" s="47" t="str">
        <f>IFERROR(VLOOKUP(A240,RECEITAS!A:B,2,FALSE),"")</f>
        <v>DIRETO</v>
      </c>
      <c r="N240" s="47">
        <f t="shared" si="11"/>
        <v>10</v>
      </c>
    </row>
    <row r="241" spans="1:14" x14ac:dyDescent="0.3">
      <c r="A241" t="s">
        <v>21</v>
      </c>
      <c r="B241" t="s">
        <v>159</v>
      </c>
      <c r="C241">
        <v>2</v>
      </c>
      <c r="D241">
        <v>0.08</v>
      </c>
      <c r="E241" t="s">
        <v>149</v>
      </c>
      <c r="F241" s="35">
        <v>43259</v>
      </c>
      <c r="G241">
        <v>4</v>
      </c>
      <c r="H241">
        <v>9.1999999999999993</v>
      </c>
      <c r="I241">
        <v>18.399999999999999</v>
      </c>
      <c r="K241" s="47">
        <f t="shared" si="9"/>
        <v>0.64</v>
      </c>
      <c r="L241" s="47" t="str">
        <f t="shared" si="10"/>
        <v>sex</v>
      </c>
      <c r="M241" s="47" t="str">
        <f>IFERROR(VLOOKUP(A241,RECEITAS!A:B,2,FALSE),"")</f>
        <v>DIRETO</v>
      </c>
      <c r="N241" s="47">
        <f t="shared" si="11"/>
        <v>8</v>
      </c>
    </row>
    <row r="242" spans="1:14" x14ac:dyDescent="0.3">
      <c r="A242" t="s">
        <v>56</v>
      </c>
      <c r="B242" t="s">
        <v>152</v>
      </c>
      <c r="C242">
        <v>2</v>
      </c>
      <c r="D242">
        <v>0.6</v>
      </c>
      <c r="E242" t="s">
        <v>149</v>
      </c>
      <c r="F242" s="35">
        <v>43259</v>
      </c>
      <c r="G242">
        <v>1</v>
      </c>
      <c r="H242">
        <v>6.79</v>
      </c>
      <c r="I242">
        <v>13.58</v>
      </c>
      <c r="K242" s="47">
        <f t="shared" si="9"/>
        <v>1.2</v>
      </c>
      <c r="L242" s="47" t="str">
        <f t="shared" si="10"/>
        <v>sex</v>
      </c>
      <c r="M242" s="47" t="str">
        <f>IFERROR(VLOOKUP(A242,RECEITAS!A:B,2,FALSE),"")</f>
        <v>RÚSTICO</v>
      </c>
      <c r="N242" s="47">
        <f t="shared" si="11"/>
        <v>2</v>
      </c>
    </row>
    <row r="243" spans="1:14" x14ac:dyDescent="0.3">
      <c r="A243" t="s">
        <v>50</v>
      </c>
      <c r="B243" t="s">
        <v>159</v>
      </c>
      <c r="C243">
        <v>4</v>
      </c>
      <c r="D243">
        <v>0.04</v>
      </c>
      <c r="E243" t="s">
        <v>149</v>
      </c>
      <c r="F243" s="35">
        <v>43259</v>
      </c>
      <c r="G243">
        <v>15</v>
      </c>
      <c r="H243">
        <v>37.5</v>
      </c>
      <c r="I243">
        <v>150</v>
      </c>
      <c r="K243" s="47">
        <f t="shared" si="9"/>
        <v>2.4</v>
      </c>
      <c r="L243" s="47" t="str">
        <f t="shared" si="10"/>
        <v>sex</v>
      </c>
      <c r="M243" s="47" t="str">
        <f>IFERROR(VLOOKUP(A243,RECEITAS!A:B,2,FALSE),"")</f>
        <v>DIRETO</v>
      </c>
      <c r="N243" s="47">
        <f t="shared" si="11"/>
        <v>60</v>
      </c>
    </row>
    <row r="244" spans="1:14" x14ac:dyDescent="0.3">
      <c r="A244" t="s">
        <v>23</v>
      </c>
      <c r="B244" t="s">
        <v>156</v>
      </c>
      <c r="C244">
        <v>10</v>
      </c>
      <c r="D244">
        <v>0.35</v>
      </c>
      <c r="E244" t="s">
        <v>149</v>
      </c>
      <c r="F244" s="35">
        <v>43259</v>
      </c>
      <c r="G244">
        <v>1</v>
      </c>
      <c r="H244">
        <v>12.94</v>
      </c>
      <c r="I244">
        <v>129.4</v>
      </c>
      <c r="K244" s="47">
        <f t="shared" si="9"/>
        <v>3.5</v>
      </c>
      <c r="L244" s="47" t="str">
        <f t="shared" si="10"/>
        <v>sex</v>
      </c>
      <c r="M244" s="47" t="str">
        <f>IFERROR(VLOOKUP(A244,RECEITAS!A:B,2,FALSE),"")</f>
        <v>RÚSTICO</v>
      </c>
      <c r="N244" s="47">
        <f t="shared" si="11"/>
        <v>10</v>
      </c>
    </row>
    <row r="245" spans="1:14" x14ac:dyDescent="0.3">
      <c r="A245" t="s">
        <v>23</v>
      </c>
      <c r="B245" t="s">
        <v>187</v>
      </c>
      <c r="C245">
        <v>2</v>
      </c>
      <c r="D245">
        <v>0.3</v>
      </c>
      <c r="E245" t="s">
        <v>149</v>
      </c>
      <c r="F245" s="35">
        <v>43259</v>
      </c>
      <c r="G245">
        <v>2</v>
      </c>
      <c r="H245">
        <v>6.9</v>
      </c>
      <c r="I245">
        <v>13.8</v>
      </c>
      <c r="K245" s="47">
        <f t="shared" si="9"/>
        <v>1.2</v>
      </c>
      <c r="L245" s="47" t="str">
        <f t="shared" si="10"/>
        <v>sex</v>
      </c>
      <c r="M245" s="47" t="str">
        <f>IFERROR(VLOOKUP(A245,RECEITAS!A:B,2,FALSE),"")</f>
        <v>RÚSTICO</v>
      </c>
      <c r="N245" s="47">
        <f t="shared" si="11"/>
        <v>4</v>
      </c>
    </row>
    <row r="246" spans="1:14" x14ac:dyDescent="0.3">
      <c r="A246" t="s">
        <v>35</v>
      </c>
      <c r="B246" t="s">
        <v>155</v>
      </c>
      <c r="C246">
        <v>2</v>
      </c>
      <c r="D246">
        <v>7.0000000000000007E-2</v>
      </c>
      <c r="E246" t="s">
        <v>149</v>
      </c>
      <c r="F246" s="35">
        <v>43259</v>
      </c>
      <c r="G246">
        <v>6</v>
      </c>
      <c r="H246">
        <v>8</v>
      </c>
      <c r="I246">
        <v>16</v>
      </c>
      <c r="K246" s="47">
        <f t="shared" si="9"/>
        <v>0.84000000000000008</v>
      </c>
      <c r="L246" s="47" t="str">
        <f t="shared" si="10"/>
        <v>sex</v>
      </c>
      <c r="M246" s="47" t="str">
        <f>IFERROR(VLOOKUP(A246,RECEITAS!A:B,2,FALSE),"")</f>
        <v>DIRETO</v>
      </c>
      <c r="N246" s="47">
        <f t="shared" si="11"/>
        <v>12</v>
      </c>
    </row>
    <row r="247" spans="1:14" x14ac:dyDescent="0.3">
      <c r="A247" t="s">
        <v>24</v>
      </c>
      <c r="B247" t="s">
        <v>156</v>
      </c>
      <c r="C247">
        <v>2</v>
      </c>
      <c r="D247">
        <v>0.25</v>
      </c>
      <c r="E247" t="s">
        <v>149</v>
      </c>
      <c r="F247" s="35">
        <v>43259</v>
      </c>
      <c r="G247">
        <v>5</v>
      </c>
      <c r="H247">
        <v>14.72</v>
      </c>
      <c r="I247">
        <v>29.44</v>
      </c>
      <c r="K247" s="47">
        <f t="shared" si="9"/>
        <v>2.5</v>
      </c>
      <c r="L247" s="47" t="str">
        <f t="shared" si="10"/>
        <v>sex</v>
      </c>
      <c r="M247" s="47" t="str">
        <f>IFERROR(VLOOKUP(A247,RECEITAS!A:B,2,FALSE),"")</f>
        <v>RÚSTICO</v>
      </c>
      <c r="N247" s="47">
        <f t="shared" si="11"/>
        <v>10</v>
      </c>
    </row>
    <row r="248" spans="1:14" x14ac:dyDescent="0.3">
      <c r="A248" t="s">
        <v>115</v>
      </c>
      <c r="B248" t="s">
        <v>152</v>
      </c>
      <c r="C248">
        <v>3</v>
      </c>
      <c r="D248">
        <v>0.5</v>
      </c>
      <c r="E248" t="s">
        <v>149</v>
      </c>
      <c r="F248" s="35">
        <v>43259</v>
      </c>
      <c r="G248">
        <v>1</v>
      </c>
      <c r="H248">
        <v>5.18</v>
      </c>
      <c r="I248">
        <v>15.54</v>
      </c>
      <c r="K248" s="47">
        <f t="shared" si="9"/>
        <v>1.5</v>
      </c>
      <c r="L248" s="47" t="str">
        <f t="shared" si="10"/>
        <v>sex</v>
      </c>
      <c r="M248" s="47" t="str">
        <f>IFERROR(VLOOKUP(A248,RECEITAS!A:B,2,FALSE),"")</f>
        <v>RÚSTICO</v>
      </c>
      <c r="N248" s="47">
        <f t="shared" si="11"/>
        <v>3</v>
      </c>
    </row>
    <row r="249" spans="1:14" x14ac:dyDescent="0.3">
      <c r="A249" t="s">
        <v>25</v>
      </c>
      <c r="B249" t="s">
        <v>153</v>
      </c>
      <c r="C249">
        <v>3</v>
      </c>
      <c r="D249">
        <v>0.27</v>
      </c>
      <c r="E249" t="s">
        <v>149</v>
      </c>
      <c r="F249" s="35">
        <v>43259</v>
      </c>
      <c r="G249">
        <v>3</v>
      </c>
      <c r="H249">
        <v>14.63</v>
      </c>
      <c r="I249">
        <v>43.89</v>
      </c>
      <c r="K249" s="47">
        <f t="shared" si="9"/>
        <v>2.4300000000000002</v>
      </c>
      <c r="L249" s="47" t="str">
        <f t="shared" si="10"/>
        <v>sex</v>
      </c>
      <c r="M249" s="47" t="str">
        <f>IFERROR(VLOOKUP(A249,RECEITAS!A:B,2,FALSE),"")</f>
        <v>DIRETO</v>
      </c>
      <c r="N249" s="47">
        <f t="shared" si="11"/>
        <v>9</v>
      </c>
    </row>
    <row r="250" spans="1:14" x14ac:dyDescent="0.3">
      <c r="A250" t="s">
        <v>27</v>
      </c>
      <c r="B250" t="s">
        <v>154</v>
      </c>
      <c r="C250">
        <v>3</v>
      </c>
      <c r="D250">
        <v>0.45</v>
      </c>
      <c r="E250" t="s">
        <v>149</v>
      </c>
      <c r="F250" s="35">
        <v>43259</v>
      </c>
      <c r="G250">
        <v>1</v>
      </c>
      <c r="H250">
        <v>4.6900000000000004</v>
      </c>
      <c r="I250">
        <v>14.07</v>
      </c>
      <c r="K250" s="47">
        <f t="shared" si="9"/>
        <v>1.35</v>
      </c>
      <c r="L250" s="47" t="str">
        <f t="shared" si="10"/>
        <v>sex</v>
      </c>
      <c r="M250" s="47" t="str">
        <f>IFERROR(VLOOKUP(A250,RECEITAS!A:B,2,FALSE),"")</f>
        <v>DIRETO</v>
      </c>
      <c r="N250" s="47">
        <f t="shared" si="11"/>
        <v>3</v>
      </c>
    </row>
    <row r="251" spans="1:14" x14ac:dyDescent="0.3">
      <c r="A251" t="s">
        <v>21</v>
      </c>
      <c r="B251" t="s">
        <v>154</v>
      </c>
      <c r="C251">
        <v>3</v>
      </c>
      <c r="D251">
        <v>0.4</v>
      </c>
      <c r="E251" t="s">
        <v>149</v>
      </c>
      <c r="F251" s="35">
        <v>43259</v>
      </c>
      <c r="G251">
        <v>1</v>
      </c>
      <c r="H251">
        <v>3.97</v>
      </c>
      <c r="I251">
        <v>11.91</v>
      </c>
      <c r="K251" s="47">
        <f t="shared" si="9"/>
        <v>1.2000000000000002</v>
      </c>
      <c r="L251" s="47" t="str">
        <f t="shared" si="10"/>
        <v>sex</v>
      </c>
      <c r="M251" s="47" t="str">
        <f>IFERROR(VLOOKUP(A251,RECEITAS!A:B,2,FALSE),"")</f>
        <v>DIRETO</v>
      </c>
      <c r="N251" s="47">
        <f t="shared" si="11"/>
        <v>3</v>
      </c>
    </row>
    <row r="252" spans="1:14" x14ac:dyDescent="0.3">
      <c r="A252" t="s">
        <v>20</v>
      </c>
      <c r="B252" t="s">
        <v>155</v>
      </c>
      <c r="C252">
        <v>2</v>
      </c>
      <c r="D252">
        <v>7.0000000000000007E-2</v>
      </c>
      <c r="E252" t="s">
        <v>149</v>
      </c>
      <c r="F252" s="35">
        <v>43259</v>
      </c>
      <c r="G252">
        <v>4</v>
      </c>
      <c r="H252">
        <v>3.45</v>
      </c>
      <c r="I252">
        <v>6.9</v>
      </c>
      <c r="K252" s="47">
        <f t="shared" si="9"/>
        <v>0.56000000000000005</v>
      </c>
      <c r="L252" s="47" t="str">
        <f t="shared" si="10"/>
        <v>sex</v>
      </c>
      <c r="M252" s="47" t="str">
        <f>IFERROR(VLOOKUP(A252,RECEITAS!A:B,2,FALSE),"")</f>
        <v>DIRETO</v>
      </c>
      <c r="N252" s="47">
        <f t="shared" si="11"/>
        <v>8</v>
      </c>
    </row>
    <row r="253" spans="1:14" x14ac:dyDescent="0.3">
      <c r="A253" t="s">
        <v>21</v>
      </c>
      <c r="B253" t="s">
        <v>155</v>
      </c>
      <c r="C253">
        <v>2</v>
      </c>
      <c r="D253">
        <v>7.0000000000000007E-2</v>
      </c>
      <c r="E253" t="s">
        <v>149</v>
      </c>
      <c r="F253" s="35">
        <v>43259</v>
      </c>
      <c r="G253">
        <v>4</v>
      </c>
      <c r="H253">
        <v>2.9</v>
      </c>
      <c r="I253">
        <v>5.8</v>
      </c>
      <c r="K253" s="47">
        <f t="shared" si="9"/>
        <v>0.56000000000000005</v>
      </c>
      <c r="L253" s="47" t="str">
        <f t="shared" si="10"/>
        <v>sex</v>
      </c>
      <c r="M253" s="47" t="str">
        <f>IFERROR(VLOOKUP(A253,RECEITAS!A:B,2,FALSE),"")</f>
        <v>DIRETO</v>
      </c>
      <c r="N253" s="47">
        <f t="shared" si="11"/>
        <v>8</v>
      </c>
    </row>
    <row r="254" spans="1:14" x14ac:dyDescent="0.3">
      <c r="A254" t="s">
        <v>20</v>
      </c>
      <c r="B254" t="s">
        <v>145</v>
      </c>
      <c r="C254">
        <v>15</v>
      </c>
      <c r="D254">
        <v>0.1</v>
      </c>
      <c r="E254" t="s">
        <v>158</v>
      </c>
      <c r="F254" s="35">
        <v>43259</v>
      </c>
      <c r="G254">
        <v>6</v>
      </c>
      <c r="H254">
        <v>11.18</v>
      </c>
      <c r="I254">
        <v>167.7</v>
      </c>
      <c r="K254" s="47">
        <f t="shared" si="9"/>
        <v>9.0000000000000018</v>
      </c>
      <c r="L254" s="47" t="str">
        <f t="shared" si="10"/>
        <v>sex</v>
      </c>
      <c r="M254" s="47" t="str">
        <f>IFERROR(VLOOKUP(A254,RECEITAS!A:B,2,FALSE),"")</f>
        <v>DIRETO</v>
      </c>
      <c r="N254" s="47">
        <f t="shared" si="11"/>
        <v>90</v>
      </c>
    </row>
    <row r="255" spans="1:14" x14ac:dyDescent="0.3">
      <c r="A255" t="s">
        <v>21</v>
      </c>
      <c r="B255" t="s">
        <v>145</v>
      </c>
      <c r="C255">
        <v>34</v>
      </c>
      <c r="D255">
        <v>0.1</v>
      </c>
      <c r="E255" t="s">
        <v>158</v>
      </c>
      <c r="F255" s="35">
        <v>43259</v>
      </c>
      <c r="G255">
        <v>6</v>
      </c>
      <c r="H255">
        <v>10.07</v>
      </c>
      <c r="I255">
        <v>342.38</v>
      </c>
      <c r="K255" s="47">
        <f t="shared" si="9"/>
        <v>20.400000000000002</v>
      </c>
      <c r="L255" s="47" t="str">
        <f t="shared" si="10"/>
        <v>sex</v>
      </c>
      <c r="M255" s="47" t="str">
        <f>IFERROR(VLOOKUP(A255,RECEITAS!A:B,2,FALSE),"")</f>
        <v>DIRETO</v>
      </c>
      <c r="N255" s="47">
        <f t="shared" si="11"/>
        <v>204</v>
      </c>
    </row>
    <row r="256" spans="1:14" x14ac:dyDescent="0.3">
      <c r="A256" t="s">
        <v>21</v>
      </c>
      <c r="B256" t="s">
        <v>159</v>
      </c>
      <c r="C256">
        <v>3</v>
      </c>
      <c r="D256">
        <v>0.06</v>
      </c>
      <c r="E256" t="s">
        <v>158</v>
      </c>
      <c r="F256" s="35">
        <v>43259</v>
      </c>
      <c r="G256">
        <v>8</v>
      </c>
      <c r="H256">
        <v>6.16</v>
      </c>
      <c r="I256">
        <v>18.48</v>
      </c>
      <c r="K256" s="47">
        <f t="shared" si="9"/>
        <v>1.44</v>
      </c>
      <c r="L256" s="47" t="str">
        <f t="shared" si="10"/>
        <v>sex</v>
      </c>
      <c r="M256" s="47" t="str">
        <f>IFERROR(VLOOKUP(A256,RECEITAS!A:B,2,FALSE),"")</f>
        <v>DIRETO</v>
      </c>
      <c r="N256" s="47">
        <f t="shared" si="11"/>
        <v>24</v>
      </c>
    </row>
    <row r="257" spans="1:14" x14ac:dyDescent="0.3">
      <c r="A257" t="s">
        <v>22</v>
      </c>
      <c r="B257" t="s">
        <v>145</v>
      </c>
      <c r="C257">
        <v>4</v>
      </c>
      <c r="D257">
        <v>0.1</v>
      </c>
      <c r="E257" t="s">
        <v>158</v>
      </c>
      <c r="F257" s="35">
        <v>43259</v>
      </c>
      <c r="G257">
        <v>6</v>
      </c>
      <c r="H257">
        <v>12.42</v>
      </c>
      <c r="I257">
        <v>49.68</v>
      </c>
      <c r="K257" s="47">
        <f t="shared" si="9"/>
        <v>2.4000000000000004</v>
      </c>
      <c r="L257" s="47" t="str">
        <f t="shared" si="10"/>
        <v>sex</v>
      </c>
      <c r="M257" s="47" t="str">
        <f>IFERROR(VLOOKUP(A257,RECEITAS!A:B,2,FALSE),"")</f>
        <v>DIRETO</v>
      </c>
      <c r="N257" s="47">
        <f t="shared" si="11"/>
        <v>24</v>
      </c>
    </row>
    <row r="258" spans="1:14" x14ac:dyDescent="0.3">
      <c r="A258" t="s">
        <v>20</v>
      </c>
      <c r="B258" t="s">
        <v>145</v>
      </c>
      <c r="C258">
        <v>6</v>
      </c>
      <c r="D258">
        <v>0.1</v>
      </c>
      <c r="E258" t="s">
        <v>228</v>
      </c>
      <c r="F258" s="35">
        <v>43259</v>
      </c>
      <c r="G258">
        <v>6</v>
      </c>
      <c r="H258">
        <v>11.18</v>
      </c>
      <c r="I258">
        <v>67.08</v>
      </c>
      <c r="K258" s="47">
        <f t="shared" ref="K258:K321" si="12">G258*D258*C258</f>
        <v>3.6000000000000005</v>
      </c>
      <c r="L258" s="47" t="str">
        <f t="shared" ref="L258:L321" si="13">IF(F258=0,"",TEXT(F258,"DDD"))</f>
        <v>sex</v>
      </c>
      <c r="M258" s="47" t="str">
        <f>IFERROR(VLOOKUP(A258,RECEITAS!A:B,2,FALSE),"")</f>
        <v>DIRETO</v>
      </c>
      <c r="N258" s="47">
        <f t="shared" si="11"/>
        <v>36</v>
      </c>
    </row>
    <row r="259" spans="1:14" x14ac:dyDescent="0.3">
      <c r="A259" t="s">
        <v>21</v>
      </c>
      <c r="B259" t="s">
        <v>145</v>
      </c>
      <c r="C259">
        <v>25</v>
      </c>
      <c r="D259">
        <v>0.1</v>
      </c>
      <c r="E259" t="s">
        <v>228</v>
      </c>
      <c r="F259" s="35">
        <v>43259</v>
      </c>
      <c r="G259">
        <v>6</v>
      </c>
      <c r="H259">
        <v>10.07</v>
      </c>
      <c r="I259">
        <v>251.75</v>
      </c>
      <c r="K259" s="47">
        <f t="shared" si="12"/>
        <v>15.000000000000002</v>
      </c>
      <c r="L259" s="47" t="str">
        <f t="shared" si="13"/>
        <v>sex</v>
      </c>
      <c r="M259" s="47" t="str">
        <f>IFERROR(VLOOKUP(A259,RECEITAS!A:B,2,FALSE),"")</f>
        <v>DIRETO</v>
      </c>
      <c r="N259" s="47">
        <f t="shared" ref="N259:N322" si="14">G259*C259</f>
        <v>150</v>
      </c>
    </row>
    <row r="260" spans="1:14" x14ac:dyDescent="0.3">
      <c r="A260" t="s">
        <v>167</v>
      </c>
      <c r="B260" t="s">
        <v>168</v>
      </c>
      <c r="C260">
        <v>1</v>
      </c>
      <c r="D260">
        <v>1</v>
      </c>
      <c r="E260" t="s">
        <v>228</v>
      </c>
      <c r="F260" s="35">
        <v>43259</v>
      </c>
      <c r="G260">
        <v>1</v>
      </c>
      <c r="H260">
        <v>25.42</v>
      </c>
      <c r="I260">
        <v>25.42</v>
      </c>
      <c r="K260" s="47">
        <f t="shared" si="12"/>
        <v>1</v>
      </c>
      <c r="L260" s="47" t="str">
        <f t="shared" si="13"/>
        <v>sex</v>
      </c>
      <c r="M260" s="47" t="str">
        <f>IFERROR(VLOOKUP(A260,RECEITAS!A:B,2,FALSE),"")</f>
        <v/>
      </c>
      <c r="N260" s="47">
        <f t="shared" si="14"/>
        <v>1</v>
      </c>
    </row>
    <row r="261" spans="1:14" x14ac:dyDescent="0.3">
      <c r="A261" t="s">
        <v>20</v>
      </c>
      <c r="B261" t="s">
        <v>145</v>
      </c>
      <c r="C261">
        <v>2</v>
      </c>
      <c r="D261">
        <v>0.1</v>
      </c>
      <c r="E261" t="s">
        <v>162</v>
      </c>
      <c r="F261" s="35">
        <v>43259</v>
      </c>
      <c r="G261">
        <v>6</v>
      </c>
      <c r="H261">
        <v>11.18</v>
      </c>
      <c r="I261">
        <v>22.36</v>
      </c>
      <c r="K261" s="47">
        <f t="shared" si="12"/>
        <v>1.2000000000000002</v>
      </c>
      <c r="L261" s="47" t="str">
        <f t="shared" si="13"/>
        <v>sex</v>
      </c>
      <c r="M261" s="47" t="str">
        <f>IFERROR(VLOOKUP(A261,RECEITAS!A:B,2,FALSE),"")</f>
        <v>DIRETO</v>
      </c>
      <c r="N261" s="47">
        <f t="shared" si="14"/>
        <v>12</v>
      </c>
    </row>
    <row r="262" spans="1:14" x14ac:dyDescent="0.3">
      <c r="A262" t="s">
        <v>21</v>
      </c>
      <c r="B262" t="s">
        <v>145</v>
      </c>
      <c r="C262">
        <v>10</v>
      </c>
      <c r="D262">
        <v>0.1</v>
      </c>
      <c r="E262" t="s">
        <v>162</v>
      </c>
      <c r="F262" s="35">
        <v>43259</v>
      </c>
      <c r="G262">
        <v>6</v>
      </c>
      <c r="H262">
        <v>10.07</v>
      </c>
      <c r="I262">
        <v>100.7</v>
      </c>
      <c r="K262" s="47">
        <f t="shared" si="12"/>
        <v>6.0000000000000009</v>
      </c>
      <c r="L262" s="47" t="str">
        <f t="shared" si="13"/>
        <v>sex</v>
      </c>
      <c r="M262" s="47" t="str">
        <f>IFERROR(VLOOKUP(A262,RECEITAS!A:B,2,FALSE),"")</f>
        <v>DIRETO</v>
      </c>
      <c r="N262" s="47">
        <f t="shared" si="14"/>
        <v>60</v>
      </c>
    </row>
    <row r="263" spans="1:14" x14ac:dyDescent="0.3">
      <c r="A263" t="s">
        <v>21</v>
      </c>
      <c r="B263" t="s">
        <v>145</v>
      </c>
      <c r="C263">
        <v>12</v>
      </c>
      <c r="D263">
        <v>0.1</v>
      </c>
      <c r="E263" t="s">
        <v>229</v>
      </c>
      <c r="F263" s="35">
        <v>43259</v>
      </c>
      <c r="G263">
        <v>6</v>
      </c>
      <c r="H263">
        <v>10.07</v>
      </c>
      <c r="I263">
        <v>120.84</v>
      </c>
      <c r="K263" s="47">
        <f t="shared" si="12"/>
        <v>7.2000000000000011</v>
      </c>
      <c r="L263" s="47" t="str">
        <f t="shared" si="13"/>
        <v>sex</v>
      </c>
      <c r="M263" s="47" t="str">
        <f>IFERROR(VLOOKUP(A263,RECEITAS!A:B,2,FALSE),"")</f>
        <v>DIRETO</v>
      </c>
      <c r="N263" s="47">
        <f t="shared" si="14"/>
        <v>72</v>
      </c>
    </row>
    <row r="264" spans="1:14" x14ac:dyDescent="0.3">
      <c r="A264" t="s">
        <v>21</v>
      </c>
      <c r="B264" t="s">
        <v>145</v>
      </c>
      <c r="C264">
        <v>9</v>
      </c>
      <c r="D264">
        <v>0.1</v>
      </c>
      <c r="E264" t="s">
        <v>230</v>
      </c>
      <c r="F264" s="35">
        <v>43259</v>
      </c>
      <c r="G264">
        <v>6</v>
      </c>
      <c r="H264">
        <v>10.07</v>
      </c>
      <c r="I264">
        <v>90.63</v>
      </c>
      <c r="K264" s="47">
        <f t="shared" si="12"/>
        <v>5.4</v>
      </c>
      <c r="L264" s="47" t="str">
        <f t="shared" si="13"/>
        <v>sex</v>
      </c>
      <c r="M264" s="47" t="str">
        <f>IFERROR(VLOOKUP(A264,RECEITAS!A:B,2,FALSE),"")</f>
        <v>DIRETO</v>
      </c>
      <c r="N264" s="47">
        <f t="shared" si="14"/>
        <v>54</v>
      </c>
    </row>
    <row r="265" spans="1:14" x14ac:dyDescent="0.3">
      <c r="A265" t="s">
        <v>21</v>
      </c>
      <c r="B265" t="s">
        <v>145</v>
      </c>
      <c r="C265">
        <v>84</v>
      </c>
      <c r="D265">
        <v>0.1</v>
      </c>
      <c r="E265" t="s">
        <v>230</v>
      </c>
      <c r="F265" s="35">
        <v>43259</v>
      </c>
      <c r="G265">
        <v>6</v>
      </c>
      <c r="H265">
        <v>10.76</v>
      </c>
      <c r="I265">
        <v>903.84</v>
      </c>
      <c r="K265" s="47">
        <f t="shared" si="12"/>
        <v>50.400000000000006</v>
      </c>
      <c r="L265" s="47" t="str">
        <f t="shared" si="13"/>
        <v>sex</v>
      </c>
      <c r="M265" s="47" t="str">
        <f>IFERROR(VLOOKUP(A265,RECEITAS!A:B,2,FALSE),"")</f>
        <v>DIRETO</v>
      </c>
      <c r="N265" s="47">
        <f t="shared" si="14"/>
        <v>504</v>
      </c>
    </row>
    <row r="266" spans="1:14" x14ac:dyDescent="0.3">
      <c r="A266" t="s">
        <v>20</v>
      </c>
      <c r="B266" t="s">
        <v>145</v>
      </c>
      <c r="C266">
        <v>3</v>
      </c>
      <c r="D266">
        <v>0.1</v>
      </c>
      <c r="E266" t="s">
        <v>193</v>
      </c>
      <c r="F266" s="35">
        <v>43259</v>
      </c>
      <c r="G266">
        <v>6</v>
      </c>
      <c r="K266" s="47">
        <f t="shared" si="12"/>
        <v>1.8000000000000003</v>
      </c>
      <c r="L266" s="47" t="str">
        <f t="shared" si="13"/>
        <v>sex</v>
      </c>
      <c r="M266" s="47" t="str">
        <f>IFERROR(VLOOKUP(A266,RECEITAS!A:B,2,FALSE),"")</f>
        <v>DIRETO</v>
      </c>
      <c r="N266" s="47">
        <f t="shared" si="14"/>
        <v>18</v>
      </c>
    </row>
    <row r="267" spans="1:14" x14ac:dyDescent="0.3">
      <c r="A267" t="s">
        <v>21</v>
      </c>
      <c r="B267" t="s">
        <v>145</v>
      </c>
      <c r="C267">
        <v>6</v>
      </c>
      <c r="D267">
        <v>0.1</v>
      </c>
      <c r="E267" t="s">
        <v>193</v>
      </c>
      <c r="F267" s="35">
        <v>43259</v>
      </c>
      <c r="G267">
        <v>6</v>
      </c>
      <c r="K267" s="47">
        <f t="shared" si="12"/>
        <v>3.6000000000000005</v>
      </c>
      <c r="L267" s="47" t="str">
        <f t="shared" si="13"/>
        <v>sex</v>
      </c>
      <c r="M267" s="47" t="str">
        <f>IFERROR(VLOOKUP(A267,RECEITAS!A:B,2,FALSE),"")</f>
        <v>DIRETO</v>
      </c>
      <c r="N267" s="47">
        <f t="shared" si="14"/>
        <v>36</v>
      </c>
    </row>
    <row r="268" spans="1:14" x14ac:dyDescent="0.3">
      <c r="A268" t="s">
        <v>22</v>
      </c>
      <c r="B268" t="s">
        <v>145</v>
      </c>
      <c r="C268">
        <v>1</v>
      </c>
      <c r="D268">
        <v>0.1</v>
      </c>
      <c r="E268" t="s">
        <v>193</v>
      </c>
      <c r="F268" s="35">
        <v>43259</v>
      </c>
      <c r="G268">
        <v>6</v>
      </c>
      <c r="K268" s="47">
        <f t="shared" si="12"/>
        <v>0.60000000000000009</v>
      </c>
      <c r="L268" s="47" t="str">
        <f t="shared" si="13"/>
        <v>sex</v>
      </c>
      <c r="M268" s="47" t="str">
        <f>IFERROR(VLOOKUP(A268,RECEITAS!A:B,2,FALSE),"")</f>
        <v>DIRETO</v>
      </c>
      <c r="N268" s="47">
        <f t="shared" si="14"/>
        <v>6</v>
      </c>
    </row>
    <row r="269" spans="1:14" x14ac:dyDescent="0.3">
      <c r="A269" t="s">
        <v>28</v>
      </c>
      <c r="B269" t="s">
        <v>151</v>
      </c>
      <c r="C269">
        <v>80</v>
      </c>
      <c r="D269">
        <v>0.08</v>
      </c>
      <c r="E269" t="s">
        <v>149</v>
      </c>
      <c r="F269" s="35">
        <v>43259</v>
      </c>
      <c r="G269">
        <v>1</v>
      </c>
      <c r="H269">
        <v>0.92</v>
      </c>
      <c r="I269">
        <v>73.599999999999994</v>
      </c>
      <c r="K269" s="47">
        <f t="shared" si="12"/>
        <v>6.4</v>
      </c>
      <c r="L269" s="47" t="str">
        <f t="shared" si="13"/>
        <v>sex</v>
      </c>
      <c r="M269" s="47" t="str">
        <f>IFERROR(VLOOKUP(A269,RECEITAS!A:B,2,FALSE),"")</f>
        <v>DIRETO</v>
      </c>
      <c r="N269" s="47">
        <f t="shared" si="14"/>
        <v>80</v>
      </c>
    </row>
    <row r="270" spans="1:14" x14ac:dyDescent="0.3">
      <c r="A270" t="s">
        <v>28</v>
      </c>
      <c r="B270" t="s">
        <v>151</v>
      </c>
      <c r="C270">
        <v>30</v>
      </c>
      <c r="D270">
        <v>0.08</v>
      </c>
      <c r="E270" t="s">
        <v>231</v>
      </c>
      <c r="F270" s="35">
        <v>43259</v>
      </c>
      <c r="G270">
        <v>1</v>
      </c>
      <c r="H270">
        <v>0.92</v>
      </c>
      <c r="I270">
        <v>27.6</v>
      </c>
      <c r="K270" s="47">
        <f t="shared" si="12"/>
        <v>2.4</v>
      </c>
      <c r="L270" s="47" t="str">
        <f t="shared" si="13"/>
        <v>sex</v>
      </c>
      <c r="M270" s="47" t="str">
        <f>IFERROR(VLOOKUP(A270,RECEITAS!A:B,2,FALSE),"")</f>
        <v>DIRETO</v>
      </c>
      <c r="N270" s="47">
        <f t="shared" si="14"/>
        <v>30</v>
      </c>
    </row>
    <row r="271" spans="1:14" x14ac:dyDescent="0.3">
      <c r="A271" t="s">
        <v>28</v>
      </c>
      <c r="B271" t="s">
        <v>156</v>
      </c>
      <c r="C271">
        <v>2</v>
      </c>
      <c r="D271">
        <v>0.1</v>
      </c>
      <c r="E271" t="s">
        <v>231</v>
      </c>
      <c r="F271" s="35">
        <v>43259</v>
      </c>
      <c r="G271">
        <v>6</v>
      </c>
      <c r="H271">
        <v>5.75</v>
      </c>
      <c r="I271">
        <v>11.5</v>
      </c>
      <c r="K271" s="47">
        <f t="shared" si="12"/>
        <v>1.2000000000000002</v>
      </c>
      <c r="L271" s="47" t="str">
        <f t="shared" si="13"/>
        <v>sex</v>
      </c>
      <c r="M271" s="47" t="str">
        <f>IFERROR(VLOOKUP(A271,RECEITAS!A:B,2,FALSE),"")</f>
        <v>DIRETO</v>
      </c>
      <c r="N271" s="47">
        <f t="shared" si="14"/>
        <v>12</v>
      </c>
    </row>
    <row r="272" spans="1:14" x14ac:dyDescent="0.3">
      <c r="A272" t="s">
        <v>20</v>
      </c>
      <c r="B272" t="s">
        <v>145</v>
      </c>
      <c r="C272">
        <v>2</v>
      </c>
      <c r="D272">
        <v>0.1</v>
      </c>
      <c r="E272" t="s">
        <v>232</v>
      </c>
      <c r="F272" s="35">
        <v>43260</v>
      </c>
      <c r="G272">
        <v>6</v>
      </c>
      <c r="K272" s="47">
        <f t="shared" si="12"/>
        <v>1.2000000000000002</v>
      </c>
      <c r="L272" s="47" t="str">
        <f t="shared" si="13"/>
        <v>sáb</v>
      </c>
      <c r="M272" s="47" t="str">
        <f>IFERROR(VLOOKUP(A272,RECEITAS!A:B,2,FALSE),"")</f>
        <v>DIRETO</v>
      </c>
      <c r="N272" s="47">
        <f t="shared" si="14"/>
        <v>12</v>
      </c>
    </row>
    <row r="273" spans="1:17" x14ac:dyDescent="0.3">
      <c r="A273" t="s">
        <v>33</v>
      </c>
      <c r="B273" t="s">
        <v>145</v>
      </c>
      <c r="C273">
        <v>10</v>
      </c>
      <c r="D273">
        <v>0.1</v>
      </c>
      <c r="E273" t="s">
        <v>232</v>
      </c>
      <c r="F273" s="35">
        <v>43260</v>
      </c>
      <c r="G273">
        <v>6</v>
      </c>
      <c r="K273" s="47">
        <f t="shared" si="12"/>
        <v>6.0000000000000009</v>
      </c>
      <c r="L273" s="47" t="str">
        <f t="shared" si="13"/>
        <v>sáb</v>
      </c>
      <c r="M273" s="47" t="str">
        <f>IFERROR(VLOOKUP(A273,RECEITAS!A:B,2,FALSE),"")</f>
        <v>DIRETO</v>
      </c>
      <c r="N273" s="47">
        <f t="shared" si="14"/>
        <v>60</v>
      </c>
    </row>
    <row r="274" spans="1:17" x14ac:dyDescent="0.3">
      <c r="A274" t="s">
        <v>20</v>
      </c>
      <c r="B274" t="s">
        <v>145</v>
      </c>
      <c r="C274">
        <v>2</v>
      </c>
      <c r="D274">
        <v>0.1</v>
      </c>
      <c r="E274" t="s">
        <v>203</v>
      </c>
      <c r="F274" s="35">
        <v>43260</v>
      </c>
      <c r="G274">
        <v>6</v>
      </c>
      <c r="H274">
        <v>11.18</v>
      </c>
      <c r="I274">
        <v>22.36</v>
      </c>
      <c r="K274" s="47">
        <f t="shared" si="12"/>
        <v>1.2000000000000002</v>
      </c>
      <c r="L274" s="47" t="str">
        <f t="shared" si="13"/>
        <v>sáb</v>
      </c>
      <c r="M274" s="47" t="str">
        <f>IFERROR(VLOOKUP(A274,RECEITAS!A:B,2,FALSE),"")</f>
        <v>DIRETO</v>
      </c>
      <c r="N274" s="47">
        <f t="shared" si="14"/>
        <v>12</v>
      </c>
    </row>
    <row r="275" spans="1:17" x14ac:dyDescent="0.3">
      <c r="A275" t="s">
        <v>33</v>
      </c>
      <c r="B275" t="s">
        <v>145</v>
      </c>
      <c r="C275">
        <v>30</v>
      </c>
      <c r="D275">
        <v>0.1</v>
      </c>
      <c r="E275" t="s">
        <v>203</v>
      </c>
      <c r="F275" s="35">
        <v>43260</v>
      </c>
      <c r="G275">
        <v>6</v>
      </c>
      <c r="H275">
        <v>10.35</v>
      </c>
      <c r="I275">
        <v>310.5</v>
      </c>
      <c r="K275" s="47">
        <f t="shared" si="12"/>
        <v>18.000000000000004</v>
      </c>
      <c r="L275" s="47" t="str">
        <f t="shared" si="13"/>
        <v>sáb</v>
      </c>
      <c r="M275" s="47" t="str">
        <f>IFERROR(VLOOKUP(A275,RECEITAS!A:B,2,FALSE),"")</f>
        <v>DIRETO</v>
      </c>
      <c r="N275" s="47">
        <f t="shared" si="14"/>
        <v>180</v>
      </c>
    </row>
    <row r="276" spans="1:17" x14ac:dyDescent="0.3">
      <c r="A276" t="s">
        <v>22</v>
      </c>
      <c r="B276" t="s">
        <v>145</v>
      </c>
      <c r="C276">
        <v>1</v>
      </c>
      <c r="D276">
        <v>0.1</v>
      </c>
      <c r="E276" t="s">
        <v>203</v>
      </c>
      <c r="F276" s="35">
        <v>43260</v>
      </c>
      <c r="G276">
        <v>6</v>
      </c>
      <c r="H276">
        <v>12.42</v>
      </c>
      <c r="I276">
        <v>12.42</v>
      </c>
      <c r="K276" s="47">
        <f t="shared" si="12"/>
        <v>0.60000000000000009</v>
      </c>
      <c r="L276" s="47" t="str">
        <f t="shared" si="13"/>
        <v>sáb</v>
      </c>
      <c r="M276" s="47" t="str">
        <f>IFERROR(VLOOKUP(A276,RECEITAS!A:B,2,FALSE),"")</f>
        <v>DIRETO</v>
      </c>
      <c r="N276" s="47">
        <f t="shared" si="14"/>
        <v>6</v>
      </c>
    </row>
    <row r="277" spans="1:17" x14ac:dyDescent="0.3">
      <c r="A277" t="s">
        <v>20</v>
      </c>
      <c r="B277" t="s">
        <v>145</v>
      </c>
      <c r="C277">
        <v>10</v>
      </c>
      <c r="D277">
        <v>0.1</v>
      </c>
      <c r="E277" t="s">
        <v>206</v>
      </c>
      <c r="F277" s="35">
        <v>43260</v>
      </c>
      <c r="G277">
        <v>6</v>
      </c>
      <c r="H277">
        <v>11.18</v>
      </c>
      <c r="I277">
        <v>111.8</v>
      </c>
      <c r="K277" s="47">
        <f t="shared" si="12"/>
        <v>6.0000000000000009</v>
      </c>
      <c r="L277" s="47" t="str">
        <f t="shared" si="13"/>
        <v>sáb</v>
      </c>
      <c r="M277" s="47" t="str">
        <f>IFERROR(VLOOKUP(A277,RECEITAS!A:B,2,FALSE),"")</f>
        <v>DIRETO</v>
      </c>
      <c r="N277" s="47">
        <f t="shared" si="14"/>
        <v>60</v>
      </c>
    </row>
    <row r="278" spans="1:17" x14ac:dyDescent="0.3">
      <c r="A278" t="s">
        <v>21</v>
      </c>
      <c r="B278" t="s">
        <v>145</v>
      </c>
      <c r="C278">
        <v>15</v>
      </c>
      <c r="D278">
        <v>0.1</v>
      </c>
      <c r="E278" t="s">
        <v>206</v>
      </c>
      <c r="F278" s="35">
        <v>43260</v>
      </c>
      <c r="G278">
        <v>6</v>
      </c>
      <c r="H278">
        <v>10.07</v>
      </c>
      <c r="I278">
        <v>151.05000000000001</v>
      </c>
      <c r="K278" s="47">
        <f t="shared" si="12"/>
        <v>9.0000000000000018</v>
      </c>
      <c r="L278" s="47" t="str">
        <f t="shared" si="13"/>
        <v>sáb</v>
      </c>
      <c r="M278" s="47" t="str">
        <f>IFERROR(VLOOKUP(A278,RECEITAS!A:B,2,FALSE),"")</f>
        <v>DIRETO</v>
      </c>
      <c r="N278" s="47">
        <f t="shared" si="14"/>
        <v>90</v>
      </c>
    </row>
    <row r="279" spans="1:17" x14ac:dyDescent="0.3">
      <c r="A279" t="s">
        <v>20</v>
      </c>
      <c r="B279" t="s">
        <v>145</v>
      </c>
      <c r="C279">
        <v>1</v>
      </c>
      <c r="D279">
        <v>0.1</v>
      </c>
      <c r="E279" t="s">
        <v>196</v>
      </c>
      <c r="F279" s="35">
        <v>43260</v>
      </c>
      <c r="G279">
        <v>6</v>
      </c>
      <c r="H279">
        <v>11.18</v>
      </c>
      <c r="I279">
        <v>11.18</v>
      </c>
      <c r="K279" s="47">
        <f t="shared" si="12"/>
        <v>0.60000000000000009</v>
      </c>
      <c r="L279" s="47" t="str">
        <f t="shared" si="13"/>
        <v>sáb</v>
      </c>
      <c r="M279" s="47" t="str">
        <f>IFERROR(VLOOKUP(A279,RECEITAS!A:B,2,FALSE),"")</f>
        <v>DIRETO</v>
      </c>
      <c r="N279" s="47">
        <f t="shared" si="14"/>
        <v>6</v>
      </c>
    </row>
    <row r="280" spans="1:17" x14ac:dyDescent="0.3">
      <c r="A280" t="s">
        <v>21</v>
      </c>
      <c r="B280" t="s">
        <v>145</v>
      </c>
      <c r="C280">
        <v>4</v>
      </c>
      <c r="D280">
        <v>0.1</v>
      </c>
      <c r="E280" t="s">
        <v>196</v>
      </c>
      <c r="F280" s="35">
        <v>43260</v>
      </c>
      <c r="G280">
        <v>6</v>
      </c>
      <c r="H280">
        <v>10.07</v>
      </c>
      <c r="I280">
        <v>40.28</v>
      </c>
      <c r="K280" s="47">
        <f t="shared" si="12"/>
        <v>2.4000000000000004</v>
      </c>
      <c r="L280" s="47" t="str">
        <f t="shared" si="13"/>
        <v>sáb</v>
      </c>
      <c r="M280" s="47" t="str">
        <f>IFERROR(VLOOKUP(A280,RECEITAS!A:B,2,FALSE),"")</f>
        <v>DIRETO</v>
      </c>
      <c r="N280" s="47">
        <f t="shared" si="14"/>
        <v>24</v>
      </c>
    </row>
    <row r="281" spans="1:17" x14ac:dyDescent="0.3">
      <c r="A281" t="s">
        <v>20</v>
      </c>
      <c r="B281" t="s">
        <v>145</v>
      </c>
      <c r="C281">
        <v>5</v>
      </c>
      <c r="D281">
        <v>0.1</v>
      </c>
      <c r="E281" t="s">
        <v>233</v>
      </c>
      <c r="F281" s="35">
        <v>43260</v>
      </c>
      <c r="G281">
        <v>6</v>
      </c>
      <c r="H281">
        <v>11.18</v>
      </c>
      <c r="I281">
        <v>55.9</v>
      </c>
      <c r="K281" s="47">
        <f t="shared" si="12"/>
        <v>3.0000000000000004</v>
      </c>
      <c r="L281" s="47" t="str">
        <f t="shared" si="13"/>
        <v>sáb</v>
      </c>
      <c r="M281" s="47" t="str">
        <f>IFERROR(VLOOKUP(A281,RECEITAS!A:B,2,FALSE),"")</f>
        <v>DIRETO</v>
      </c>
      <c r="N281" s="47">
        <f t="shared" si="14"/>
        <v>30</v>
      </c>
    </row>
    <row r="282" spans="1:17" x14ac:dyDescent="0.3">
      <c r="A282" t="s">
        <v>21</v>
      </c>
      <c r="B282" t="s">
        <v>145</v>
      </c>
      <c r="C282">
        <v>10</v>
      </c>
      <c r="D282">
        <v>0.1</v>
      </c>
      <c r="E282" t="s">
        <v>233</v>
      </c>
      <c r="F282" s="35">
        <v>43260</v>
      </c>
      <c r="G282">
        <v>6</v>
      </c>
      <c r="H282">
        <v>10.07</v>
      </c>
      <c r="I282">
        <v>100.7</v>
      </c>
      <c r="K282" s="47">
        <f t="shared" si="12"/>
        <v>6.0000000000000009</v>
      </c>
      <c r="L282" s="47" t="str">
        <f t="shared" si="13"/>
        <v>sáb</v>
      </c>
      <c r="M282" s="47" t="str">
        <f>IFERROR(VLOOKUP(A282,RECEITAS!A:B,2,FALSE),"")</f>
        <v>DIRETO</v>
      </c>
      <c r="N282" s="47">
        <f t="shared" si="14"/>
        <v>60</v>
      </c>
      <c r="Q282" t="s">
        <v>20</v>
      </c>
    </row>
    <row r="283" spans="1:17" x14ac:dyDescent="0.3">
      <c r="A283" t="s">
        <v>20</v>
      </c>
      <c r="B283" t="s">
        <v>145</v>
      </c>
      <c r="C283">
        <v>15</v>
      </c>
      <c r="D283">
        <v>0.1</v>
      </c>
      <c r="E283" t="s">
        <v>208</v>
      </c>
      <c r="F283" s="35">
        <v>43260</v>
      </c>
      <c r="G283">
        <v>6</v>
      </c>
      <c r="H283">
        <v>11.18</v>
      </c>
      <c r="I283">
        <v>167.7</v>
      </c>
      <c r="K283" s="47">
        <f t="shared" si="12"/>
        <v>9.0000000000000018</v>
      </c>
      <c r="L283" s="47" t="str">
        <f t="shared" si="13"/>
        <v>sáb</v>
      </c>
      <c r="M283" s="47" t="str">
        <f>IFERROR(VLOOKUP(A283,RECEITAS!A:B,2,FALSE),"")</f>
        <v>DIRETO</v>
      </c>
      <c r="N283" s="47">
        <f t="shared" si="14"/>
        <v>90</v>
      </c>
      <c r="Q283" t="s">
        <v>21</v>
      </c>
    </row>
    <row r="284" spans="1:17" x14ac:dyDescent="0.3">
      <c r="A284" t="s">
        <v>21</v>
      </c>
      <c r="B284" t="s">
        <v>145</v>
      </c>
      <c r="C284">
        <v>15</v>
      </c>
      <c r="D284">
        <v>0.1</v>
      </c>
      <c r="E284" t="s">
        <v>208</v>
      </c>
      <c r="F284" s="35">
        <v>43260</v>
      </c>
      <c r="G284">
        <v>6</v>
      </c>
      <c r="H284">
        <v>10.07</v>
      </c>
      <c r="I284">
        <v>151.05000000000001</v>
      </c>
      <c r="K284" s="47">
        <f t="shared" si="12"/>
        <v>9.0000000000000018</v>
      </c>
      <c r="L284" s="47" t="str">
        <f t="shared" si="13"/>
        <v>sáb</v>
      </c>
      <c r="M284" s="47" t="str">
        <f>IFERROR(VLOOKUP(A284,RECEITAS!A:B,2,FALSE),"")</f>
        <v>DIRETO</v>
      </c>
      <c r="N284" s="47">
        <f t="shared" si="14"/>
        <v>90</v>
      </c>
      <c r="Q284" t="s">
        <v>22</v>
      </c>
    </row>
    <row r="285" spans="1:17" x14ac:dyDescent="0.3">
      <c r="A285" t="s">
        <v>22</v>
      </c>
      <c r="B285" t="s">
        <v>145</v>
      </c>
      <c r="C285">
        <v>6</v>
      </c>
      <c r="D285">
        <v>0.1</v>
      </c>
      <c r="E285" t="s">
        <v>208</v>
      </c>
      <c r="F285" s="35">
        <v>43260</v>
      </c>
      <c r="G285">
        <v>6</v>
      </c>
      <c r="H285">
        <v>12.42</v>
      </c>
      <c r="I285">
        <v>74.52</v>
      </c>
      <c r="K285" s="47">
        <f t="shared" si="12"/>
        <v>3.6000000000000005</v>
      </c>
      <c r="L285" s="47" t="str">
        <f t="shared" si="13"/>
        <v>sáb</v>
      </c>
      <c r="M285" s="47" t="str">
        <f>IFERROR(VLOOKUP(A285,RECEITAS!A:B,2,FALSE),"")</f>
        <v>DIRETO</v>
      </c>
      <c r="N285" s="47">
        <f t="shared" si="14"/>
        <v>36</v>
      </c>
      <c r="Q285" t="s">
        <v>33</v>
      </c>
    </row>
    <row r="286" spans="1:17" x14ac:dyDescent="0.3">
      <c r="A286" t="s">
        <v>28</v>
      </c>
      <c r="B286" t="s">
        <v>172</v>
      </c>
      <c r="C286">
        <v>16</v>
      </c>
      <c r="D286">
        <v>0.04</v>
      </c>
      <c r="E286" t="s">
        <v>195</v>
      </c>
      <c r="F286" s="35">
        <v>43260</v>
      </c>
      <c r="G286">
        <v>15</v>
      </c>
      <c r="H286">
        <v>8.6999999999999993</v>
      </c>
      <c r="I286">
        <v>139.19999999999999</v>
      </c>
      <c r="K286" s="47">
        <f t="shared" si="12"/>
        <v>9.6</v>
      </c>
      <c r="L286" s="47" t="str">
        <f t="shared" si="13"/>
        <v>sáb</v>
      </c>
      <c r="M286" s="47" t="str">
        <f>IFERROR(VLOOKUP(A286,RECEITAS!A:B,2,FALSE),"")</f>
        <v>DIRETO</v>
      </c>
      <c r="N286" s="47">
        <f t="shared" si="14"/>
        <v>240</v>
      </c>
      <c r="Q286" t="s">
        <v>32</v>
      </c>
    </row>
    <row r="287" spans="1:17" x14ac:dyDescent="0.3">
      <c r="A287" t="s">
        <v>28</v>
      </c>
      <c r="B287" t="s">
        <v>156</v>
      </c>
      <c r="C287">
        <v>40</v>
      </c>
      <c r="D287">
        <v>0.1</v>
      </c>
      <c r="E287" t="s">
        <v>194</v>
      </c>
      <c r="F287" s="35">
        <v>43260</v>
      </c>
      <c r="G287">
        <v>6</v>
      </c>
      <c r="H287">
        <v>5.75</v>
      </c>
      <c r="I287">
        <v>230</v>
      </c>
      <c r="K287" s="47">
        <f t="shared" si="12"/>
        <v>24.000000000000004</v>
      </c>
      <c r="L287" s="47" t="str">
        <f t="shared" si="13"/>
        <v>sáb</v>
      </c>
      <c r="M287" s="47" t="str">
        <f>IFERROR(VLOOKUP(A287,RECEITAS!A:B,2,FALSE),"")</f>
        <v>DIRETO</v>
      </c>
      <c r="N287" s="47">
        <f t="shared" si="14"/>
        <v>240</v>
      </c>
      <c r="Q287" t="s">
        <v>25</v>
      </c>
    </row>
    <row r="288" spans="1:17" x14ac:dyDescent="0.3">
      <c r="A288" t="s">
        <v>20</v>
      </c>
      <c r="B288" t="s">
        <v>145</v>
      </c>
      <c r="C288">
        <v>1</v>
      </c>
      <c r="D288">
        <v>0.1</v>
      </c>
      <c r="E288" t="s">
        <v>234</v>
      </c>
      <c r="F288" s="35">
        <v>43260</v>
      </c>
      <c r="G288">
        <v>6</v>
      </c>
      <c r="H288">
        <v>11.18</v>
      </c>
      <c r="I288">
        <v>11.18</v>
      </c>
      <c r="K288" s="47">
        <f t="shared" si="12"/>
        <v>0.60000000000000009</v>
      </c>
      <c r="L288" s="47" t="str">
        <f t="shared" si="13"/>
        <v>sáb</v>
      </c>
      <c r="M288" s="47" t="str">
        <f>IFERROR(VLOOKUP(A288,RECEITAS!A:B,2,FALSE),"")</f>
        <v>DIRETO</v>
      </c>
      <c r="N288" s="47">
        <f t="shared" si="14"/>
        <v>6</v>
      </c>
      <c r="Q288" t="s">
        <v>49</v>
      </c>
    </row>
    <row r="289" spans="1:17" x14ac:dyDescent="0.3">
      <c r="A289" t="s">
        <v>25</v>
      </c>
      <c r="B289" t="s">
        <v>145</v>
      </c>
      <c r="C289">
        <v>4</v>
      </c>
      <c r="D289">
        <v>0.1</v>
      </c>
      <c r="E289" t="s">
        <v>234</v>
      </c>
      <c r="F289" s="35">
        <v>43260</v>
      </c>
      <c r="G289">
        <v>6</v>
      </c>
      <c r="H289">
        <v>12.42</v>
      </c>
      <c r="I289">
        <v>49.68</v>
      </c>
      <c r="K289" s="47">
        <f t="shared" si="12"/>
        <v>2.4000000000000004</v>
      </c>
      <c r="L289" s="47" t="str">
        <f t="shared" si="13"/>
        <v>sáb</v>
      </c>
      <c r="M289" s="47" t="str">
        <f>IFERROR(VLOOKUP(A289,RECEITAS!A:B,2,FALSE),"")</f>
        <v>DIRETO</v>
      </c>
      <c r="N289" s="47">
        <f t="shared" si="14"/>
        <v>24</v>
      </c>
      <c r="Q289" t="s">
        <v>28</v>
      </c>
    </row>
    <row r="290" spans="1:17" x14ac:dyDescent="0.3">
      <c r="A290" t="s">
        <v>21</v>
      </c>
      <c r="B290" t="s">
        <v>159</v>
      </c>
      <c r="C290">
        <v>25</v>
      </c>
      <c r="D290">
        <v>0.12</v>
      </c>
      <c r="E290" t="s">
        <v>177</v>
      </c>
      <c r="F290" s="35">
        <v>43260</v>
      </c>
      <c r="G290">
        <v>5</v>
      </c>
      <c r="H290">
        <v>10.35</v>
      </c>
      <c r="I290">
        <v>258.75</v>
      </c>
      <c r="K290" s="47">
        <f t="shared" si="12"/>
        <v>15</v>
      </c>
      <c r="L290" s="47" t="str">
        <f t="shared" si="13"/>
        <v>sáb</v>
      </c>
      <c r="M290" s="47" t="str">
        <f>IFERROR(VLOOKUP(A290,RECEITAS!A:B,2,FALSE),"")</f>
        <v>DIRETO</v>
      </c>
      <c r="N290" s="47">
        <f t="shared" si="14"/>
        <v>125</v>
      </c>
      <c r="Q290" t="s">
        <v>113</v>
      </c>
    </row>
    <row r="291" spans="1:17" x14ac:dyDescent="0.3">
      <c r="A291" t="s">
        <v>20</v>
      </c>
      <c r="B291" t="s">
        <v>159</v>
      </c>
      <c r="C291">
        <v>4</v>
      </c>
      <c r="D291">
        <v>0.12</v>
      </c>
      <c r="E291" t="s">
        <v>177</v>
      </c>
      <c r="F291" s="35">
        <v>43260</v>
      </c>
      <c r="G291">
        <v>5</v>
      </c>
      <c r="H291">
        <v>9.1999999999999993</v>
      </c>
      <c r="I291">
        <v>36.799999999999997</v>
      </c>
      <c r="K291" s="47">
        <f t="shared" si="12"/>
        <v>2.4</v>
      </c>
      <c r="L291" s="47" t="str">
        <f t="shared" si="13"/>
        <v>sáb</v>
      </c>
      <c r="M291" s="47" t="str">
        <f>IFERROR(VLOOKUP(A291,RECEITAS!A:B,2,FALSE),"")</f>
        <v>DIRETO</v>
      </c>
      <c r="N291" s="47">
        <f t="shared" si="14"/>
        <v>20</v>
      </c>
      <c r="Q291" t="s">
        <v>51</v>
      </c>
    </row>
    <row r="292" spans="1:17" x14ac:dyDescent="0.3">
      <c r="A292" t="s">
        <v>25</v>
      </c>
      <c r="B292" t="s">
        <v>145</v>
      </c>
      <c r="C292">
        <v>10</v>
      </c>
      <c r="D292">
        <v>0.1</v>
      </c>
      <c r="E292" t="s">
        <v>225</v>
      </c>
      <c r="F292" s="35">
        <v>43260</v>
      </c>
      <c r="G292">
        <v>6</v>
      </c>
      <c r="H292">
        <v>12.42</v>
      </c>
      <c r="I292">
        <v>124.2</v>
      </c>
      <c r="K292" s="47">
        <f t="shared" si="12"/>
        <v>6.0000000000000009</v>
      </c>
      <c r="L292" s="47" t="str">
        <f t="shared" si="13"/>
        <v>sáb</v>
      </c>
      <c r="M292" s="47" t="str">
        <f>IFERROR(VLOOKUP(A292,RECEITAS!A:B,2,FALSE),"")</f>
        <v>DIRETO</v>
      </c>
      <c r="N292" s="47">
        <f t="shared" si="14"/>
        <v>60</v>
      </c>
      <c r="Q292" t="s">
        <v>35</v>
      </c>
    </row>
    <row r="293" spans="1:17" x14ac:dyDescent="0.3">
      <c r="A293" t="s">
        <v>35</v>
      </c>
      <c r="B293" t="s">
        <v>145</v>
      </c>
      <c r="C293">
        <v>10</v>
      </c>
      <c r="D293">
        <v>0.1</v>
      </c>
      <c r="E293" t="s">
        <v>225</v>
      </c>
      <c r="F293" s="35">
        <v>43260</v>
      </c>
      <c r="G293">
        <v>6</v>
      </c>
      <c r="H293">
        <v>8.4</v>
      </c>
      <c r="I293">
        <v>84</v>
      </c>
      <c r="K293" s="47">
        <f t="shared" si="12"/>
        <v>6.0000000000000009</v>
      </c>
      <c r="L293" s="47" t="str">
        <f t="shared" si="13"/>
        <v>sáb</v>
      </c>
      <c r="M293" s="47" t="str">
        <f>IFERROR(VLOOKUP(A293,RECEITAS!A:B,2,FALSE),"")</f>
        <v>DIRETO</v>
      </c>
      <c r="N293" s="47">
        <f t="shared" si="14"/>
        <v>60</v>
      </c>
      <c r="Q293" t="s">
        <v>54</v>
      </c>
    </row>
    <row r="294" spans="1:17" x14ac:dyDescent="0.3">
      <c r="A294" t="s">
        <v>49</v>
      </c>
      <c r="B294" t="s">
        <v>155</v>
      </c>
      <c r="C294">
        <v>2</v>
      </c>
      <c r="D294">
        <v>7.0000000000000007E-2</v>
      </c>
      <c r="E294" t="s">
        <v>176</v>
      </c>
      <c r="F294" s="35">
        <v>43260</v>
      </c>
      <c r="G294">
        <v>6</v>
      </c>
      <c r="H294">
        <v>10.49</v>
      </c>
      <c r="I294">
        <v>20.98</v>
      </c>
      <c r="K294" s="47">
        <f t="shared" si="12"/>
        <v>0.84000000000000008</v>
      </c>
      <c r="L294" s="47" t="str">
        <f t="shared" si="13"/>
        <v>sáb</v>
      </c>
      <c r="M294" s="47" t="str">
        <f>IFERROR(VLOOKUP(A294,RECEITAS!A:B,2,FALSE),"")</f>
        <v>DIRETO</v>
      </c>
      <c r="N294" s="47">
        <f t="shared" si="14"/>
        <v>12</v>
      </c>
    </row>
    <row r="295" spans="1:17" x14ac:dyDescent="0.3">
      <c r="A295" t="s">
        <v>21</v>
      </c>
      <c r="B295" t="s">
        <v>155</v>
      </c>
      <c r="C295">
        <v>42</v>
      </c>
      <c r="D295">
        <v>7.0000000000000007E-2</v>
      </c>
      <c r="E295" t="s">
        <v>176</v>
      </c>
      <c r="F295" s="35">
        <v>43260</v>
      </c>
      <c r="G295">
        <v>6</v>
      </c>
      <c r="H295">
        <v>8.49</v>
      </c>
      <c r="I295">
        <v>356.58</v>
      </c>
      <c r="K295" s="47">
        <f t="shared" si="12"/>
        <v>17.64</v>
      </c>
      <c r="L295" s="47" t="str">
        <f t="shared" si="13"/>
        <v>sáb</v>
      </c>
      <c r="M295" s="47" t="str">
        <f>IFERROR(VLOOKUP(A295,RECEITAS!A:B,2,FALSE),"")</f>
        <v>DIRETO</v>
      </c>
      <c r="N295" s="47">
        <f t="shared" si="14"/>
        <v>252</v>
      </c>
    </row>
    <row r="296" spans="1:17" x14ac:dyDescent="0.3">
      <c r="A296" t="s">
        <v>25</v>
      </c>
      <c r="B296" t="s">
        <v>172</v>
      </c>
      <c r="C296">
        <v>10</v>
      </c>
      <c r="D296">
        <v>0.11</v>
      </c>
      <c r="E296" t="s">
        <v>198</v>
      </c>
      <c r="F296" s="35">
        <v>43260</v>
      </c>
      <c r="G296">
        <v>6</v>
      </c>
      <c r="H296">
        <v>12.42</v>
      </c>
      <c r="I296">
        <v>124.2</v>
      </c>
      <c r="K296" s="47">
        <f t="shared" si="12"/>
        <v>6.6000000000000005</v>
      </c>
      <c r="L296" s="47" t="str">
        <f t="shared" si="13"/>
        <v>sáb</v>
      </c>
      <c r="M296" s="47" t="str">
        <f>IFERROR(VLOOKUP(A296,RECEITAS!A:B,2,FALSE),"")</f>
        <v>DIRETO</v>
      </c>
      <c r="N296" s="47">
        <f t="shared" si="14"/>
        <v>60</v>
      </c>
    </row>
    <row r="297" spans="1:17" x14ac:dyDescent="0.3">
      <c r="A297" t="s">
        <v>21</v>
      </c>
      <c r="B297" t="s">
        <v>145</v>
      </c>
      <c r="C297">
        <v>15</v>
      </c>
      <c r="D297">
        <v>0.1</v>
      </c>
      <c r="E297" t="s">
        <v>198</v>
      </c>
      <c r="F297" s="35">
        <v>43260</v>
      </c>
      <c r="G297">
        <v>6</v>
      </c>
      <c r="H297">
        <v>12.42</v>
      </c>
      <c r="I297">
        <v>186.3</v>
      </c>
      <c r="K297" s="47">
        <f t="shared" si="12"/>
        <v>9.0000000000000018</v>
      </c>
      <c r="L297" s="47" t="str">
        <f t="shared" si="13"/>
        <v>sáb</v>
      </c>
      <c r="M297" s="47" t="str">
        <f>IFERROR(VLOOKUP(A297,RECEITAS!A:B,2,FALSE),"")</f>
        <v>DIRETO</v>
      </c>
      <c r="N297" s="47">
        <f t="shared" si="14"/>
        <v>90</v>
      </c>
    </row>
    <row r="298" spans="1:17" x14ac:dyDescent="0.3">
      <c r="A298" t="s">
        <v>21</v>
      </c>
      <c r="B298" t="s">
        <v>159</v>
      </c>
      <c r="C298">
        <v>1</v>
      </c>
      <c r="D298">
        <v>0.06</v>
      </c>
      <c r="E298" t="s">
        <v>198</v>
      </c>
      <c r="F298" s="35">
        <v>43260</v>
      </c>
      <c r="G298">
        <v>8</v>
      </c>
      <c r="H298">
        <v>6.31</v>
      </c>
      <c r="I298">
        <v>6.31</v>
      </c>
      <c r="K298" s="47">
        <f t="shared" si="12"/>
        <v>0.48</v>
      </c>
      <c r="L298" s="47" t="str">
        <f t="shared" si="13"/>
        <v>sáb</v>
      </c>
      <c r="M298" s="47" t="str">
        <f>IFERROR(VLOOKUP(A298,RECEITAS!A:B,2,FALSE),"")</f>
        <v>DIRETO</v>
      </c>
      <c r="N298" s="47">
        <f t="shared" si="14"/>
        <v>8</v>
      </c>
    </row>
    <row r="299" spans="1:17" x14ac:dyDescent="0.3">
      <c r="A299" t="s">
        <v>20</v>
      </c>
      <c r="B299" t="s">
        <v>145</v>
      </c>
      <c r="C299">
        <v>10</v>
      </c>
      <c r="D299">
        <v>0.1</v>
      </c>
      <c r="E299" t="s">
        <v>198</v>
      </c>
      <c r="F299" s="35">
        <v>43260</v>
      </c>
      <c r="G299">
        <v>6</v>
      </c>
      <c r="H299">
        <v>11.18</v>
      </c>
      <c r="I299">
        <v>111.8</v>
      </c>
      <c r="K299" s="47">
        <f t="shared" si="12"/>
        <v>6.0000000000000009</v>
      </c>
      <c r="L299" s="47" t="str">
        <f t="shared" si="13"/>
        <v>sáb</v>
      </c>
      <c r="M299" s="47" t="str">
        <f>IFERROR(VLOOKUP(A299,RECEITAS!A:B,2,FALSE),"")</f>
        <v>DIRETO</v>
      </c>
      <c r="N299" s="47">
        <f t="shared" si="14"/>
        <v>60</v>
      </c>
    </row>
    <row r="300" spans="1:17" x14ac:dyDescent="0.3">
      <c r="A300" t="s">
        <v>21</v>
      </c>
      <c r="B300" t="s">
        <v>145</v>
      </c>
      <c r="C300">
        <v>15</v>
      </c>
      <c r="D300">
        <v>0.1</v>
      </c>
      <c r="E300" t="s">
        <v>198</v>
      </c>
      <c r="F300" s="35">
        <v>43260</v>
      </c>
      <c r="G300">
        <v>6</v>
      </c>
      <c r="H300">
        <v>10.07</v>
      </c>
      <c r="I300">
        <v>151.05000000000001</v>
      </c>
      <c r="K300" s="47">
        <f t="shared" si="12"/>
        <v>9.0000000000000018</v>
      </c>
      <c r="L300" s="47" t="str">
        <f t="shared" si="13"/>
        <v>sáb</v>
      </c>
      <c r="M300" s="47" t="str">
        <f>IFERROR(VLOOKUP(A300,RECEITAS!A:B,2,FALSE),"")</f>
        <v>DIRETO</v>
      </c>
      <c r="N300" s="47">
        <f t="shared" si="14"/>
        <v>90</v>
      </c>
    </row>
    <row r="301" spans="1:17" x14ac:dyDescent="0.3">
      <c r="A301" t="s">
        <v>33</v>
      </c>
      <c r="B301" t="s">
        <v>145</v>
      </c>
      <c r="C301">
        <v>15</v>
      </c>
      <c r="D301">
        <v>0.1</v>
      </c>
      <c r="E301" t="s">
        <v>226</v>
      </c>
      <c r="F301" s="35">
        <v>43260</v>
      </c>
      <c r="G301">
        <v>6</v>
      </c>
      <c r="H301">
        <v>10.35</v>
      </c>
      <c r="I301">
        <v>155.25</v>
      </c>
      <c r="K301" s="47">
        <f t="shared" si="12"/>
        <v>9.0000000000000018</v>
      </c>
      <c r="L301" s="47" t="str">
        <f t="shared" si="13"/>
        <v>sáb</v>
      </c>
      <c r="M301" s="47" t="str">
        <f>IFERROR(VLOOKUP(A301,RECEITAS!A:B,2,FALSE),"")</f>
        <v>DIRETO</v>
      </c>
      <c r="N301" s="47">
        <f t="shared" si="14"/>
        <v>90</v>
      </c>
    </row>
    <row r="302" spans="1:17" x14ac:dyDescent="0.3">
      <c r="A302" t="s">
        <v>32</v>
      </c>
      <c r="B302" t="s">
        <v>145</v>
      </c>
      <c r="C302">
        <v>5</v>
      </c>
      <c r="D302">
        <v>0.1</v>
      </c>
      <c r="E302" t="s">
        <v>226</v>
      </c>
      <c r="F302" s="35">
        <v>43260</v>
      </c>
      <c r="G302">
        <v>6</v>
      </c>
      <c r="H302">
        <v>10.35</v>
      </c>
      <c r="I302">
        <v>51.75</v>
      </c>
      <c r="K302" s="47">
        <f t="shared" si="12"/>
        <v>3.0000000000000004</v>
      </c>
      <c r="L302" s="47" t="str">
        <f t="shared" si="13"/>
        <v>sáb</v>
      </c>
      <c r="M302" s="47" t="str">
        <f>IFERROR(VLOOKUP(A302,RECEITAS!A:B,2,FALSE),"")</f>
        <v>DIRETO</v>
      </c>
      <c r="N302" s="47">
        <f t="shared" si="14"/>
        <v>30</v>
      </c>
    </row>
    <row r="303" spans="1:17" x14ac:dyDescent="0.3">
      <c r="A303" t="s">
        <v>21</v>
      </c>
      <c r="B303" t="s">
        <v>145</v>
      </c>
      <c r="C303">
        <v>3</v>
      </c>
      <c r="D303">
        <v>0.1</v>
      </c>
      <c r="E303" t="s">
        <v>147</v>
      </c>
      <c r="F303" s="35">
        <v>43260</v>
      </c>
      <c r="G303">
        <v>6</v>
      </c>
      <c r="H303">
        <v>10.07</v>
      </c>
      <c r="I303">
        <v>30.21</v>
      </c>
      <c r="K303" s="47">
        <f t="shared" si="12"/>
        <v>1.8000000000000003</v>
      </c>
      <c r="L303" s="47" t="str">
        <f t="shared" si="13"/>
        <v>sáb</v>
      </c>
      <c r="M303" s="47" t="str">
        <f>IFERROR(VLOOKUP(A303,RECEITAS!A:B,2,FALSE),"")</f>
        <v>DIRETO</v>
      </c>
      <c r="N303" s="47">
        <f t="shared" si="14"/>
        <v>18</v>
      </c>
    </row>
    <row r="304" spans="1:17" x14ac:dyDescent="0.3">
      <c r="A304" t="s">
        <v>20</v>
      </c>
      <c r="B304" t="s">
        <v>145</v>
      </c>
      <c r="C304">
        <v>20</v>
      </c>
      <c r="D304">
        <v>0.1</v>
      </c>
      <c r="E304" t="s">
        <v>158</v>
      </c>
      <c r="F304" s="35">
        <v>43260</v>
      </c>
      <c r="G304">
        <v>6</v>
      </c>
      <c r="H304">
        <v>11.18</v>
      </c>
      <c r="I304">
        <v>223.6</v>
      </c>
      <c r="K304" s="47">
        <f t="shared" si="12"/>
        <v>12.000000000000002</v>
      </c>
      <c r="L304" s="47" t="str">
        <f t="shared" si="13"/>
        <v>sáb</v>
      </c>
      <c r="M304" s="47" t="str">
        <f>IFERROR(VLOOKUP(A304,RECEITAS!A:B,2,FALSE),"")</f>
        <v>DIRETO</v>
      </c>
      <c r="N304" s="47">
        <f t="shared" si="14"/>
        <v>120</v>
      </c>
    </row>
    <row r="305" spans="1:14" x14ac:dyDescent="0.3">
      <c r="A305" t="s">
        <v>21</v>
      </c>
      <c r="B305" t="s">
        <v>145</v>
      </c>
      <c r="C305">
        <v>50</v>
      </c>
      <c r="D305">
        <v>0.1</v>
      </c>
      <c r="E305" t="s">
        <v>158</v>
      </c>
      <c r="F305" s="35">
        <v>43260</v>
      </c>
      <c r="G305">
        <v>6</v>
      </c>
      <c r="H305">
        <v>10.07</v>
      </c>
      <c r="I305">
        <v>503.5</v>
      </c>
      <c r="K305" s="47">
        <f t="shared" si="12"/>
        <v>30.000000000000004</v>
      </c>
      <c r="L305" s="47" t="str">
        <f t="shared" si="13"/>
        <v>sáb</v>
      </c>
      <c r="M305" s="47" t="str">
        <f>IFERROR(VLOOKUP(A305,RECEITAS!A:B,2,FALSE),"")</f>
        <v>DIRETO</v>
      </c>
      <c r="N305" s="47">
        <f t="shared" si="14"/>
        <v>300</v>
      </c>
    </row>
    <row r="306" spans="1:14" x14ac:dyDescent="0.3">
      <c r="A306" t="s">
        <v>21</v>
      </c>
      <c r="B306" t="s">
        <v>159</v>
      </c>
      <c r="C306">
        <v>5</v>
      </c>
      <c r="D306">
        <v>0.06</v>
      </c>
      <c r="E306" t="s">
        <v>158</v>
      </c>
      <c r="F306" s="35">
        <v>43260</v>
      </c>
      <c r="G306">
        <v>8</v>
      </c>
      <c r="H306">
        <v>6.16</v>
      </c>
      <c r="I306">
        <v>30.8</v>
      </c>
      <c r="K306" s="47">
        <f t="shared" si="12"/>
        <v>2.4</v>
      </c>
      <c r="L306" s="47" t="str">
        <f t="shared" si="13"/>
        <v>sáb</v>
      </c>
      <c r="M306" s="47" t="str">
        <f>IFERROR(VLOOKUP(A306,RECEITAS!A:B,2,FALSE),"")</f>
        <v>DIRETO</v>
      </c>
      <c r="N306" s="47">
        <f t="shared" si="14"/>
        <v>40</v>
      </c>
    </row>
    <row r="307" spans="1:14" x14ac:dyDescent="0.3">
      <c r="A307" t="s">
        <v>22</v>
      </c>
      <c r="B307" t="s">
        <v>145</v>
      </c>
      <c r="C307">
        <v>6</v>
      </c>
      <c r="D307">
        <v>0.1</v>
      </c>
      <c r="E307" t="s">
        <v>158</v>
      </c>
      <c r="F307" s="35">
        <v>43260</v>
      </c>
      <c r="G307">
        <v>6</v>
      </c>
      <c r="H307">
        <v>12.42</v>
      </c>
      <c r="I307">
        <v>74.52</v>
      </c>
      <c r="K307" s="47">
        <f t="shared" si="12"/>
        <v>3.6000000000000005</v>
      </c>
      <c r="L307" s="47" t="str">
        <f t="shared" si="13"/>
        <v>sáb</v>
      </c>
      <c r="M307" s="47" t="str">
        <f>IFERROR(VLOOKUP(A307,RECEITAS!A:B,2,FALSE),"")</f>
        <v>DIRETO</v>
      </c>
      <c r="N307" s="47">
        <f t="shared" si="14"/>
        <v>36</v>
      </c>
    </row>
    <row r="308" spans="1:14" x14ac:dyDescent="0.3">
      <c r="A308" t="s">
        <v>56</v>
      </c>
      <c r="B308" t="s">
        <v>152</v>
      </c>
      <c r="C308">
        <v>2</v>
      </c>
      <c r="D308">
        <v>0.6</v>
      </c>
      <c r="E308" t="s">
        <v>149</v>
      </c>
      <c r="F308" s="35">
        <v>43260</v>
      </c>
      <c r="G308">
        <v>1</v>
      </c>
      <c r="H308">
        <v>6.79</v>
      </c>
      <c r="I308">
        <v>13.58</v>
      </c>
      <c r="K308" s="47">
        <f t="shared" si="12"/>
        <v>1.2</v>
      </c>
      <c r="L308" s="47" t="str">
        <f t="shared" si="13"/>
        <v>sáb</v>
      </c>
      <c r="M308" s="47" t="str">
        <f>IFERROR(VLOOKUP(A308,RECEITAS!A:B,2,FALSE),"")</f>
        <v>RÚSTICO</v>
      </c>
      <c r="N308" s="47">
        <f t="shared" si="14"/>
        <v>2</v>
      </c>
    </row>
    <row r="309" spans="1:14" x14ac:dyDescent="0.3">
      <c r="A309" t="s">
        <v>23</v>
      </c>
      <c r="B309" t="s">
        <v>156</v>
      </c>
      <c r="C309">
        <v>10</v>
      </c>
      <c r="D309">
        <v>0.35</v>
      </c>
      <c r="E309" t="s">
        <v>149</v>
      </c>
      <c r="F309" s="35">
        <v>43260</v>
      </c>
      <c r="G309">
        <v>1</v>
      </c>
      <c r="K309" s="47">
        <f t="shared" si="12"/>
        <v>3.5</v>
      </c>
      <c r="L309" s="47" t="str">
        <f t="shared" si="13"/>
        <v>sáb</v>
      </c>
      <c r="M309" s="47" t="str">
        <f>IFERROR(VLOOKUP(A309,RECEITAS!A:B,2,FALSE),"")</f>
        <v>RÚSTICO</v>
      </c>
      <c r="N309" s="47">
        <f t="shared" si="14"/>
        <v>10</v>
      </c>
    </row>
    <row r="310" spans="1:14" x14ac:dyDescent="0.3">
      <c r="A310" t="s">
        <v>23</v>
      </c>
      <c r="B310" t="s">
        <v>156</v>
      </c>
      <c r="C310">
        <v>10</v>
      </c>
      <c r="D310">
        <v>0.35</v>
      </c>
      <c r="E310" t="s">
        <v>149</v>
      </c>
      <c r="F310" s="35">
        <v>43260</v>
      </c>
      <c r="G310">
        <v>1</v>
      </c>
      <c r="K310" s="47">
        <f t="shared" si="12"/>
        <v>3.5</v>
      </c>
      <c r="L310" s="47" t="str">
        <f t="shared" si="13"/>
        <v>sáb</v>
      </c>
      <c r="M310" s="47" t="str">
        <f>IFERROR(VLOOKUP(A310,RECEITAS!A:B,2,FALSE),"")</f>
        <v>RÚSTICO</v>
      </c>
      <c r="N310" s="47">
        <f t="shared" si="14"/>
        <v>10</v>
      </c>
    </row>
    <row r="311" spans="1:14" x14ac:dyDescent="0.3">
      <c r="A311" t="s">
        <v>56</v>
      </c>
      <c r="C311">
        <v>16</v>
      </c>
      <c r="D311">
        <v>0.6</v>
      </c>
      <c r="E311" t="s">
        <v>149</v>
      </c>
      <c r="F311" s="35">
        <v>43260</v>
      </c>
      <c r="G311">
        <v>1</v>
      </c>
      <c r="K311" s="47">
        <f t="shared" si="12"/>
        <v>9.6</v>
      </c>
      <c r="L311" s="47" t="str">
        <f t="shared" si="13"/>
        <v>sáb</v>
      </c>
      <c r="M311" s="47" t="str">
        <f>IFERROR(VLOOKUP(A311,RECEITAS!A:B,2,FALSE),"")</f>
        <v>RÚSTICO</v>
      </c>
      <c r="N311" s="47">
        <f t="shared" si="14"/>
        <v>16</v>
      </c>
    </row>
    <row r="312" spans="1:14" x14ac:dyDescent="0.3">
      <c r="A312" t="s">
        <v>24</v>
      </c>
      <c r="C312">
        <v>10</v>
      </c>
      <c r="D312">
        <v>0.25</v>
      </c>
      <c r="E312" t="s">
        <v>149</v>
      </c>
      <c r="F312" s="35">
        <v>43260</v>
      </c>
      <c r="G312">
        <v>1</v>
      </c>
      <c r="K312" s="47">
        <f t="shared" si="12"/>
        <v>2.5</v>
      </c>
      <c r="L312" s="47" t="str">
        <f t="shared" si="13"/>
        <v>sáb</v>
      </c>
      <c r="M312" s="47" t="str">
        <f>IFERROR(VLOOKUP(A312,RECEITAS!A:B,2,FALSE),"")</f>
        <v>RÚSTICO</v>
      </c>
      <c r="N312" s="47">
        <f t="shared" si="14"/>
        <v>10</v>
      </c>
    </row>
    <row r="313" spans="1:14" x14ac:dyDescent="0.3">
      <c r="A313" t="s">
        <v>115</v>
      </c>
      <c r="C313">
        <v>3</v>
      </c>
      <c r="D313">
        <v>0.5</v>
      </c>
      <c r="E313" t="s">
        <v>149</v>
      </c>
      <c r="F313" s="35">
        <v>43260</v>
      </c>
      <c r="G313">
        <v>1</v>
      </c>
      <c r="K313" s="47">
        <f t="shared" si="12"/>
        <v>1.5</v>
      </c>
      <c r="L313" s="47" t="str">
        <f t="shared" si="13"/>
        <v>sáb</v>
      </c>
      <c r="M313" s="47" t="str">
        <f>IFERROR(VLOOKUP(A313,RECEITAS!A:B,2,FALSE),"")</f>
        <v>RÚSTICO</v>
      </c>
      <c r="N313" s="47">
        <f t="shared" si="14"/>
        <v>3</v>
      </c>
    </row>
    <row r="314" spans="1:14" x14ac:dyDescent="0.3">
      <c r="A314" t="s">
        <v>27</v>
      </c>
      <c r="C314">
        <v>3</v>
      </c>
      <c r="D314">
        <v>0.45</v>
      </c>
      <c r="E314" t="s">
        <v>149</v>
      </c>
      <c r="F314" s="35">
        <v>43260</v>
      </c>
      <c r="G314">
        <v>1</v>
      </c>
      <c r="K314" s="47">
        <f t="shared" si="12"/>
        <v>1.35</v>
      </c>
      <c r="L314" s="47" t="str">
        <f t="shared" si="13"/>
        <v>sáb</v>
      </c>
      <c r="M314" s="47" t="str">
        <f>IFERROR(VLOOKUP(A314,RECEITAS!A:B,2,FALSE),"")</f>
        <v>DIRETO</v>
      </c>
      <c r="N314" s="47">
        <f t="shared" si="14"/>
        <v>3</v>
      </c>
    </row>
    <row r="315" spans="1:14" x14ac:dyDescent="0.3">
      <c r="K315" s="47">
        <f t="shared" si="12"/>
        <v>0</v>
      </c>
      <c r="L315" s="47" t="str">
        <f t="shared" si="13"/>
        <v/>
      </c>
      <c r="M315" s="47" t="str">
        <f>IFERROR(VLOOKUP(A315,RECEITAS!A:B,2,FALSE),"")</f>
        <v/>
      </c>
      <c r="N315" s="47">
        <f t="shared" si="14"/>
        <v>0</v>
      </c>
    </row>
    <row r="316" spans="1:14" x14ac:dyDescent="0.3">
      <c r="K316" s="47">
        <f t="shared" si="12"/>
        <v>0</v>
      </c>
      <c r="L316" s="47" t="str">
        <f t="shared" si="13"/>
        <v/>
      </c>
      <c r="M316" s="47" t="str">
        <f>IFERROR(VLOOKUP(A316,RECEITAS!A:B,2,FALSE),"")</f>
        <v/>
      </c>
      <c r="N316" s="47">
        <f t="shared" si="14"/>
        <v>0</v>
      </c>
    </row>
    <row r="317" spans="1:14" x14ac:dyDescent="0.3">
      <c r="K317" s="47">
        <f t="shared" si="12"/>
        <v>0</v>
      </c>
      <c r="L317" s="47" t="str">
        <f t="shared" si="13"/>
        <v/>
      </c>
      <c r="M317" s="47" t="str">
        <f>IFERROR(VLOOKUP(A317,RECEITAS!A:B,2,FALSE),"")</f>
        <v/>
      </c>
      <c r="N317" s="47">
        <f t="shared" si="14"/>
        <v>0</v>
      </c>
    </row>
    <row r="318" spans="1:14" x14ac:dyDescent="0.3">
      <c r="K318" s="47">
        <f t="shared" si="12"/>
        <v>0</v>
      </c>
      <c r="L318" s="47" t="str">
        <f t="shared" si="13"/>
        <v/>
      </c>
      <c r="M318" s="47" t="str">
        <f>IFERROR(VLOOKUP(A318,RECEITAS!A:B,2,FALSE),"")</f>
        <v/>
      </c>
      <c r="N318" s="47">
        <f t="shared" si="14"/>
        <v>0</v>
      </c>
    </row>
    <row r="319" spans="1:14" x14ac:dyDescent="0.3">
      <c r="K319" s="47">
        <f t="shared" si="12"/>
        <v>0</v>
      </c>
      <c r="L319" s="47" t="str">
        <f t="shared" si="13"/>
        <v/>
      </c>
      <c r="M319" s="47" t="str">
        <f>IFERROR(VLOOKUP(A319,RECEITAS!A:B,2,FALSE),"")</f>
        <v/>
      </c>
      <c r="N319" s="47">
        <f t="shared" si="14"/>
        <v>0</v>
      </c>
    </row>
    <row r="320" spans="1:14" x14ac:dyDescent="0.3">
      <c r="K320" s="47">
        <f t="shared" si="12"/>
        <v>0</v>
      </c>
      <c r="L320" s="47" t="str">
        <f t="shared" si="13"/>
        <v/>
      </c>
      <c r="M320" s="47" t="str">
        <f>IFERROR(VLOOKUP(A320,RECEITAS!A:B,2,FALSE),"")</f>
        <v/>
      </c>
      <c r="N320" s="47">
        <f t="shared" si="14"/>
        <v>0</v>
      </c>
    </row>
    <row r="321" spans="11:14" x14ac:dyDescent="0.3">
      <c r="K321" s="47">
        <f t="shared" si="12"/>
        <v>0</v>
      </c>
      <c r="L321" s="47" t="str">
        <f t="shared" si="13"/>
        <v/>
      </c>
      <c r="M321" s="47" t="str">
        <f>IFERROR(VLOOKUP(A321,RECEITAS!A:B,2,FALSE),"")</f>
        <v/>
      </c>
      <c r="N321" s="47">
        <f t="shared" si="14"/>
        <v>0</v>
      </c>
    </row>
    <row r="322" spans="11:14" x14ac:dyDescent="0.3">
      <c r="K322" s="47">
        <f t="shared" ref="K322:K385" si="15">G322*D322*C322</f>
        <v>0</v>
      </c>
      <c r="L322" s="47" t="str">
        <f t="shared" ref="L322:L385" si="16">IF(F322=0,"",TEXT(F322,"DDD"))</f>
        <v/>
      </c>
      <c r="M322" s="47" t="str">
        <f>IFERROR(VLOOKUP(A322,RECEITAS!A:B,2,FALSE),"")</f>
        <v/>
      </c>
      <c r="N322" s="47">
        <f t="shared" si="14"/>
        <v>0</v>
      </c>
    </row>
    <row r="323" spans="11:14" x14ac:dyDescent="0.3">
      <c r="K323" s="47">
        <f t="shared" si="15"/>
        <v>0</v>
      </c>
      <c r="L323" s="47" t="str">
        <f t="shared" si="16"/>
        <v/>
      </c>
      <c r="M323" s="47" t="str">
        <f>IFERROR(VLOOKUP(A323,RECEITAS!A:B,2,FALSE),"")</f>
        <v/>
      </c>
      <c r="N323" s="47">
        <f t="shared" ref="N323:N386" si="17">G323*C323</f>
        <v>0</v>
      </c>
    </row>
    <row r="324" spans="11:14" x14ac:dyDescent="0.3">
      <c r="K324" s="47">
        <f t="shared" si="15"/>
        <v>0</v>
      </c>
      <c r="L324" s="47" t="str">
        <f t="shared" si="16"/>
        <v/>
      </c>
      <c r="M324" s="47" t="str">
        <f>IFERROR(VLOOKUP(A324,RECEITAS!A:B,2,FALSE),"")</f>
        <v/>
      </c>
      <c r="N324" s="47">
        <f t="shared" si="17"/>
        <v>0</v>
      </c>
    </row>
    <row r="325" spans="11:14" x14ac:dyDescent="0.3">
      <c r="K325" s="47">
        <f t="shared" si="15"/>
        <v>0</v>
      </c>
      <c r="L325" s="47" t="str">
        <f t="shared" si="16"/>
        <v/>
      </c>
      <c r="M325" s="47" t="str">
        <f>IFERROR(VLOOKUP(A325,RECEITAS!A:B,2,FALSE),"")</f>
        <v/>
      </c>
      <c r="N325" s="47">
        <f t="shared" si="17"/>
        <v>0</v>
      </c>
    </row>
    <row r="326" spans="11:14" x14ac:dyDescent="0.3">
      <c r="K326" s="47">
        <f t="shared" si="15"/>
        <v>0</v>
      </c>
      <c r="L326" s="47" t="str">
        <f t="shared" si="16"/>
        <v/>
      </c>
      <c r="M326" s="47" t="str">
        <f>IFERROR(VLOOKUP(A326,RECEITAS!A:B,2,FALSE),"")</f>
        <v/>
      </c>
      <c r="N326" s="47">
        <f t="shared" si="17"/>
        <v>0</v>
      </c>
    </row>
    <row r="327" spans="11:14" x14ac:dyDescent="0.3">
      <c r="K327" s="47">
        <f t="shared" si="15"/>
        <v>0</v>
      </c>
      <c r="L327" s="47" t="str">
        <f t="shared" si="16"/>
        <v/>
      </c>
      <c r="M327" s="47" t="str">
        <f>IFERROR(VLOOKUP(A327,RECEITAS!A:B,2,FALSE),"")</f>
        <v/>
      </c>
      <c r="N327" s="47">
        <f t="shared" si="17"/>
        <v>0</v>
      </c>
    </row>
    <row r="328" spans="11:14" x14ac:dyDescent="0.3">
      <c r="K328" s="47">
        <f t="shared" si="15"/>
        <v>0</v>
      </c>
      <c r="L328" s="47" t="str">
        <f t="shared" si="16"/>
        <v/>
      </c>
      <c r="M328" s="47" t="str">
        <f>IFERROR(VLOOKUP(A328,RECEITAS!A:B,2,FALSE),"")</f>
        <v/>
      </c>
      <c r="N328" s="47">
        <f t="shared" si="17"/>
        <v>0</v>
      </c>
    </row>
    <row r="329" spans="11:14" x14ac:dyDescent="0.3">
      <c r="K329" s="47">
        <f t="shared" si="15"/>
        <v>0</v>
      </c>
      <c r="L329" s="47" t="str">
        <f t="shared" si="16"/>
        <v/>
      </c>
      <c r="M329" s="47" t="str">
        <f>IFERROR(VLOOKUP(A329,RECEITAS!A:B,2,FALSE),"")</f>
        <v/>
      </c>
      <c r="N329" s="47">
        <f t="shared" si="17"/>
        <v>0</v>
      </c>
    </row>
    <row r="330" spans="11:14" x14ac:dyDescent="0.3">
      <c r="K330" s="47">
        <f t="shared" si="15"/>
        <v>0</v>
      </c>
      <c r="L330" s="47" t="str">
        <f t="shared" si="16"/>
        <v/>
      </c>
      <c r="M330" s="47" t="str">
        <f>IFERROR(VLOOKUP(A330,RECEITAS!A:B,2,FALSE),"")</f>
        <v/>
      </c>
      <c r="N330" s="47">
        <f t="shared" si="17"/>
        <v>0</v>
      </c>
    </row>
    <row r="331" spans="11:14" x14ac:dyDescent="0.3">
      <c r="K331" s="47">
        <f t="shared" si="15"/>
        <v>0</v>
      </c>
      <c r="L331" s="47" t="str">
        <f t="shared" si="16"/>
        <v/>
      </c>
      <c r="M331" s="47" t="str">
        <f>IFERROR(VLOOKUP(A331,RECEITAS!A:B,2,FALSE),"")</f>
        <v/>
      </c>
      <c r="N331" s="47">
        <f t="shared" si="17"/>
        <v>0</v>
      </c>
    </row>
    <row r="332" spans="11:14" x14ac:dyDescent="0.3">
      <c r="K332" s="47">
        <f t="shared" si="15"/>
        <v>0</v>
      </c>
      <c r="L332" s="47" t="str">
        <f t="shared" si="16"/>
        <v/>
      </c>
      <c r="M332" s="47" t="str">
        <f>IFERROR(VLOOKUP(A332,RECEITAS!A:B,2,FALSE),"")</f>
        <v/>
      </c>
      <c r="N332" s="47">
        <f t="shared" si="17"/>
        <v>0</v>
      </c>
    </row>
    <row r="333" spans="11:14" x14ac:dyDescent="0.3">
      <c r="K333" s="47">
        <f t="shared" si="15"/>
        <v>0</v>
      </c>
      <c r="L333" s="47" t="str">
        <f t="shared" si="16"/>
        <v/>
      </c>
      <c r="M333" s="47" t="str">
        <f>IFERROR(VLOOKUP(A333,RECEITAS!A:B,2,FALSE),"")</f>
        <v/>
      </c>
      <c r="N333" s="47">
        <f t="shared" si="17"/>
        <v>0</v>
      </c>
    </row>
    <row r="334" spans="11:14" x14ac:dyDescent="0.3">
      <c r="K334" s="47">
        <f t="shared" si="15"/>
        <v>0</v>
      </c>
      <c r="L334" s="47" t="str">
        <f t="shared" si="16"/>
        <v/>
      </c>
      <c r="M334" s="47" t="str">
        <f>IFERROR(VLOOKUP(A334,RECEITAS!A:B,2,FALSE),"")</f>
        <v/>
      </c>
      <c r="N334" s="47">
        <f t="shared" si="17"/>
        <v>0</v>
      </c>
    </row>
    <row r="335" spans="11:14" x14ac:dyDescent="0.3">
      <c r="K335" s="47">
        <f t="shared" si="15"/>
        <v>0</v>
      </c>
      <c r="L335" s="47" t="str">
        <f t="shared" si="16"/>
        <v/>
      </c>
      <c r="M335" s="47" t="str">
        <f>IFERROR(VLOOKUP(A335,RECEITAS!A:B,2,FALSE),"")</f>
        <v/>
      </c>
      <c r="N335" s="47">
        <f t="shared" si="17"/>
        <v>0</v>
      </c>
    </row>
    <row r="336" spans="11:14" x14ac:dyDescent="0.3">
      <c r="K336" s="47">
        <f t="shared" si="15"/>
        <v>0</v>
      </c>
      <c r="L336" s="47" t="str">
        <f t="shared" si="16"/>
        <v/>
      </c>
      <c r="M336" s="47" t="str">
        <f>IFERROR(VLOOKUP(A336,RECEITAS!A:B,2,FALSE),"")</f>
        <v/>
      </c>
      <c r="N336" s="47">
        <f t="shared" si="17"/>
        <v>0</v>
      </c>
    </row>
    <row r="337" spans="11:14" x14ac:dyDescent="0.3">
      <c r="K337" s="47">
        <f t="shared" si="15"/>
        <v>0</v>
      </c>
      <c r="L337" s="47" t="str">
        <f t="shared" si="16"/>
        <v/>
      </c>
      <c r="M337" s="47" t="str">
        <f>IFERROR(VLOOKUP(A337,RECEITAS!A:B,2,FALSE),"")</f>
        <v/>
      </c>
      <c r="N337" s="47">
        <f t="shared" si="17"/>
        <v>0</v>
      </c>
    </row>
    <row r="338" spans="11:14" x14ac:dyDescent="0.3">
      <c r="K338" s="47">
        <f t="shared" si="15"/>
        <v>0</v>
      </c>
      <c r="L338" s="47" t="str">
        <f t="shared" si="16"/>
        <v/>
      </c>
      <c r="M338" s="47" t="str">
        <f>IFERROR(VLOOKUP(A338,RECEITAS!A:B,2,FALSE),"")</f>
        <v/>
      </c>
      <c r="N338" s="47">
        <f t="shared" si="17"/>
        <v>0</v>
      </c>
    </row>
    <row r="339" spans="11:14" x14ac:dyDescent="0.3">
      <c r="K339" s="47">
        <f t="shared" si="15"/>
        <v>0</v>
      </c>
      <c r="L339" s="47" t="str">
        <f t="shared" si="16"/>
        <v/>
      </c>
      <c r="M339" s="47" t="str">
        <f>IFERROR(VLOOKUP(A339,RECEITAS!A:B,2,FALSE),"")</f>
        <v/>
      </c>
      <c r="N339" s="47">
        <f t="shared" si="17"/>
        <v>0</v>
      </c>
    </row>
    <row r="340" spans="11:14" x14ac:dyDescent="0.3">
      <c r="K340" s="47">
        <f t="shared" si="15"/>
        <v>0</v>
      </c>
      <c r="L340" s="47" t="str">
        <f t="shared" si="16"/>
        <v/>
      </c>
      <c r="M340" s="47" t="str">
        <f>IFERROR(VLOOKUP(A340,RECEITAS!A:B,2,FALSE),"")</f>
        <v/>
      </c>
      <c r="N340" s="47">
        <f t="shared" si="17"/>
        <v>0</v>
      </c>
    </row>
    <row r="341" spans="11:14" x14ac:dyDescent="0.3">
      <c r="K341" s="47">
        <f t="shared" si="15"/>
        <v>0</v>
      </c>
      <c r="L341" s="47" t="str">
        <f t="shared" si="16"/>
        <v/>
      </c>
      <c r="M341" s="47" t="str">
        <f>IFERROR(VLOOKUP(A341,RECEITAS!A:B,2,FALSE),"")</f>
        <v/>
      </c>
      <c r="N341" s="47">
        <f t="shared" si="17"/>
        <v>0</v>
      </c>
    </row>
    <row r="342" spans="11:14" x14ac:dyDescent="0.3">
      <c r="K342" s="47">
        <f t="shared" si="15"/>
        <v>0</v>
      </c>
      <c r="L342" s="47" t="str">
        <f t="shared" si="16"/>
        <v/>
      </c>
      <c r="M342" s="47" t="str">
        <f>IFERROR(VLOOKUP(A342,RECEITAS!A:B,2,FALSE),"")</f>
        <v/>
      </c>
      <c r="N342" s="47">
        <f t="shared" si="17"/>
        <v>0</v>
      </c>
    </row>
    <row r="343" spans="11:14" x14ac:dyDescent="0.3">
      <c r="K343" s="47">
        <f t="shared" si="15"/>
        <v>0</v>
      </c>
      <c r="L343" s="47" t="str">
        <f t="shared" si="16"/>
        <v/>
      </c>
      <c r="M343" s="47" t="str">
        <f>IFERROR(VLOOKUP(A343,RECEITAS!A:B,2,FALSE),"")</f>
        <v/>
      </c>
      <c r="N343" s="47">
        <f t="shared" si="17"/>
        <v>0</v>
      </c>
    </row>
    <row r="344" spans="11:14" x14ac:dyDescent="0.3">
      <c r="K344" s="47">
        <f t="shared" si="15"/>
        <v>0</v>
      </c>
      <c r="L344" s="47" t="str">
        <f t="shared" si="16"/>
        <v/>
      </c>
      <c r="M344" s="47" t="str">
        <f>IFERROR(VLOOKUP(A344,RECEITAS!A:B,2,FALSE),"")</f>
        <v/>
      </c>
      <c r="N344" s="47">
        <f t="shared" si="17"/>
        <v>0</v>
      </c>
    </row>
    <row r="345" spans="11:14" x14ac:dyDescent="0.3">
      <c r="K345" s="47">
        <f t="shared" si="15"/>
        <v>0</v>
      </c>
      <c r="L345" s="47" t="str">
        <f t="shared" si="16"/>
        <v/>
      </c>
      <c r="M345" s="47" t="str">
        <f>IFERROR(VLOOKUP(A345,RECEITAS!A:B,2,FALSE),"")</f>
        <v/>
      </c>
      <c r="N345" s="47">
        <f t="shared" si="17"/>
        <v>0</v>
      </c>
    </row>
    <row r="346" spans="11:14" x14ac:dyDescent="0.3">
      <c r="K346" s="47">
        <f t="shared" si="15"/>
        <v>0</v>
      </c>
      <c r="L346" s="47" t="str">
        <f t="shared" si="16"/>
        <v/>
      </c>
      <c r="M346" s="47" t="str">
        <f>IFERROR(VLOOKUP(A346,RECEITAS!A:B,2,FALSE),"")</f>
        <v/>
      </c>
      <c r="N346" s="47">
        <f t="shared" si="17"/>
        <v>0</v>
      </c>
    </row>
    <row r="347" spans="11:14" x14ac:dyDescent="0.3">
      <c r="K347" s="47">
        <f t="shared" si="15"/>
        <v>0</v>
      </c>
      <c r="L347" s="47" t="str">
        <f t="shared" si="16"/>
        <v/>
      </c>
      <c r="M347" s="47" t="str">
        <f>IFERROR(VLOOKUP(A347,RECEITAS!A:B,2,FALSE),"")</f>
        <v/>
      </c>
      <c r="N347" s="47">
        <f t="shared" si="17"/>
        <v>0</v>
      </c>
    </row>
    <row r="348" spans="11:14" x14ac:dyDescent="0.3">
      <c r="K348" s="47">
        <f t="shared" si="15"/>
        <v>0</v>
      </c>
      <c r="L348" s="47" t="str">
        <f t="shared" si="16"/>
        <v/>
      </c>
      <c r="M348" s="47" t="str">
        <f>IFERROR(VLOOKUP(A348,RECEITAS!A:B,2,FALSE),"")</f>
        <v/>
      </c>
      <c r="N348" s="47">
        <f t="shared" si="17"/>
        <v>0</v>
      </c>
    </row>
    <row r="349" spans="11:14" x14ac:dyDescent="0.3">
      <c r="K349" s="47">
        <f t="shared" si="15"/>
        <v>0</v>
      </c>
      <c r="L349" s="47" t="str">
        <f t="shared" si="16"/>
        <v/>
      </c>
      <c r="M349" s="47" t="str">
        <f>IFERROR(VLOOKUP(A349,RECEITAS!A:B,2,FALSE),"")</f>
        <v/>
      </c>
      <c r="N349" s="47">
        <f t="shared" si="17"/>
        <v>0</v>
      </c>
    </row>
    <row r="350" spans="11:14" x14ac:dyDescent="0.3">
      <c r="K350" s="47">
        <f t="shared" si="15"/>
        <v>0</v>
      </c>
      <c r="L350" s="47" t="str">
        <f t="shared" si="16"/>
        <v/>
      </c>
      <c r="M350" s="47" t="str">
        <f>IFERROR(VLOOKUP(A350,RECEITAS!A:B,2,FALSE),"")</f>
        <v/>
      </c>
      <c r="N350" s="47">
        <f t="shared" si="17"/>
        <v>0</v>
      </c>
    </row>
    <row r="351" spans="11:14" x14ac:dyDescent="0.3">
      <c r="K351" s="47">
        <f t="shared" si="15"/>
        <v>0</v>
      </c>
      <c r="L351" s="47" t="str">
        <f t="shared" si="16"/>
        <v/>
      </c>
      <c r="M351" s="47" t="str">
        <f>IFERROR(VLOOKUP(A351,RECEITAS!A:B,2,FALSE),"")</f>
        <v/>
      </c>
      <c r="N351" s="47">
        <f t="shared" si="17"/>
        <v>0</v>
      </c>
    </row>
    <row r="352" spans="11:14" x14ac:dyDescent="0.3">
      <c r="K352" s="47">
        <f t="shared" si="15"/>
        <v>0</v>
      </c>
      <c r="L352" s="47" t="str">
        <f t="shared" si="16"/>
        <v/>
      </c>
      <c r="M352" s="47" t="str">
        <f>IFERROR(VLOOKUP(A352,RECEITAS!A:B,2,FALSE),"")</f>
        <v/>
      </c>
      <c r="N352" s="47">
        <f t="shared" si="17"/>
        <v>0</v>
      </c>
    </row>
    <row r="353" spans="11:14" x14ac:dyDescent="0.3">
      <c r="K353" s="47">
        <f t="shared" si="15"/>
        <v>0</v>
      </c>
      <c r="L353" s="47" t="str">
        <f t="shared" si="16"/>
        <v/>
      </c>
      <c r="M353" s="47" t="str">
        <f>IFERROR(VLOOKUP(A353,RECEITAS!A:B,2,FALSE),"")</f>
        <v/>
      </c>
      <c r="N353" s="47">
        <f t="shared" si="17"/>
        <v>0</v>
      </c>
    </row>
    <row r="354" spans="11:14" x14ac:dyDescent="0.3">
      <c r="K354" s="47">
        <f t="shared" si="15"/>
        <v>0</v>
      </c>
      <c r="L354" s="47" t="str">
        <f t="shared" si="16"/>
        <v/>
      </c>
      <c r="M354" s="47" t="str">
        <f>IFERROR(VLOOKUP(A354,RECEITAS!A:B,2,FALSE),"")</f>
        <v/>
      </c>
      <c r="N354" s="47">
        <f t="shared" si="17"/>
        <v>0</v>
      </c>
    </row>
    <row r="355" spans="11:14" x14ac:dyDescent="0.3">
      <c r="K355" s="47">
        <f t="shared" si="15"/>
        <v>0</v>
      </c>
      <c r="L355" s="47" t="str">
        <f t="shared" si="16"/>
        <v/>
      </c>
      <c r="M355" s="47" t="str">
        <f>IFERROR(VLOOKUP(A355,RECEITAS!A:B,2,FALSE),"")</f>
        <v/>
      </c>
      <c r="N355" s="47">
        <f t="shared" si="17"/>
        <v>0</v>
      </c>
    </row>
    <row r="356" spans="11:14" x14ac:dyDescent="0.3">
      <c r="K356" s="47">
        <f t="shared" si="15"/>
        <v>0</v>
      </c>
      <c r="L356" s="47" t="str">
        <f t="shared" si="16"/>
        <v/>
      </c>
      <c r="M356" s="47" t="str">
        <f>IFERROR(VLOOKUP(A356,RECEITAS!A:B,2,FALSE),"")</f>
        <v/>
      </c>
      <c r="N356" s="47">
        <f t="shared" si="17"/>
        <v>0</v>
      </c>
    </row>
    <row r="357" spans="11:14" x14ac:dyDescent="0.3">
      <c r="K357" s="47">
        <f t="shared" si="15"/>
        <v>0</v>
      </c>
      <c r="L357" s="47" t="str">
        <f t="shared" si="16"/>
        <v/>
      </c>
      <c r="M357" s="47" t="str">
        <f>IFERROR(VLOOKUP(A357,RECEITAS!A:B,2,FALSE),"")</f>
        <v/>
      </c>
      <c r="N357" s="47">
        <f t="shared" si="17"/>
        <v>0</v>
      </c>
    </row>
    <row r="358" spans="11:14" x14ac:dyDescent="0.3">
      <c r="K358" s="47">
        <f t="shared" si="15"/>
        <v>0</v>
      </c>
      <c r="L358" s="47" t="str">
        <f t="shared" si="16"/>
        <v/>
      </c>
      <c r="M358" s="47" t="str">
        <f>IFERROR(VLOOKUP(A358,RECEITAS!A:B,2,FALSE),"")</f>
        <v/>
      </c>
      <c r="N358" s="47">
        <f t="shared" si="17"/>
        <v>0</v>
      </c>
    </row>
    <row r="359" spans="11:14" x14ac:dyDescent="0.3">
      <c r="K359" s="47">
        <f t="shared" si="15"/>
        <v>0</v>
      </c>
      <c r="L359" s="47" t="str">
        <f t="shared" si="16"/>
        <v/>
      </c>
      <c r="M359" s="47" t="str">
        <f>IFERROR(VLOOKUP(A359,RECEITAS!A:B,2,FALSE),"")</f>
        <v/>
      </c>
      <c r="N359" s="47">
        <f t="shared" si="17"/>
        <v>0</v>
      </c>
    </row>
    <row r="360" spans="11:14" x14ac:dyDescent="0.3">
      <c r="K360" s="47">
        <f t="shared" si="15"/>
        <v>0</v>
      </c>
      <c r="L360" s="47" t="str">
        <f t="shared" si="16"/>
        <v/>
      </c>
      <c r="M360" s="47" t="str">
        <f>IFERROR(VLOOKUP(A360,RECEITAS!A:B,2,FALSE),"")</f>
        <v/>
      </c>
      <c r="N360" s="47">
        <f t="shared" si="17"/>
        <v>0</v>
      </c>
    </row>
    <row r="361" spans="11:14" x14ac:dyDescent="0.3">
      <c r="K361" s="47">
        <f t="shared" si="15"/>
        <v>0</v>
      </c>
      <c r="L361" s="47" t="str">
        <f t="shared" si="16"/>
        <v/>
      </c>
      <c r="M361" s="47" t="str">
        <f>IFERROR(VLOOKUP(A361,RECEITAS!A:B,2,FALSE),"")</f>
        <v/>
      </c>
      <c r="N361" s="47">
        <f t="shared" si="17"/>
        <v>0</v>
      </c>
    </row>
    <row r="362" spans="11:14" x14ac:dyDescent="0.3">
      <c r="K362" s="47">
        <f t="shared" si="15"/>
        <v>0</v>
      </c>
      <c r="L362" s="47" t="str">
        <f t="shared" si="16"/>
        <v/>
      </c>
      <c r="M362" s="47" t="str">
        <f>IFERROR(VLOOKUP(A362,RECEITAS!A:B,2,FALSE),"")</f>
        <v/>
      </c>
      <c r="N362" s="47">
        <f t="shared" si="17"/>
        <v>0</v>
      </c>
    </row>
    <row r="363" spans="11:14" x14ac:dyDescent="0.3">
      <c r="K363" s="47">
        <f t="shared" si="15"/>
        <v>0</v>
      </c>
      <c r="L363" s="47" t="str">
        <f t="shared" si="16"/>
        <v/>
      </c>
      <c r="M363" s="47" t="str">
        <f>IFERROR(VLOOKUP(A363,RECEITAS!A:B,2,FALSE),"")</f>
        <v/>
      </c>
      <c r="N363" s="47">
        <f t="shared" si="17"/>
        <v>0</v>
      </c>
    </row>
    <row r="364" spans="11:14" x14ac:dyDescent="0.3">
      <c r="K364" s="47">
        <f t="shared" si="15"/>
        <v>0</v>
      </c>
      <c r="L364" s="47" t="str">
        <f t="shared" si="16"/>
        <v/>
      </c>
      <c r="M364" s="47" t="str">
        <f>IFERROR(VLOOKUP(A364,RECEITAS!A:B,2,FALSE),"")</f>
        <v/>
      </c>
      <c r="N364" s="47">
        <f t="shared" si="17"/>
        <v>0</v>
      </c>
    </row>
    <row r="365" spans="11:14" x14ac:dyDescent="0.3">
      <c r="K365" s="47">
        <f t="shared" si="15"/>
        <v>0</v>
      </c>
      <c r="L365" s="47" t="str">
        <f t="shared" si="16"/>
        <v/>
      </c>
      <c r="M365" s="47" t="str">
        <f>IFERROR(VLOOKUP(A365,RECEITAS!A:B,2,FALSE),"")</f>
        <v/>
      </c>
      <c r="N365" s="47">
        <f t="shared" si="17"/>
        <v>0</v>
      </c>
    </row>
    <row r="366" spans="11:14" x14ac:dyDescent="0.3">
      <c r="K366" s="47">
        <f t="shared" si="15"/>
        <v>0</v>
      </c>
      <c r="L366" s="47" t="str">
        <f t="shared" si="16"/>
        <v/>
      </c>
      <c r="M366" s="47" t="str">
        <f>IFERROR(VLOOKUP(A366,RECEITAS!A:B,2,FALSE),"")</f>
        <v/>
      </c>
      <c r="N366" s="47">
        <f t="shared" si="17"/>
        <v>0</v>
      </c>
    </row>
    <row r="367" spans="11:14" x14ac:dyDescent="0.3">
      <c r="K367" s="47">
        <f t="shared" si="15"/>
        <v>0</v>
      </c>
      <c r="L367" s="47" t="str">
        <f t="shared" si="16"/>
        <v/>
      </c>
      <c r="M367" s="47" t="str">
        <f>IFERROR(VLOOKUP(A367,RECEITAS!A:B,2,FALSE),"")</f>
        <v/>
      </c>
      <c r="N367" s="47">
        <f t="shared" si="17"/>
        <v>0</v>
      </c>
    </row>
    <row r="368" spans="11:14" x14ac:dyDescent="0.3">
      <c r="K368" s="47">
        <f t="shared" si="15"/>
        <v>0</v>
      </c>
      <c r="L368" s="47" t="str">
        <f t="shared" si="16"/>
        <v/>
      </c>
      <c r="M368" s="47" t="str">
        <f>IFERROR(VLOOKUP(A368,RECEITAS!A:B,2,FALSE),"")</f>
        <v/>
      </c>
      <c r="N368" s="47">
        <f t="shared" si="17"/>
        <v>0</v>
      </c>
    </row>
    <row r="369" spans="11:14" x14ac:dyDescent="0.3">
      <c r="K369" s="47">
        <f t="shared" si="15"/>
        <v>0</v>
      </c>
      <c r="L369" s="47" t="str">
        <f t="shared" si="16"/>
        <v/>
      </c>
      <c r="M369" s="47" t="str">
        <f>IFERROR(VLOOKUP(A369,RECEITAS!A:B,2,FALSE),"")</f>
        <v/>
      </c>
      <c r="N369" s="47">
        <f t="shared" si="17"/>
        <v>0</v>
      </c>
    </row>
    <row r="370" spans="11:14" x14ac:dyDescent="0.3">
      <c r="K370" s="47">
        <f t="shared" si="15"/>
        <v>0</v>
      </c>
      <c r="L370" s="47" t="str">
        <f t="shared" si="16"/>
        <v/>
      </c>
      <c r="M370" s="47" t="str">
        <f>IFERROR(VLOOKUP(A370,RECEITAS!A:B,2,FALSE),"")</f>
        <v/>
      </c>
      <c r="N370" s="47">
        <f t="shared" si="17"/>
        <v>0</v>
      </c>
    </row>
    <row r="371" spans="11:14" x14ac:dyDescent="0.3">
      <c r="K371" s="47">
        <f t="shared" si="15"/>
        <v>0</v>
      </c>
      <c r="L371" s="47" t="str">
        <f t="shared" si="16"/>
        <v/>
      </c>
      <c r="M371" s="47" t="str">
        <f>IFERROR(VLOOKUP(A371,RECEITAS!A:B,2,FALSE),"")</f>
        <v/>
      </c>
      <c r="N371" s="47">
        <f t="shared" si="17"/>
        <v>0</v>
      </c>
    </row>
    <row r="372" spans="11:14" x14ac:dyDescent="0.3">
      <c r="K372" s="47">
        <f t="shared" si="15"/>
        <v>0</v>
      </c>
      <c r="L372" s="47" t="str">
        <f t="shared" si="16"/>
        <v/>
      </c>
      <c r="M372" s="47" t="str">
        <f>IFERROR(VLOOKUP(A372,RECEITAS!A:B,2,FALSE),"")</f>
        <v/>
      </c>
      <c r="N372" s="47">
        <f t="shared" si="17"/>
        <v>0</v>
      </c>
    </row>
    <row r="373" spans="11:14" x14ac:dyDescent="0.3">
      <c r="K373" s="47">
        <f t="shared" si="15"/>
        <v>0</v>
      </c>
      <c r="L373" s="47" t="str">
        <f t="shared" si="16"/>
        <v/>
      </c>
      <c r="M373" s="47" t="str">
        <f>IFERROR(VLOOKUP(A373,RECEITAS!A:B,2,FALSE),"")</f>
        <v/>
      </c>
      <c r="N373" s="47">
        <f t="shared" si="17"/>
        <v>0</v>
      </c>
    </row>
    <row r="374" spans="11:14" x14ac:dyDescent="0.3">
      <c r="K374" s="47">
        <f t="shared" si="15"/>
        <v>0</v>
      </c>
      <c r="L374" s="47" t="str">
        <f t="shared" si="16"/>
        <v/>
      </c>
      <c r="M374" s="47" t="str">
        <f>IFERROR(VLOOKUP(A374,RECEITAS!A:B,2,FALSE),"")</f>
        <v/>
      </c>
      <c r="N374" s="47">
        <f t="shared" si="17"/>
        <v>0</v>
      </c>
    </row>
    <row r="375" spans="11:14" x14ac:dyDescent="0.3">
      <c r="K375" s="47">
        <f t="shared" si="15"/>
        <v>0</v>
      </c>
      <c r="L375" s="47" t="str">
        <f t="shared" si="16"/>
        <v/>
      </c>
      <c r="M375" s="47" t="str">
        <f>IFERROR(VLOOKUP(A375,RECEITAS!A:B,2,FALSE),"")</f>
        <v/>
      </c>
      <c r="N375" s="47">
        <f t="shared" si="17"/>
        <v>0</v>
      </c>
    </row>
    <row r="376" spans="11:14" x14ac:dyDescent="0.3">
      <c r="K376" s="47">
        <f t="shared" si="15"/>
        <v>0</v>
      </c>
      <c r="L376" s="47" t="str">
        <f t="shared" si="16"/>
        <v/>
      </c>
      <c r="M376" s="47" t="str">
        <f>IFERROR(VLOOKUP(A376,RECEITAS!A:B,2,FALSE),"")</f>
        <v/>
      </c>
      <c r="N376" s="47">
        <f t="shared" si="17"/>
        <v>0</v>
      </c>
    </row>
    <row r="377" spans="11:14" x14ac:dyDescent="0.3">
      <c r="K377" s="47">
        <f t="shared" si="15"/>
        <v>0</v>
      </c>
      <c r="L377" s="47" t="str">
        <f t="shared" si="16"/>
        <v/>
      </c>
      <c r="M377" s="47" t="str">
        <f>IFERROR(VLOOKUP(A377,RECEITAS!A:B,2,FALSE),"")</f>
        <v/>
      </c>
      <c r="N377" s="47">
        <f t="shared" si="17"/>
        <v>0</v>
      </c>
    </row>
    <row r="378" spans="11:14" x14ac:dyDescent="0.3">
      <c r="K378" s="47">
        <f t="shared" si="15"/>
        <v>0</v>
      </c>
      <c r="L378" s="47" t="str">
        <f t="shared" si="16"/>
        <v/>
      </c>
      <c r="M378" s="47" t="str">
        <f>IFERROR(VLOOKUP(A378,RECEITAS!A:B,2,FALSE),"")</f>
        <v/>
      </c>
      <c r="N378" s="47">
        <f t="shared" si="17"/>
        <v>0</v>
      </c>
    </row>
    <row r="379" spans="11:14" x14ac:dyDescent="0.3">
      <c r="K379" s="47">
        <f t="shared" si="15"/>
        <v>0</v>
      </c>
      <c r="L379" s="47" t="str">
        <f t="shared" si="16"/>
        <v/>
      </c>
      <c r="M379" s="47" t="str">
        <f>IFERROR(VLOOKUP(A379,RECEITAS!A:B,2,FALSE),"")</f>
        <v/>
      </c>
      <c r="N379" s="47">
        <f t="shared" si="17"/>
        <v>0</v>
      </c>
    </row>
    <row r="380" spans="11:14" x14ac:dyDescent="0.3">
      <c r="K380" s="47">
        <f t="shared" si="15"/>
        <v>0</v>
      </c>
      <c r="L380" s="47" t="str">
        <f t="shared" si="16"/>
        <v/>
      </c>
      <c r="M380" s="47" t="str">
        <f>IFERROR(VLOOKUP(A380,RECEITAS!A:B,2,FALSE),"")</f>
        <v/>
      </c>
      <c r="N380" s="47">
        <f t="shared" si="17"/>
        <v>0</v>
      </c>
    </row>
    <row r="381" spans="11:14" x14ac:dyDescent="0.3">
      <c r="K381" s="47">
        <f t="shared" si="15"/>
        <v>0</v>
      </c>
      <c r="L381" s="47" t="str">
        <f t="shared" si="16"/>
        <v/>
      </c>
      <c r="M381" s="47" t="str">
        <f>IFERROR(VLOOKUP(A381,RECEITAS!A:B,2,FALSE),"")</f>
        <v/>
      </c>
      <c r="N381" s="47">
        <f t="shared" si="17"/>
        <v>0</v>
      </c>
    </row>
    <row r="382" spans="11:14" x14ac:dyDescent="0.3">
      <c r="K382" s="47">
        <f t="shared" si="15"/>
        <v>0</v>
      </c>
      <c r="L382" s="47" t="str">
        <f t="shared" si="16"/>
        <v/>
      </c>
      <c r="M382" s="47" t="str">
        <f>IFERROR(VLOOKUP(A382,RECEITAS!A:B,2,FALSE),"")</f>
        <v/>
      </c>
      <c r="N382" s="47">
        <f t="shared" si="17"/>
        <v>0</v>
      </c>
    </row>
    <row r="383" spans="11:14" x14ac:dyDescent="0.3">
      <c r="K383" s="47">
        <f t="shared" si="15"/>
        <v>0</v>
      </c>
      <c r="L383" s="47" t="str">
        <f t="shared" si="16"/>
        <v/>
      </c>
      <c r="M383" s="47" t="str">
        <f>IFERROR(VLOOKUP(A383,RECEITAS!A:B,2,FALSE),"")</f>
        <v/>
      </c>
      <c r="N383" s="47">
        <f t="shared" si="17"/>
        <v>0</v>
      </c>
    </row>
    <row r="384" spans="11:14" x14ac:dyDescent="0.3">
      <c r="K384" s="47">
        <f t="shared" si="15"/>
        <v>0</v>
      </c>
      <c r="L384" s="47" t="str">
        <f t="shared" si="16"/>
        <v/>
      </c>
      <c r="M384" s="47" t="str">
        <f>IFERROR(VLOOKUP(A384,RECEITAS!A:B,2,FALSE),"")</f>
        <v/>
      </c>
      <c r="N384" s="47">
        <f t="shared" si="17"/>
        <v>0</v>
      </c>
    </row>
    <row r="385" spans="11:14" x14ac:dyDescent="0.3">
      <c r="K385" s="47">
        <f t="shared" si="15"/>
        <v>0</v>
      </c>
      <c r="L385" s="47" t="str">
        <f t="shared" si="16"/>
        <v/>
      </c>
      <c r="M385" s="47" t="str">
        <f>IFERROR(VLOOKUP(A385,RECEITAS!A:B,2,FALSE),"")</f>
        <v/>
      </c>
      <c r="N385" s="47">
        <f t="shared" si="17"/>
        <v>0</v>
      </c>
    </row>
    <row r="386" spans="11:14" x14ac:dyDescent="0.3">
      <c r="K386" s="47">
        <f t="shared" ref="K386:K449" si="18">G386*D386*C386</f>
        <v>0</v>
      </c>
      <c r="L386" s="47" t="str">
        <f t="shared" ref="L386:L449" si="19">IF(F386=0,"",TEXT(F386,"DDD"))</f>
        <v/>
      </c>
      <c r="M386" s="47" t="str">
        <f>IFERROR(VLOOKUP(A386,RECEITAS!A:B,2,FALSE),"")</f>
        <v/>
      </c>
      <c r="N386" s="47">
        <f t="shared" si="17"/>
        <v>0</v>
      </c>
    </row>
    <row r="387" spans="11:14" x14ac:dyDescent="0.3">
      <c r="K387" s="47">
        <f t="shared" si="18"/>
        <v>0</v>
      </c>
      <c r="L387" s="47" t="str">
        <f t="shared" si="19"/>
        <v/>
      </c>
      <c r="M387" s="47" t="str">
        <f>IFERROR(VLOOKUP(A387,RECEITAS!A:B,2,FALSE),"")</f>
        <v/>
      </c>
      <c r="N387" s="47">
        <f t="shared" ref="N387:N450" si="20">G387*C387</f>
        <v>0</v>
      </c>
    </row>
    <row r="388" spans="11:14" x14ac:dyDescent="0.3">
      <c r="K388" s="47">
        <f t="shared" si="18"/>
        <v>0</v>
      </c>
      <c r="L388" s="47" t="str">
        <f t="shared" si="19"/>
        <v/>
      </c>
      <c r="M388" s="47" t="str">
        <f>IFERROR(VLOOKUP(A388,RECEITAS!A:B,2,FALSE),"")</f>
        <v/>
      </c>
      <c r="N388" s="47">
        <f t="shared" si="20"/>
        <v>0</v>
      </c>
    </row>
    <row r="389" spans="11:14" x14ac:dyDescent="0.3">
      <c r="K389" s="47">
        <f t="shared" si="18"/>
        <v>0</v>
      </c>
      <c r="L389" s="47" t="str">
        <f t="shared" si="19"/>
        <v/>
      </c>
      <c r="M389" s="47" t="str">
        <f>IFERROR(VLOOKUP(A389,RECEITAS!A:B,2,FALSE),"")</f>
        <v/>
      </c>
      <c r="N389" s="47">
        <f t="shared" si="20"/>
        <v>0</v>
      </c>
    </row>
    <row r="390" spans="11:14" x14ac:dyDescent="0.3">
      <c r="K390" s="47">
        <f t="shared" si="18"/>
        <v>0</v>
      </c>
      <c r="L390" s="47" t="str">
        <f t="shared" si="19"/>
        <v/>
      </c>
      <c r="M390" s="47" t="str">
        <f>IFERROR(VLOOKUP(A390,RECEITAS!A:B,2,FALSE),"")</f>
        <v/>
      </c>
      <c r="N390" s="47">
        <f t="shared" si="20"/>
        <v>0</v>
      </c>
    </row>
    <row r="391" spans="11:14" x14ac:dyDescent="0.3">
      <c r="K391" s="47">
        <f t="shared" si="18"/>
        <v>0</v>
      </c>
      <c r="L391" s="47" t="str">
        <f t="shared" si="19"/>
        <v/>
      </c>
      <c r="M391" s="47" t="str">
        <f>IFERROR(VLOOKUP(A391,RECEITAS!A:B,2,FALSE),"")</f>
        <v/>
      </c>
      <c r="N391" s="47">
        <f t="shared" si="20"/>
        <v>0</v>
      </c>
    </row>
    <row r="392" spans="11:14" x14ac:dyDescent="0.3">
      <c r="K392" s="47">
        <f t="shared" si="18"/>
        <v>0</v>
      </c>
      <c r="L392" s="47" t="str">
        <f t="shared" si="19"/>
        <v/>
      </c>
      <c r="M392" s="47" t="str">
        <f>IFERROR(VLOOKUP(A392,RECEITAS!A:B,2,FALSE),"")</f>
        <v/>
      </c>
      <c r="N392" s="47">
        <f t="shared" si="20"/>
        <v>0</v>
      </c>
    </row>
    <row r="393" spans="11:14" x14ac:dyDescent="0.3">
      <c r="K393" s="47">
        <f t="shared" si="18"/>
        <v>0</v>
      </c>
      <c r="L393" s="47" t="str">
        <f t="shared" si="19"/>
        <v/>
      </c>
      <c r="M393" s="47" t="str">
        <f>IFERROR(VLOOKUP(A393,RECEITAS!A:B,2,FALSE),"")</f>
        <v/>
      </c>
      <c r="N393" s="47">
        <f t="shared" si="20"/>
        <v>0</v>
      </c>
    </row>
    <row r="394" spans="11:14" x14ac:dyDescent="0.3">
      <c r="K394" s="47">
        <f t="shared" si="18"/>
        <v>0</v>
      </c>
      <c r="L394" s="47" t="str">
        <f t="shared" si="19"/>
        <v/>
      </c>
      <c r="M394" s="47" t="str">
        <f>IFERROR(VLOOKUP(A394,RECEITAS!A:B,2,FALSE),"")</f>
        <v/>
      </c>
      <c r="N394" s="47">
        <f t="shared" si="20"/>
        <v>0</v>
      </c>
    </row>
    <row r="395" spans="11:14" x14ac:dyDescent="0.3">
      <c r="K395" s="47">
        <f t="shared" si="18"/>
        <v>0</v>
      </c>
      <c r="L395" s="47" t="str">
        <f t="shared" si="19"/>
        <v/>
      </c>
      <c r="M395" s="47" t="str">
        <f>IFERROR(VLOOKUP(A395,RECEITAS!A:B,2,FALSE),"")</f>
        <v/>
      </c>
      <c r="N395" s="47">
        <f t="shared" si="20"/>
        <v>0</v>
      </c>
    </row>
    <row r="396" spans="11:14" x14ac:dyDescent="0.3">
      <c r="K396" s="47">
        <f t="shared" si="18"/>
        <v>0</v>
      </c>
      <c r="L396" s="47" t="str">
        <f t="shared" si="19"/>
        <v/>
      </c>
      <c r="M396" s="47" t="str">
        <f>IFERROR(VLOOKUP(A396,RECEITAS!A:B,2,FALSE),"")</f>
        <v/>
      </c>
      <c r="N396" s="47">
        <f t="shared" si="20"/>
        <v>0</v>
      </c>
    </row>
    <row r="397" spans="11:14" x14ac:dyDescent="0.3">
      <c r="K397" s="47">
        <f t="shared" si="18"/>
        <v>0</v>
      </c>
      <c r="L397" s="47" t="str">
        <f t="shared" si="19"/>
        <v/>
      </c>
      <c r="M397" s="47" t="str">
        <f>IFERROR(VLOOKUP(A397,RECEITAS!A:B,2,FALSE),"")</f>
        <v/>
      </c>
      <c r="N397" s="47">
        <f t="shared" si="20"/>
        <v>0</v>
      </c>
    </row>
    <row r="398" spans="11:14" x14ac:dyDescent="0.3">
      <c r="K398" s="47">
        <f t="shared" si="18"/>
        <v>0</v>
      </c>
      <c r="L398" s="47" t="str">
        <f t="shared" si="19"/>
        <v/>
      </c>
      <c r="M398" s="47" t="str">
        <f>IFERROR(VLOOKUP(A398,RECEITAS!A:B,2,FALSE),"")</f>
        <v/>
      </c>
      <c r="N398" s="47">
        <f t="shared" si="20"/>
        <v>0</v>
      </c>
    </row>
    <row r="399" spans="11:14" x14ac:dyDescent="0.3">
      <c r="K399" s="47">
        <f t="shared" si="18"/>
        <v>0</v>
      </c>
      <c r="L399" s="47" t="str">
        <f t="shared" si="19"/>
        <v/>
      </c>
      <c r="M399" s="47" t="str">
        <f>IFERROR(VLOOKUP(A399,RECEITAS!A:B,2,FALSE),"")</f>
        <v/>
      </c>
      <c r="N399" s="47">
        <f t="shared" si="20"/>
        <v>0</v>
      </c>
    </row>
    <row r="400" spans="11:14" x14ac:dyDescent="0.3">
      <c r="K400" s="47">
        <f t="shared" si="18"/>
        <v>0</v>
      </c>
      <c r="L400" s="47" t="str">
        <f t="shared" si="19"/>
        <v/>
      </c>
      <c r="M400" s="47" t="str">
        <f>IFERROR(VLOOKUP(A400,RECEITAS!A:B,2,FALSE),"")</f>
        <v/>
      </c>
      <c r="N400" s="47">
        <f t="shared" si="20"/>
        <v>0</v>
      </c>
    </row>
    <row r="401" spans="11:14" x14ac:dyDescent="0.3">
      <c r="K401" s="47">
        <f t="shared" si="18"/>
        <v>0</v>
      </c>
      <c r="L401" s="47" t="str">
        <f t="shared" si="19"/>
        <v/>
      </c>
      <c r="M401" s="47" t="str">
        <f>IFERROR(VLOOKUP(A401,RECEITAS!A:B,2,FALSE),"")</f>
        <v/>
      </c>
      <c r="N401" s="47">
        <f t="shared" si="20"/>
        <v>0</v>
      </c>
    </row>
    <row r="402" spans="11:14" x14ac:dyDescent="0.3">
      <c r="K402" s="47">
        <f t="shared" si="18"/>
        <v>0</v>
      </c>
      <c r="L402" s="47" t="str">
        <f t="shared" si="19"/>
        <v/>
      </c>
      <c r="M402" s="47" t="str">
        <f>IFERROR(VLOOKUP(A402,RECEITAS!A:B,2,FALSE),"")</f>
        <v/>
      </c>
      <c r="N402" s="47">
        <f t="shared" si="20"/>
        <v>0</v>
      </c>
    </row>
    <row r="403" spans="11:14" x14ac:dyDescent="0.3">
      <c r="K403" s="47">
        <f t="shared" si="18"/>
        <v>0</v>
      </c>
      <c r="L403" s="47" t="str">
        <f t="shared" si="19"/>
        <v/>
      </c>
      <c r="M403" s="47" t="str">
        <f>IFERROR(VLOOKUP(A403,RECEITAS!A:B,2,FALSE),"")</f>
        <v/>
      </c>
      <c r="N403" s="47">
        <f t="shared" si="20"/>
        <v>0</v>
      </c>
    </row>
    <row r="404" spans="11:14" x14ac:dyDescent="0.3">
      <c r="K404" s="47">
        <f t="shared" si="18"/>
        <v>0</v>
      </c>
      <c r="L404" s="47" t="str">
        <f t="shared" si="19"/>
        <v/>
      </c>
      <c r="M404" s="47" t="str">
        <f>IFERROR(VLOOKUP(A404,RECEITAS!A:B,2,FALSE),"")</f>
        <v/>
      </c>
      <c r="N404" s="47">
        <f t="shared" si="20"/>
        <v>0</v>
      </c>
    </row>
    <row r="405" spans="11:14" x14ac:dyDescent="0.3">
      <c r="K405" s="47">
        <f t="shared" si="18"/>
        <v>0</v>
      </c>
      <c r="L405" s="47" t="str">
        <f t="shared" si="19"/>
        <v/>
      </c>
      <c r="M405" s="47" t="str">
        <f>IFERROR(VLOOKUP(A405,RECEITAS!A:B,2,FALSE),"")</f>
        <v/>
      </c>
      <c r="N405" s="47">
        <f t="shared" si="20"/>
        <v>0</v>
      </c>
    </row>
    <row r="406" spans="11:14" x14ac:dyDescent="0.3">
      <c r="K406" s="47">
        <f t="shared" si="18"/>
        <v>0</v>
      </c>
      <c r="L406" s="47" t="str">
        <f t="shared" si="19"/>
        <v/>
      </c>
      <c r="M406" s="47" t="str">
        <f>IFERROR(VLOOKUP(A406,RECEITAS!A:B,2,FALSE),"")</f>
        <v/>
      </c>
      <c r="N406" s="47">
        <f t="shared" si="20"/>
        <v>0</v>
      </c>
    </row>
    <row r="407" spans="11:14" x14ac:dyDescent="0.3">
      <c r="K407" s="47">
        <f t="shared" si="18"/>
        <v>0</v>
      </c>
      <c r="L407" s="47" t="str">
        <f t="shared" si="19"/>
        <v/>
      </c>
      <c r="M407" s="47" t="str">
        <f>IFERROR(VLOOKUP(A407,RECEITAS!A:B,2,FALSE),"")</f>
        <v/>
      </c>
      <c r="N407" s="47">
        <f t="shared" si="20"/>
        <v>0</v>
      </c>
    </row>
    <row r="408" spans="11:14" x14ac:dyDescent="0.3">
      <c r="K408" s="47">
        <f t="shared" si="18"/>
        <v>0</v>
      </c>
      <c r="L408" s="47" t="str">
        <f t="shared" si="19"/>
        <v/>
      </c>
      <c r="M408" s="47" t="str">
        <f>IFERROR(VLOOKUP(A408,RECEITAS!A:B,2,FALSE),"")</f>
        <v/>
      </c>
      <c r="N408" s="47">
        <f t="shared" si="20"/>
        <v>0</v>
      </c>
    </row>
    <row r="409" spans="11:14" x14ac:dyDescent="0.3">
      <c r="K409" s="47">
        <f t="shared" si="18"/>
        <v>0</v>
      </c>
      <c r="L409" s="47" t="str">
        <f t="shared" si="19"/>
        <v/>
      </c>
      <c r="M409" s="47" t="str">
        <f>IFERROR(VLOOKUP(A409,RECEITAS!A:B,2,FALSE),"")</f>
        <v/>
      </c>
      <c r="N409" s="47">
        <f t="shared" si="20"/>
        <v>0</v>
      </c>
    </row>
    <row r="410" spans="11:14" x14ac:dyDescent="0.3">
      <c r="K410" s="47">
        <f t="shared" si="18"/>
        <v>0</v>
      </c>
      <c r="L410" s="47" t="str">
        <f t="shared" si="19"/>
        <v/>
      </c>
      <c r="M410" s="47" t="str">
        <f>IFERROR(VLOOKUP(A410,RECEITAS!A:B,2,FALSE),"")</f>
        <v/>
      </c>
      <c r="N410" s="47">
        <f t="shared" si="20"/>
        <v>0</v>
      </c>
    </row>
    <row r="411" spans="11:14" x14ac:dyDescent="0.3">
      <c r="K411" s="47">
        <f t="shared" si="18"/>
        <v>0</v>
      </c>
      <c r="L411" s="47" t="str">
        <f t="shared" si="19"/>
        <v/>
      </c>
      <c r="M411" s="47" t="str">
        <f>IFERROR(VLOOKUP(A411,RECEITAS!A:B,2,FALSE),"")</f>
        <v/>
      </c>
      <c r="N411" s="47">
        <f t="shared" si="20"/>
        <v>0</v>
      </c>
    </row>
    <row r="412" spans="11:14" x14ac:dyDescent="0.3">
      <c r="K412" s="47">
        <f t="shared" si="18"/>
        <v>0</v>
      </c>
      <c r="L412" s="47" t="str">
        <f t="shared" si="19"/>
        <v/>
      </c>
      <c r="M412" s="47" t="str">
        <f>IFERROR(VLOOKUP(A412,RECEITAS!A:B,2,FALSE),"")</f>
        <v/>
      </c>
      <c r="N412" s="47">
        <f t="shared" si="20"/>
        <v>0</v>
      </c>
    </row>
    <row r="413" spans="11:14" x14ac:dyDescent="0.3">
      <c r="K413" s="47">
        <f t="shared" si="18"/>
        <v>0</v>
      </c>
      <c r="L413" s="47" t="str">
        <f t="shared" si="19"/>
        <v/>
      </c>
      <c r="M413" s="47" t="str">
        <f>IFERROR(VLOOKUP(A413,RECEITAS!A:B,2,FALSE),"")</f>
        <v/>
      </c>
      <c r="N413" s="47">
        <f t="shared" si="20"/>
        <v>0</v>
      </c>
    </row>
    <row r="414" spans="11:14" x14ac:dyDescent="0.3">
      <c r="K414" s="47">
        <f t="shared" si="18"/>
        <v>0</v>
      </c>
      <c r="L414" s="47" t="str">
        <f t="shared" si="19"/>
        <v/>
      </c>
      <c r="M414" s="47" t="str">
        <f>IFERROR(VLOOKUP(A414,RECEITAS!A:B,2,FALSE),"")</f>
        <v/>
      </c>
      <c r="N414" s="47">
        <f t="shared" si="20"/>
        <v>0</v>
      </c>
    </row>
    <row r="415" spans="11:14" x14ac:dyDescent="0.3">
      <c r="K415" s="47">
        <f t="shared" si="18"/>
        <v>0</v>
      </c>
      <c r="L415" s="47" t="str">
        <f t="shared" si="19"/>
        <v/>
      </c>
      <c r="M415" s="47" t="str">
        <f>IFERROR(VLOOKUP(A415,RECEITAS!A:B,2,FALSE),"")</f>
        <v/>
      </c>
      <c r="N415" s="47">
        <f t="shared" si="20"/>
        <v>0</v>
      </c>
    </row>
    <row r="416" spans="11:14" x14ac:dyDescent="0.3">
      <c r="K416" s="47">
        <f t="shared" si="18"/>
        <v>0</v>
      </c>
      <c r="L416" s="47" t="str">
        <f t="shared" si="19"/>
        <v/>
      </c>
      <c r="M416" s="47" t="str">
        <f>IFERROR(VLOOKUP(A416,RECEITAS!A:B,2,FALSE),"")</f>
        <v/>
      </c>
      <c r="N416" s="47">
        <f t="shared" si="20"/>
        <v>0</v>
      </c>
    </row>
    <row r="417" spans="11:14" x14ac:dyDescent="0.3">
      <c r="K417" s="47">
        <f t="shared" si="18"/>
        <v>0</v>
      </c>
      <c r="L417" s="47" t="str">
        <f t="shared" si="19"/>
        <v/>
      </c>
      <c r="M417" s="47" t="str">
        <f>IFERROR(VLOOKUP(A417,RECEITAS!A:B,2,FALSE),"")</f>
        <v/>
      </c>
      <c r="N417" s="47">
        <f t="shared" si="20"/>
        <v>0</v>
      </c>
    </row>
    <row r="418" spans="11:14" x14ac:dyDescent="0.3">
      <c r="K418" s="47">
        <f t="shared" si="18"/>
        <v>0</v>
      </c>
      <c r="L418" s="47" t="str">
        <f t="shared" si="19"/>
        <v/>
      </c>
      <c r="M418" s="47" t="str">
        <f>IFERROR(VLOOKUP(A418,RECEITAS!A:B,2,FALSE),"")</f>
        <v/>
      </c>
      <c r="N418" s="47">
        <f t="shared" si="20"/>
        <v>0</v>
      </c>
    </row>
    <row r="419" spans="11:14" x14ac:dyDescent="0.3">
      <c r="K419" s="47">
        <f t="shared" si="18"/>
        <v>0</v>
      </c>
      <c r="L419" s="47" t="str">
        <f t="shared" si="19"/>
        <v/>
      </c>
      <c r="M419" s="47" t="str">
        <f>IFERROR(VLOOKUP(A419,RECEITAS!A:B,2,FALSE),"")</f>
        <v/>
      </c>
      <c r="N419" s="47">
        <f t="shared" si="20"/>
        <v>0</v>
      </c>
    </row>
    <row r="420" spans="11:14" x14ac:dyDescent="0.3">
      <c r="K420" s="47">
        <f t="shared" si="18"/>
        <v>0</v>
      </c>
      <c r="L420" s="47" t="str">
        <f t="shared" si="19"/>
        <v/>
      </c>
      <c r="M420" s="47" t="str">
        <f>IFERROR(VLOOKUP(A420,RECEITAS!A:B,2,FALSE),"")</f>
        <v/>
      </c>
      <c r="N420" s="47">
        <f t="shared" si="20"/>
        <v>0</v>
      </c>
    </row>
    <row r="421" spans="11:14" x14ac:dyDescent="0.3">
      <c r="K421" s="47">
        <f t="shared" si="18"/>
        <v>0</v>
      </c>
      <c r="L421" s="47" t="str">
        <f t="shared" si="19"/>
        <v/>
      </c>
      <c r="M421" s="47" t="str">
        <f>IFERROR(VLOOKUP(A421,RECEITAS!A:B,2,FALSE),"")</f>
        <v/>
      </c>
      <c r="N421" s="47">
        <f t="shared" si="20"/>
        <v>0</v>
      </c>
    </row>
    <row r="422" spans="11:14" x14ac:dyDescent="0.3">
      <c r="K422" s="47">
        <f t="shared" si="18"/>
        <v>0</v>
      </c>
      <c r="L422" s="47" t="str">
        <f t="shared" si="19"/>
        <v/>
      </c>
      <c r="M422" s="47" t="str">
        <f>IFERROR(VLOOKUP(A422,RECEITAS!A:B,2,FALSE),"")</f>
        <v/>
      </c>
      <c r="N422" s="47">
        <f t="shared" si="20"/>
        <v>0</v>
      </c>
    </row>
    <row r="423" spans="11:14" x14ac:dyDescent="0.3">
      <c r="K423" s="47">
        <f t="shared" si="18"/>
        <v>0</v>
      </c>
      <c r="L423" s="47" t="str">
        <f t="shared" si="19"/>
        <v/>
      </c>
      <c r="M423" s="47" t="str">
        <f>IFERROR(VLOOKUP(A423,RECEITAS!A:B,2,FALSE),"")</f>
        <v/>
      </c>
      <c r="N423" s="47">
        <f t="shared" si="20"/>
        <v>0</v>
      </c>
    </row>
    <row r="424" spans="11:14" x14ac:dyDescent="0.3">
      <c r="K424" s="47">
        <f t="shared" si="18"/>
        <v>0</v>
      </c>
      <c r="L424" s="47" t="str">
        <f t="shared" si="19"/>
        <v/>
      </c>
      <c r="M424" s="47" t="str">
        <f>IFERROR(VLOOKUP(A424,RECEITAS!A:B,2,FALSE),"")</f>
        <v/>
      </c>
      <c r="N424" s="47">
        <f t="shared" si="20"/>
        <v>0</v>
      </c>
    </row>
    <row r="425" spans="11:14" x14ac:dyDescent="0.3">
      <c r="K425" s="47">
        <f t="shared" si="18"/>
        <v>0</v>
      </c>
      <c r="L425" s="47" t="str">
        <f t="shared" si="19"/>
        <v/>
      </c>
      <c r="M425" s="47" t="str">
        <f>IFERROR(VLOOKUP(A425,RECEITAS!A:B,2,FALSE),"")</f>
        <v/>
      </c>
      <c r="N425" s="47">
        <f t="shared" si="20"/>
        <v>0</v>
      </c>
    </row>
    <row r="426" spans="11:14" x14ac:dyDescent="0.3">
      <c r="K426" s="47">
        <f t="shared" si="18"/>
        <v>0</v>
      </c>
      <c r="L426" s="47" t="str">
        <f t="shared" si="19"/>
        <v/>
      </c>
      <c r="M426" s="47" t="str">
        <f>IFERROR(VLOOKUP(A426,RECEITAS!A:B,2,FALSE),"")</f>
        <v/>
      </c>
      <c r="N426" s="47">
        <f t="shared" si="20"/>
        <v>0</v>
      </c>
    </row>
    <row r="427" spans="11:14" x14ac:dyDescent="0.3">
      <c r="K427" s="47">
        <f t="shared" si="18"/>
        <v>0</v>
      </c>
      <c r="L427" s="47" t="str">
        <f t="shared" si="19"/>
        <v/>
      </c>
      <c r="M427" s="47" t="str">
        <f>IFERROR(VLOOKUP(A427,RECEITAS!A:B,2,FALSE),"")</f>
        <v/>
      </c>
      <c r="N427" s="47">
        <f t="shared" si="20"/>
        <v>0</v>
      </c>
    </row>
    <row r="428" spans="11:14" x14ac:dyDescent="0.3">
      <c r="K428" s="47">
        <f t="shared" si="18"/>
        <v>0</v>
      </c>
      <c r="L428" s="47" t="str">
        <f t="shared" si="19"/>
        <v/>
      </c>
      <c r="M428" s="47" t="str">
        <f>IFERROR(VLOOKUP(A428,RECEITAS!A:B,2,FALSE),"")</f>
        <v/>
      </c>
      <c r="N428" s="47">
        <f t="shared" si="20"/>
        <v>0</v>
      </c>
    </row>
    <row r="429" spans="11:14" x14ac:dyDescent="0.3">
      <c r="K429" s="47">
        <f t="shared" si="18"/>
        <v>0</v>
      </c>
      <c r="L429" s="47" t="str">
        <f t="shared" si="19"/>
        <v/>
      </c>
      <c r="M429" s="47" t="str">
        <f>IFERROR(VLOOKUP(A429,RECEITAS!A:B,2,FALSE),"")</f>
        <v/>
      </c>
      <c r="N429" s="47">
        <f t="shared" si="20"/>
        <v>0</v>
      </c>
    </row>
    <row r="430" spans="11:14" x14ac:dyDescent="0.3">
      <c r="K430" s="47">
        <f t="shared" si="18"/>
        <v>0</v>
      </c>
      <c r="L430" s="47" t="str">
        <f t="shared" si="19"/>
        <v/>
      </c>
      <c r="M430" s="47" t="str">
        <f>IFERROR(VLOOKUP(A430,RECEITAS!A:B,2,FALSE),"")</f>
        <v/>
      </c>
      <c r="N430" s="47">
        <f t="shared" si="20"/>
        <v>0</v>
      </c>
    </row>
    <row r="431" spans="11:14" x14ac:dyDescent="0.3">
      <c r="K431" s="47">
        <f t="shared" si="18"/>
        <v>0</v>
      </c>
      <c r="L431" s="47" t="str">
        <f t="shared" si="19"/>
        <v/>
      </c>
      <c r="M431" s="47" t="str">
        <f>IFERROR(VLOOKUP(A431,RECEITAS!A:B,2,FALSE),"")</f>
        <v/>
      </c>
      <c r="N431" s="47">
        <f t="shared" si="20"/>
        <v>0</v>
      </c>
    </row>
    <row r="432" spans="11:14" x14ac:dyDescent="0.3">
      <c r="K432" s="47">
        <f t="shared" si="18"/>
        <v>0</v>
      </c>
      <c r="L432" s="47" t="str">
        <f t="shared" si="19"/>
        <v/>
      </c>
      <c r="M432" s="47" t="str">
        <f>IFERROR(VLOOKUP(A432,RECEITAS!A:B,2,FALSE),"")</f>
        <v/>
      </c>
      <c r="N432" s="47">
        <f t="shared" si="20"/>
        <v>0</v>
      </c>
    </row>
    <row r="433" spans="11:14" x14ac:dyDescent="0.3">
      <c r="K433" s="47">
        <f t="shared" si="18"/>
        <v>0</v>
      </c>
      <c r="L433" s="47" t="str">
        <f t="shared" si="19"/>
        <v/>
      </c>
      <c r="M433" s="47" t="str">
        <f>IFERROR(VLOOKUP(A433,RECEITAS!A:B,2,FALSE),"")</f>
        <v/>
      </c>
      <c r="N433" s="47">
        <f t="shared" si="20"/>
        <v>0</v>
      </c>
    </row>
    <row r="434" spans="11:14" x14ac:dyDescent="0.3">
      <c r="K434" s="47">
        <f t="shared" si="18"/>
        <v>0</v>
      </c>
      <c r="L434" s="47" t="str">
        <f t="shared" si="19"/>
        <v/>
      </c>
      <c r="M434" s="47" t="str">
        <f>IFERROR(VLOOKUP(A434,RECEITAS!A:B,2,FALSE),"")</f>
        <v/>
      </c>
      <c r="N434" s="47">
        <f t="shared" si="20"/>
        <v>0</v>
      </c>
    </row>
    <row r="435" spans="11:14" x14ac:dyDescent="0.3">
      <c r="K435" s="47">
        <f t="shared" si="18"/>
        <v>0</v>
      </c>
      <c r="L435" s="47" t="str">
        <f t="shared" si="19"/>
        <v/>
      </c>
      <c r="M435" s="47" t="str">
        <f>IFERROR(VLOOKUP(A435,RECEITAS!A:B,2,FALSE),"")</f>
        <v/>
      </c>
      <c r="N435" s="47">
        <f t="shared" si="20"/>
        <v>0</v>
      </c>
    </row>
    <row r="436" spans="11:14" x14ac:dyDescent="0.3">
      <c r="K436" s="47">
        <f t="shared" si="18"/>
        <v>0</v>
      </c>
      <c r="L436" s="47" t="str">
        <f t="shared" si="19"/>
        <v/>
      </c>
      <c r="M436" s="47" t="str">
        <f>IFERROR(VLOOKUP(A436,RECEITAS!A:B,2,FALSE),"")</f>
        <v/>
      </c>
      <c r="N436" s="47">
        <f t="shared" si="20"/>
        <v>0</v>
      </c>
    </row>
    <row r="437" spans="11:14" x14ac:dyDescent="0.3">
      <c r="K437" s="47">
        <f t="shared" si="18"/>
        <v>0</v>
      </c>
      <c r="L437" s="47" t="str">
        <f t="shared" si="19"/>
        <v/>
      </c>
      <c r="M437" s="47" t="str">
        <f>IFERROR(VLOOKUP(A437,RECEITAS!A:B,2,FALSE),"")</f>
        <v/>
      </c>
      <c r="N437" s="47">
        <f t="shared" si="20"/>
        <v>0</v>
      </c>
    </row>
    <row r="438" spans="11:14" x14ac:dyDescent="0.3">
      <c r="K438" s="47">
        <f t="shared" si="18"/>
        <v>0</v>
      </c>
      <c r="L438" s="47" t="str">
        <f t="shared" si="19"/>
        <v/>
      </c>
      <c r="M438" s="47" t="str">
        <f>IFERROR(VLOOKUP(A438,RECEITAS!A:B,2,FALSE),"")</f>
        <v/>
      </c>
      <c r="N438" s="47">
        <f t="shared" si="20"/>
        <v>0</v>
      </c>
    </row>
    <row r="439" spans="11:14" x14ac:dyDescent="0.3">
      <c r="K439" s="47">
        <f t="shared" si="18"/>
        <v>0</v>
      </c>
      <c r="L439" s="47" t="str">
        <f t="shared" si="19"/>
        <v/>
      </c>
      <c r="M439" s="47" t="str">
        <f>IFERROR(VLOOKUP(A439,RECEITAS!A:B,2,FALSE),"")</f>
        <v/>
      </c>
      <c r="N439" s="47">
        <f t="shared" si="20"/>
        <v>0</v>
      </c>
    </row>
    <row r="440" spans="11:14" x14ac:dyDescent="0.3">
      <c r="K440" s="47">
        <f t="shared" si="18"/>
        <v>0</v>
      </c>
      <c r="L440" s="47" t="str">
        <f t="shared" si="19"/>
        <v/>
      </c>
      <c r="M440" s="47" t="str">
        <f>IFERROR(VLOOKUP(A440,RECEITAS!A:B,2,FALSE),"")</f>
        <v/>
      </c>
      <c r="N440" s="47">
        <f t="shared" si="20"/>
        <v>0</v>
      </c>
    </row>
    <row r="441" spans="11:14" x14ac:dyDescent="0.3">
      <c r="K441" s="47">
        <f t="shared" si="18"/>
        <v>0</v>
      </c>
      <c r="L441" s="47" t="str">
        <f t="shared" si="19"/>
        <v/>
      </c>
      <c r="M441" s="47" t="str">
        <f>IFERROR(VLOOKUP(A441,RECEITAS!A:B,2,FALSE),"")</f>
        <v/>
      </c>
      <c r="N441" s="47">
        <f t="shared" si="20"/>
        <v>0</v>
      </c>
    </row>
    <row r="442" spans="11:14" x14ac:dyDescent="0.3">
      <c r="K442" s="47">
        <f t="shared" si="18"/>
        <v>0</v>
      </c>
      <c r="L442" s="47" t="str">
        <f t="shared" si="19"/>
        <v/>
      </c>
      <c r="M442" s="47" t="str">
        <f>IFERROR(VLOOKUP(A442,RECEITAS!A:B,2,FALSE),"")</f>
        <v/>
      </c>
      <c r="N442" s="47">
        <f t="shared" si="20"/>
        <v>0</v>
      </c>
    </row>
    <row r="443" spans="11:14" x14ac:dyDescent="0.3">
      <c r="K443" s="47">
        <f t="shared" si="18"/>
        <v>0</v>
      </c>
      <c r="L443" s="47" t="str">
        <f t="shared" si="19"/>
        <v/>
      </c>
      <c r="M443" s="47" t="str">
        <f>IFERROR(VLOOKUP(A443,RECEITAS!A:B,2,FALSE),"")</f>
        <v/>
      </c>
      <c r="N443" s="47">
        <f t="shared" si="20"/>
        <v>0</v>
      </c>
    </row>
    <row r="444" spans="11:14" x14ac:dyDescent="0.3">
      <c r="K444" s="47">
        <f t="shared" si="18"/>
        <v>0</v>
      </c>
      <c r="L444" s="47" t="str">
        <f t="shared" si="19"/>
        <v/>
      </c>
      <c r="M444" s="47" t="str">
        <f>IFERROR(VLOOKUP(A444,RECEITAS!A:B,2,FALSE),"")</f>
        <v/>
      </c>
      <c r="N444" s="47">
        <f t="shared" si="20"/>
        <v>0</v>
      </c>
    </row>
    <row r="445" spans="11:14" x14ac:dyDescent="0.3">
      <c r="K445" s="47">
        <f t="shared" si="18"/>
        <v>0</v>
      </c>
      <c r="L445" s="47" t="str">
        <f t="shared" si="19"/>
        <v/>
      </c>
      <c r="M445" s="47" t="str">
        <f>IFERROR(VLOOKUP(A445,RECEITAS!A:B,2,FALSE),"")</f>
        <v/>
      </c>
      <c r="N445" s="47">
        <f t="shared" si="20"/>
        <v>0</v>
      </c>
    </row>
    <row r="446" spans="11:14" x14ac:dyDescent="0.3">
      <c r="K446" s="47">
        <f t="shared" si="18"/>
        <v>0</v>
      </c>
      <c r="L446" s="47" t="str">
        <f t="shared" si="19"/>
        <v/>
      </c>
      <c r="M446" s="47" t="str">
        <f>IFERROR(VLOOKUP(A446,RECEITAS!A:B,2,FALSE),"")</f>
        <v/>
      </c>
      <c r="N446" s="47">
        <f t="shared" si="20"/>
        <v>0</v>
      </c>
    </row>
    <row r="447" spans="11:14" x14ac:dyDescent="0.3">
      <c r="K447" s="47">
        <f t="shared" si="18"/>
        <v>0</v>
      </c>
      <c r="L447" s="47" t="str">
        <f t="shared" si="19"/>
        <v/>
      </c>
      <c r="M447" s="47" t="str">
        <f>IFERROR(VLOOKUP(A447,RECEITAS!A:B,2,FALSE),"")</f>
        <v/>
      </c>
      <c r="N447" s="47">
        <f t="shared" si="20"/>
        <v>0</v>
      </c>
    </row>
    <row r="448" spans="11:14" x14ac:dyDescent="0.3">
      <c r="K448" s="47">
        <f t="shared" si="18"/>
        <v>0</v>
      </c>
      <c r="L448" s="47" t="str">
        <f t="shared" si="19"/>
        <v/>
      </c>
      <c r="M448" s="47" t="str">
        <f>IFERROR(VLOOKUP(A448,RECEITAS!A:B,2,FALSE),"")</f>
        <v/>
      </c>
      <c r="N448" s="47">
        <f t="shared" si="20"/>
        <v>0</v>
      </c>
    </row>
    <row r="449" spans="11:14" x14ac:dyDescent="0.3">
      <c r="K449" s="47">
        <f t="shared" si="18"/>
        <v>0</v>
      </c>
      <c r="L449" s="47" t="str">
        <f t="shared" si="19"/>
        <v/>
      </c>
      <c r="M449" s="47" t="str">
        <f>IFERROR(VLOOKUP(A449,RECEITAS!A:B,2,FALSE),"")</f>
        <v/>
      </c>
      <c r="N449" s="47">
        <f t="shared" si="20"/>
        <v>0</v>
      </c>
    </row>
    <row r="450" spans="11:14" x14ac:dyDescent="0.3">
      <c r="K450" s="47">
        <f t="shared" ref="K450:K472" si="21">G450*D450*C450</f>
        <v>0</v>
      </c>
      <c r="L450" s="47" t="str">
        <f t="shared" ref="L450:L472" si="22">IF(F450=0,"",TEXT(F450,"DDD"))</f>
        <v/>
      </c>
      <c r="M450" s="47" t="str">
        <f>IFERROR(VLOOKUP(A450,RECEITAS!A:B,2,FALSE),"")</f>
        <v/>
      </c>
      <c r="N450" s="47">
        <f t="shared" si="20"/>
        <v>0</v>
      </c>
    </row>
    <row r="451" spans="11:14" x14ac:dyDescent="0.3">
      <c r="K451" s="47">
        <f t="shared" si="21"/>
        <v>0</v>
      </c>
      <c r="L451" s="47" t="str">
        <f t="shared" si="22"/>
        <v/>
      </c>
      <c r="M451" s="47" t="str">
        <f>IFERROR(VLOOKUP(A451,RECEITAS!A:B,2,FALSE),"")</f>
        <v/>
      </c>
      <c r="N451" s="47">
        <f t="shared" ref="N451:N472" si="23">G451*C451</f>
        <v>0</v>
      </c>
    </row>
    <row r="452" spans="11:14" x14ac:dyDescent="0.3">
      <c r="K452" s="47">
        <f t="shared" si="21"/>
        <v>0</v>
      </c>
      <c r="L452" s="47" t="str">
        <f t="shared" si="22"/>
        <v/>
      </c>
      <c r="M452" s="47" t="str">
        <f>IFERROR(VLOOKUP(A452,RECEITAS!A:B,2,FALSE),"")</f>
        <v/>
      </c>
      <c r="N452" s="47">
        <f t="shared" si="23"/>
        <v>0</v>
      </c>
    </row>
    <row r="453" spans="11:14" x14ac:dyDescent="0.3">
      <c r="K453" s="47">
        <f t="shared" si="21"/>
        <v>0</v>
      </c>
      <c r="L453" s="47" t="str">
        <f t="shared" si="22"/>
        <v/>
      </c>
      <c r="M453" s="47" t="str">
        <f>IFERROR(VLOOKUP(A453,RECEITAS!A:B,2,FALSE),"")</f>
        <v/>
      </c>
      <c r="N453" s="47">
        <f t="shared" si="23"/>
        <v>0</v>
      </c>
    </row>
    <row r="454" spans="11:14" x14ac:dyDescent="0.3">
      <c r="K454" s="47">
        <f t="shared" si="21"/>
        <v>0</v>
      </c>
      <c r="L454" s="47" t="str">
        <f t="shared" si="22"/>
        <v/>
      </c>
      <c r="M454" s="47" t="str">
        <f>IFERROR(VLOOKUP(A454,RECEITAS!A:B,2,FALSE),"")</f>
        <v/>
      </c>
      <c r="N454" s="47">
        <f t="shared" si="23"/>
        <v>0</v>
      </c>
    </row>
    <row r="455" spans="11:14" x14ac:dyDescent="0.3">
      <c r="K455" s="47">
        <f t="shared" si="21"/>
        <v>0</v>
      </c>
      <c r="L455" s="47" t="str">
        <f t="shared" si="22"/>
        <v/>
      </c>
      <c r="M455" s="47" t="str">
        <f>IFERROR(VLOOKUP(A455,RECEITAS!A:B,2,FALSE),"")</f>
        <v/>
      </c>
      <c r="N455" s="47">
        <f t="shared" si="23"/>
        <v>0</v>
      </c>
    </row>
    <row r="456" spans="11:14" x14ac:dyDescent="0.3">
      <c r="K456" s="47">
        <f t="shared" si="21"/>
        <v>0</v>
      </c>
      <c r="L456" s="47" t="str">
        <f t="shared" si="22"/>
        <v/>
      </c>
      <c r="M456" s="47" t="str">
        <f>IFERROR(VLOOKUP(A456,RECEITAS!A:B,2,FALSE),"")</f>
        <v/>
      </c>
      <c r="N456" s="47">
        <f t="shared" si="23"/>
        <v>0</v>
      </c>
    </row>
    <row r="457" spans="11:14" x14ac:dyDescent="0.3">
      <c r="K457" s="47">
        <f t="shared" si="21"/>
        <v>0</v>
      </c>
      <c r="L457" s="47" t="str">
        <f t="shared" si="22"/>
        <v/>
      </c>
      <c r="M457" s="47" t="str">
        <f>IFERROR(VLOOKUP(A457,RECEITAS!A:B,2,FALSE),"")</f>
        <v/>
      </c>
      <c r="N457" s="47">
        <f t="shared" si="23"/>
        <v>0</v>
      </c>
    </row>
    <row r="458" spans="11:14" x14ac:dyDescent="0.3">
      <c r="K458" s="47">
        <f t="shared" si="21"/>
        <v>0</v>
      </c>
      <c r="L458" s="47" t="str">
        <f t="shared" si="22"/>
        <v/>
      </c>
      <c r="M458" s="47" t="str">
        <f>IFERROR(VLOOKUP(A458,RECEITAS!A:B,2,FALSE),"")</f>
        <v/>
      </c>
      <c r="N458" s="47">
        <f t="shared" si="23"/>
        <v>0</v>
      </c>
    </row>
    <row r="459" spans="11:14" x14ac:dyDescent="0.3">
      <c r="K459" s="47">
        <f t="shared" si="21"/>
        <v>0</v>
      </c>
      <c r="L459" s="47" t="str">
        <f t="shared" si="22"/>
        <v/>
      </c>
      <c r="M459" s="47" t="str">
        <f>IFERROR(VLOOKUP(A459,RECEITAS!A:B,2,FALSE),"")</f>
        <v/>
      </c>
      <c r="N459" s="47">
        <f t="shared" si="23"/>
        <v>0</v>
      </c>
    </row>
    <row r="460" spans="11:14" x14ac:dyDescent="0.3">
      <c r="K460" s="47">
        <f t="shared" si="21"/>
        <v>0</v>
      </c>
      <c r="L460" s="47" t="str">
        <f t="shared" si="22"/>
        <v/>
      </c>
      <c r="M460" s="47" t="str">
        <f>IFERROR(VLOOKUP(A460,RECEITAS!A:B,2,FALSE),"")</f>
        <v/>
      </c>
      <c r="N460" s="47">
        <f t="shared" si="23"/>
        <v>0</v>
      </c>
    </row>
    <row r="461" spans="11:14" x14ac:dyDescent="0.3">
      <c r="K461" s="47">
        <f t="shared" si="21"/>
        <v>0</v>
      </c>
      <c r="L461" s="47" t="str">
        <f t="shared" si="22"/>
        <v/>
      </c>
      <c r="M461" s="47" t="str">
        <f>IFERROR(VLOOKUP(A461,RECEITAS!A:B,2,FALSE),"")</f>
        <v/>
      </c>
      <c r="N461" s="47">
        <f t="shared" si="23"/>
        <v>0</v>
      </c>
    </row>
    <row r="462" spans="11:14" x14ac:dyDescent="0.3">
      <c r="K462" s="47">
        <f t="shared" si="21"/>
        <v>0</v>
      </c>
      <c r="L462" s="47" t="str">
        <f t="shared" si="22"/>
        <v/>
      </c>
      <c r="M462" s="47" t="str">
        <f>IFERROR(VLOOKUP(A462,RECEITAS!A:B,2,FALSE),"")</f>
        <v/>
      </c>
      <c r="N462" s="47">
        <f t="shared" si="23"/>
        <v>0</v>
      </c>
    </row>
    <row r="463" spans="11:14" x14ac:dyDescent="0.3">
      <c r="K463" s="47">
        <f t="shared" si="21"/>
        <v>0</v>
      </c>
      <c r="L463" s="47" t="str">
        <f t="shared" si="22"/>
        <v/>
      </c>
      <c r="M463" s="47" t="str">
        <f>IFERROR(VLOOKUP(A463,RECEITAS!A:B,2,FALSE),"")</f>
        <v/>
      </c>
      <c r="N463" s="47">
        <f t="shared" si="23"/>
        <v>0</v>
      </c>
    </row>
    <row r="464" spans="11:14" x14ac:dyDescent="0.3">
      <c r="K464" s="47">
        <f t="shared" si="21"/>
        <v>0</v>
      </c>
      <c r="L464" s="47" t="str">
        <f t="shared" si="22"/>
        <v/>
      </c>
      <c r="M464" s="47" t="str">
        <f>IFERROR(VLOOKUP(A464,RECEITAS!A:B,2,FALSE),"")</f>
        <v/>
      </c>
      <c r="N464" s="47">
        <f t="shared" si="23"/>
        <v>0</v>
      </c>
    </row>
    <row r="465" spans="11:14" x14ac:dyDescent="0.3">
      <c r="K465" s="47">
        <f t="shared" si="21"/>
        <v>0</v>
      </c>
      <c r="L465" s="47" t="str">
        <f t="shared" si="22"/>
        <v/>
      </c>
      <c r="M465" s="47" t="str">
        <f>IFERROR(VLOOKUP(A465,RECEITAS!A:B,2,FALSE),"")</f>
        <v/>
      </c>
      <c r="N465" s="47">
        <f t="shared" si="23"/>
        <v>0</v>
      </c>
    </row>
    <row r="466" spans="11:14" x14ac:dyDescent="0.3">
      <c r="K466" s="47">
        <f t="shared" si="21"/>
        <v>0</v>
      </c>
      <c r="L466" s="47" t="str">
        <f t="shared" si="22"/>
        <v/>
      </c>
      <c r="M466" s="47" t="str">
        <f>IFERROR(VLOOKUP(A466,RECEITAS!A:B,2,FALSE),"")</f>
        <v/>
      </c>
      <c r="N466" s="47">
        <f t="shared" si="23"/>
        <v>0</v>
      </c>
    </row>
    <row r="467" spans="11:14" x14ac:dyDescent="0.3">
      <c r="K467" s="47">
        <f t="shared" si="21"/>
        <v>0</v>
      </c>
      <c r="L467" s="47" t="str">
        <f t="shared" si="22"/>
        <v/>
      </c>
      <c r="M467" s="47" t="str">
        <f>IFERROR(VLOOKUP(A467,RECEITAS!A:B,2,FALSE),"")</f>
        <v/>
      </c>
      <c r="N467" s="47">
        <f t="shared" si="23"/>
        <v>0</v>
      </c>
    </row>
    <row r="468" spans="11:14" x14ac:dyDescent="0.3">
      <c r="K468" s="47">
        <f t="shared" si="21"/>
        <v>0</v>
      </c>
      <c r="L468" s="47" t="str">
        <f t="shared" si="22"/>
        <v/>
      </c>
      <c r="M468" s="47" t="str">
        <f>IFERROR(VLOOKUP(A468,RECEITAS!A:B,2,FALSE),"")</f>
        <v/>
      </c>
      <c r="N468" s="47">
        <f t="shared" si="23"/>
        <v>0</v>
      </c>
    </row>
    <row r="469" spans="11:14" x14ac:dyDescent="0.3">
      <c r="K469" s="47">
        <f t="shared" si="21"/>
        <v>0</v>
      </c>
      <c r="L469" s="47" t="str">
        <f t="shared" si="22"/>
        <v/>
      </c>
      <c r="M469" s="47" t="str">
        <f>IFERROR(VLOOKUP(A469,RECEITAS!A:B,2,FALSE),"")</f>
        <v/>
      </c>
      <c r="N469" s="47">
        <f t="shared" si="23"/>
        <v>0</v>
      </c>
    </row>
    <row r="470" spans="11:14" x14ac:dyDescent="0.3">
      <c r="K470" s="47">
        <f t="shared" si="21"/>
        <v>0</v>
      </c>
      <c r="L470" s="47" t="str">
        <f t="shared" si="22"/>
        <v/>
      </c>
      <c r="M470" s="47" t="str">
        <f>IFERROR(VLOOKUP(A470,RECEITAS!A:B,2,FALSE),"")</f>
        <v/>
      </c>
      <c r="N470" s="47">
        <f t="shared" si="23"/>
        <v>0</v>
      </c>
    </row>
    <row r="471" spans="11:14" x14ac:dyDescent="0.3">
      <c r="K471" s="47">
        <f t="shared" si="21"/>
        <v>0</v>
      </c>
      <c r="L471" s="47" t="str">
        <f t="shared" si="22"/>
        <v/>
      </c>
      <c r="M471" s="47" t="str">
        <f>IFERROR(VLOOKUP(A471,RECEITAS!A:B,2,FALSE),"")</f>
        <v/>
      </c>
      <c r="N471" s="47">
        <f t="shared" si="23"/>
        <v>0</v>
      </c>
    </row>
    <row r="472" spans="11:14" x14ac:dyDescent="0.3">
      <c r="K472" s="47">
        <f t="shared" si="21"/>
        <v>0</v>
      </c>
      <c r="L472" s="47" t="str">
        <f t="shared" si="22"/>
        <v/>
      </c>
      <c r="M472" s="47" t="str">
        <f>IFERROR(VLOOKUP(A472,RECEITAS!A:B,2,FALSE),"")</f>
        <v/>
      </c>
      <c r="N472" s="47">
        <f t="shared" si="23"/>
        <v>0</v>
      </c>
    </row>
  </sheetData>
  <autoFilter ref="A1:O472" xr:uid="{17055A92-52B6-4D7F-9D14-E6F801017EB9}"/>
  <sortState ref="S1:T11">
    <sortCondition ref="T11"/>
  </sortState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B34F7-6F26-4FD9-A788-A1A3D70DFBBE}">
  <sheetPr codeName="Planilha6"/>
  <dimension ref="A1:AB34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C25" sqref="C25"/>
    </sheetView>
  </sheetViews>
  <sheetFormatPr defaultRowHeight="14.4" x14ac:dyDescent="0.3"/>
  <cols>
    <col min="2" max="2" width="31.33203125" bestFit="1" customWidth="1"/>
    <col min="3" max="3" width="12.66406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  <col min="19" max="19" width="10" customWidth="1"/>
    <col min="23" max="23" width="12" customWidth="1"/>
  </cols>
  <sheetData>
    <row r="1" spans="1:28" x14ac:dyDescent="0.3">
      <c r="A1" t="s">
        <v>120</v>
      </c>
      <c r="D1" s="37" t="s">
        <v>82</v>
      </c>
      <c r="M1" s="31"/>
      <c r="R1" s="1">
        <v>1.3888888888888888E-2</v>
      </c>
      <c r="S1" s="1">
        <v>6.9444444444444447E-4</v>
      </c>
    </row>
    <row r="3" spans="1:28" ht="28.8" x14ac:dyDescent="0.55000000000000004">
      <c r="F3" s="78" t="s">
        <v>84</v>
      </c>
      <c r="G3" s="78"/>
    </row>
    <row r="7" spans="1:28" s="26" customFormat="1" ht="33" customHeight="1" x14ac:dyDescent="0.3">
      <c r="A7" s="27" t="s">
        <v>74</v>
      </c>
      <c r="B7" s="27" t="s">
        <v>75</v>
      </c>
      <c r="C7" s="27" t="s">
        <v>76</v>
      </c>
      <c r="D7" s="32" t="str">
        <f>AP_CRONO_SEG!E9</f>
        <v>PESAGEM</v>
      </c>
      <c r="E7" s="92" t="str">
        <f>AP_CRONO_SEG!F9</f>
        <v>INC_BATIMENTO</v>
      </c>
      <c r="F7" s="92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8" s="26" customFormat="1" x14ac:dyDescent="0.3">
      <c r="A8">
        <v>1</v>
      </c>
      <c r="B8" t="s">
        <v>28</v>
      </c>
      <c r="C8" s="36">
        <f>SUMIFS(ENCOMENDA!K:K,ENCOMENDA!A:A,B8,ENCOMENDA!L:L,Crono_Seg!$D$1)</f>
        <v>6.5</v>
      </c>
      <c r="D8" s="29">
        <f>AP_CRONO_SEG!E10</f>
        <v>0.19305555555555556</v>
      </c>
      <c r="E8" s="1">
        <v>0.20833333333333334</v>
      </c>
      <c r="F8" s="29">
        <f>AP_CRONO_SEG!G10</f>
        <v>0.22222222222222224</v>
      </c>
      <c r="G8" s="29">
        <f>AP_CRONO_SEG!H10</f>
        <v>0.22222222222222224</v>
      </c>
      <c r="H8" s="29">
        <f>AP_CRONO_SEG!I10</f>
        <v>0.22569444444444445</v>
      </c>
      <c r="I8" s="29">
        <f>AP_CRONO_SEG!J10</f>
        <v>0.23402777777777778</v>
      </c>
      <c r="J8" s="29">
        <f>AP_CRONO_SEG!K10</f>
        <v>0.24236111111111111</v>
      </c>
      <c r="K8" s="29">
        <f>AP_CRONO_SEG!L10</f>
        <v>0.24583333333333332</v>
      </c>
      <c r="L8" s="29">
        <f>AP_CRONO_SEG!M10</f>
        <v>0.27361111111111108</v>
      </c>
      <c r="M8" s="29">
        <f>AP_CRONO_SEG!N10</f>
        <v>0.33958333333333329</v>
      </c>
      <c r="N8" s="29">
        <f>AP_CRONO_SEG!O10</f>
        <v>0.36388888888888882</v>
      </c>
      <c r="O8" s="29">
        <f>AP_CRONO_SEG!P10</f>
        <v>0.42986111111111103</v>
      </c>
      <c r="P8" s="29">
        <f>AP_CRONO_SEG!Q10</f>
        <v>0.46249999999999991</v>
      </c>
      <c r="Q8" s="29">
        <f>AP_CRONO_SEG!R10</f>
        <v>0.50763888888888875</v>
      </c>
      <c r="T8" s="30">
        <f>Relogio</f>
        <v>0.66748842592592583</v>
      </c>
      <c r="U8" s="29">
        <f>T8+S1</f>
        <v>0.66818287037037027</v>
      </c>
    </row>
    <row r="9" spans="1:28" s="26" customFormat="1" x14ac:dyDescent="0.3">
      <c r="A9">
        <v>2</v>
      </c>
      <c r="B9" t="s">
        <v>46</v>
      </c>
      <c r="C9" s="36">
        <f>SUMIFS(ENCOMENDA!K:K,ENCOMENDA!A:A,B9,ENCOMENDA!L:L,Crono_Seg!$D$1)</f>
        <v>12</v>
      </c>
      <c r="D9" s="29">
        <f>AP_CRONO_SEG!E11</f>
        <v>0.19861111111111113</v>
      </c>
      <c r="E9" s="1">
        <v>0.21875</v>
      </c>
      <c r="F9" s="29">
        <f>AP_CRONO_SEG!G11</f>
        <v>0.2326388888888889</v>
      </c>
      <c r="G9" s="29">
        <f>AP_CRONO_SEG!H11</f>
        <v>0.2326388888888889</v>
      </c>
      <c r="H9" s="29">
        <f>AP_CRONO_SEG!I11</f>
        <v>0.2361111111111111</v>
      </c>
      <c r="I9" s="29">
        <f>AP_CRONO_SEG!J11</f>
        <v>0.28125</v>
      </c>
      <c r="J9" s="29">
        <f>AP_CRONO_SEG!K11</f>
        <v>0.30208333333333331</v>
      </c>
      <c r="K9" s="29">
        <f>AP_CRONO_SEG!L11</f>
        <v>0.33333333333333331</v>
      </c>
      <c r="L9" s="29">
        <f>AP_CRONO_SEG!M11</f>
        <v>0.35416666666666663</v>
      </c>
      <c r="M9" s="29">
        <f>AP_CRONO_SEG!N11</f>
        <v>0.39930555555555552</v>
      </c>
      <c r="N9" s="29">
        <f>AP_CRONO_SEG!O11</f>
        <v>0.43055555555555552</v>
      </c>
      <c r="O9" s="29">
        <f>AP_CRONO_SEG!P11</f>
        <v>0.49652777777777773</v>
      </c>
      <c r="P9" s="29">
        <f>AP_CRONO_SEG!Q11</f>
        <v>0.49999999999999994</v>
      </c>
      <c r="Q9" s="29">
        <f>AP_CRONO_SEG!R11</f>
        <v>0.54513888888888884</v>
      </c>
      <c r="R9" s="29">
        <f t="shared" ref="R9:R32" si="0">IFERROR(D9-D8,"")</f>
        <v>5.5555555555555636E-3</v>
      </c>
      <c r="S9" s="29">
        <f>IF(E8=0,"",E9-E8)</f>
        <v>1.0416666666666657E-2</v>
      </c>
      <c r="T9" s="29"/>
      <c r="U9" s="29"/>
      <c r="V9" s="29"/>
      <c r="W9" s="29"/>
      <c r="X9" s="29"/>
      <c r="Y9" s="29"/>
      <c r="Z9" s="29"/>
      <c r="AA9" s="29"/>
      <c r="AB9" s="29"/>
    </row>
    <row r="10" spans="1:28" s="26" customFormat="1" x14ac:dyDescent="0.3">
      <c r="A10">
        <v>2</v>
      </c>
      <c r="B10" t="s">
        <v>23</v>
      </c>
      <c r="C10" s="36">
        <f>SUMIFS(ENCOMENDA!K:K,ENCOMENDA!A:A,B10,ENCOMENDA!L:L,Crono_Seg!$D$1)</f>
        <v>3.0300000000000002</v>
      </c>
      <c r="D10" s="29">
        <f>AP_CRONO_SEG!E12</f>
        <v>0.20416666666666669</v>
      </c>
      <c r="E10" s="1">
        <v>0.21875</v>
      </c>
      <c r="F10" s="29">
        <f>AP_CRONO_SEG!G12</f>
        <v>0.2326388888888889</v>
      </c>
      <c r="G10" s="29">
        <f>AP_CRONO_SEG!H12</f>
        <v>0.2326388888888889</v>
      </c>
      <c r="H10" s="29">
        <f>AP_CRONO_SEG!I12</f>
        <v>0.2361111111111111</v>
      </c>
      <c r="I10" s="29">
        <f>AP_CRONO_SEG!J12</f>
        <v>0.28125</v>
      </c>
      <c r="J10" s="29">
        <f>AP_CRONO_SEG!K12</f>
        <v>0.30208333333333331</v>
      </c>
      <c r="K10" s="29">
        <f>AP_CRONO_SEG!L12</f>
        <v>0.33333333333333331</v>
      </c>
      <c r="L10" s="29">
        <f>AP_CRONO_SEG!M12</f>
        <v>0.35416666666666663</v>
      </c>
      <c r="M10" s="29">
        <f>AP_CRONO_SEG!N12</f>
        <v>0.39930555555555552</v>
      </c>
      <c r="N10" s="29">
        <f>AP_CRONO_SEG!O12</f>
        <v>0.43055555555555552</v>
      </c>
      <c r="O10" s="29">
        <f>AP_CRONO_SEG!P12</f>
        <v>0.49652777777777773</v>
      </c>
      <c r="P10" s="29">
        <f>AP_CRONO_SEG!Q12</f>
        <v>0.49999999999999994</v>
      </c>
      <c r="Q10" s="29">
        <f>AP_CRONO_SEG!R12</f>
        <v>0.54513888888888884</v>
      </c>
      <c r="R10" s="29">
        <f t="shared" si="0"/>
        <v>5.5555555555555636E-3</v>
      </c>
      <c r="S10" s="29">
        <f t="shared" ref="S10:S32" si="1">IF(E9=0,"",E10-E9)</f>
        <v>0</v>
      </c>
      <c r="T10" s="29"/>
      <c r="U10" s="29"/>
      <c r="V10" s="29"/>
      <c r="W10" s="29"/>
      <c r="X10" s="29"/>
      <c r="Y10" s="29"/>
      <c r="Z10" s="29"/>
      <c r="AA10" s="29"/>
      <c r="AB10" s="29"/>
    </row>
    <row r="11" spans="1:28" s="26" customFormat="1" x14ac:dyDescent="0.3">
      <c r="A11">
        <v>3</v>
      </c>
      <c r="B11" t="s">
        <v>29</v>
      </c>
      <c r="C11" s="36">
        <f>SUMIFS(ENCOMENDA!K:K,ENCOMENDA!A:A,B11,ENCOMENDA!L:L,Crono_Seg!$D$1)</f>
        <v>29.6</v>
      </c>
      <c r="D11" s="29">
        <f>AP_CRONO_SEG!E13</f>
        <v>0.20972222222222225</v>
      </c>
      <c r="E11" s="1">
        <v>0.22777777777777777</v>
      </c>
      <c r="F11" s="29">
        <f>AP_CRONO_SEG!G13</f>
        <v>0.24166666666666667</v>
      </c>
      <c r="G11" s="29">
        <f>AP_CRONO_SEG!H13</f>
        <v>0.24166666666666667</v>
      </c>
      <c r="H11" s="29">
        <f>AP_CRONO_SEG!I13</f>
        <v>0.24513888888888888</v>
      </c>
      <c r="I11" s="29">
        <f>AP_CRONO_SEG!J13</f>
        <v>0.29027777777777775</v>
      </c>
      <c r="J11" s="29">
        <f>AP_CRONO_SEG!K13</f>
        <v>0.31111111111111106</v>
      </c>
      <c r="K11" s="29">
        <f>AP_CRONO_SEG!L13</f>
        <v>0.34236111111111106</v>
      </c>
      <c r="L11" s="29">
        <f>AP_CRONO_SEG!M13</f>
        <v>0.36319444444444438</v>
      </c>
      <c r="M11" s="29">
        <f>AP_CRONO_SEG!N13</f>
        <v>0.40833333333333327</v>
      </c>
      <c r="N11" s="29">
        <f>AP_CRONO_SEG!O13</f>
        <v>0.43958333333333327</v>
      </c>
      <c r="O11" s="29">
        <f>AP_CRONO_SEG!P13</f>
        <v>0.50555555555555554</v>
      </c>
      <c r="P11" s="29">
        <f>AP_CRONO_SEG!Q13</f>
        <v>0.50902777777777775</v>
      </c>
      <c r="Q11" s="29">
        <f>AP_CRONO_SEG!R13</f>
        <v>0.55416666666666659</v>
      </c>
      <c r="R11" s="29">
        <f t="shared" si="0"/>
        <v>5.5555555555555636E-3</v>
      </c>
      <c r="S11" s="29">
        <f t="shared" si="1"/>
        <v>9.0277777777777735E-3</v>
      </c>
      <c r="T11" s="29"/>
      <c r="U11" s="29"/>
      <c r="V11" s="29"/>
      <c r="W11" s="29"/>
      <c r="X11" s="29"/>
      <c r="Y11" s="29"/>
      <c r="Z11" s="29"/>
      <c r="AA11" s="29"/>
      <c r="AB11" s="29"/>
    </row>
    <row r="12" spans="1:28" s="26" customFormat="1" x14ac:dyDescent="0.3">
      <c r="A12">
        <v>3</v>
      </c>
      <c r="B12" t="s">
        <v>56</v>
      </c>
      <c r="C12" s="36">
        <f>SUMIFS(ENCOMENDA!K:K,ENCOMENDA!A:A,B12,ENCOMENDA!L:L,Crono_Seg!$D$1)</f>
        <v>3.5999999999999996</v>
      </c>
      <c r="D12" s="29">
        <f>AP_CRONO_SEG!E14</f>
        <v>0.21527777777777782</v>
      </c>
      <c r="E12" s="1">
        <v>0.23263888888888887</v>
      </c>
      <c r="F12" s="29">
        <f>AP_CRONO_SEG!G14</f>
        <v>0.24652777777777776</v>
      </c>
      <c r="G12" s="29">
        <f>AP_CRONO_SEG!H14</f>
        <v>0.24652777777777776</v>
      </c>
      <c r="H12" s="29">
        <f>AP_CRONO_SEG!I14</f>
        <v>0.24999999999999997</v>
      </c>
      <c r="I12" s="29">
        <f>AP_CRONO_SEG!J14</f>
        <v>0.29513888888888884</v>
      </c>
      <c r="J12" s="29">
        <f>AP_CRONO_SEG!K14</f>
        <v>0.31597222222222215</v>
      </c>
      <c r="K12" s="29">
        <f>AP_CRONO_SEG!L14</f>
        <v>0.34722222222222215</v>
      </c>
      <c r="L12" s="29">
        <f>AP_CRONO_SEG!M14</f>
        <v>0.36805555555555547</v>
      </c>
      <c r="M12" s="29">
        <f>AP_CRONO_SEG!N14</f>
        <v>0.41319444444444436</v>
      </c>
      <c r="N12" s="29">
        <f>AP_CRONO_SEG!O14</f>
        <v>0.44444444444444436</v>
      </c>
      <c r="O12" s="29">
        <f>AP_CRONO_SEG!P14</f>
        <v>0.51041666666666663</v>
      </c>
      <c r="P12" s="29">
        <f>AP_CRONO_SEG!Q14</f>
        <v>0.51388888888888884</v>
      </c>
      <c r="Q12" s="29">
        <f>AP_CRONO_SEG!R14</f>
        <v>0.55902777777777768</v>
      </c>
      <c r="R12" s="29">
        <f t="shared" si="0"/>
        <v>5.5555555555555636E-3</v>
      </c>
      <c r="S12" s="29">
        <f t="shared" si="1"/>
        <v>4.8611111111110938E-3</v>
      </c>
      <c r="T12" s="29"/>
      <c r="U12" s="29"/>
      <c r="V12" s="29"/>
      <c r="W12" s="29"/>
      <c r="X12" s="29"/>
      <c r="Y12" s="29"/>
      <c r="Z12" s="29"/>
      <c r="AA12" s="29"/>
      <c r="AB12" s="29"/>
    </row>
    <row r="13" spans="1:28" s="26" customFormat="1" x14ac:dyDescent="0.3">
      <c r="A13">
        <v>4</v>
      </c>
      <c r="B13" t="s">
        <v>47</v>
      </c>
      <c r="C13" s="36">
        <f>SUMIFS(ENCOMENDA!K:K,ENCOMENDA!A:A,B13,ENCOMENDA!L:L,Crono_Seg!$D$1)</f>
        <v>4.62</v>
      </c>
      <c r="D13" s="29">
        <f>AP_CRONO_SEG!E15</f>
        <v>0.22083333333333338</v>
      </c>
      <c r="E13" s="1">
        <v>0.25555555555555559</v>
      </c>
      <c r="F13" s="29">
        <f>AP_CRONO_SEG!G15</f>
        <v>0.26944444444444449</v>
      </c>
      <c r="G13" s="29">
        <f>AP_CRONO_SEG!H15</f>
        <v>0.26944444444444449</v>
      </c>
      <c r="H13" s="29">
        <f>AP_CRONO_SEG!I15</f>
        <v>0.2729166666666667</v>
      </c>
      <c r="I13" s="29">
        <f>AP_CRONO_SEG!J15</f>
        <v>0.31805555555555559</v>
      </c>
      <c r="J13" s="29">
        <f>AP_CRONO_SEG!K15</f>
        <v>0.33888888888888891</v>
      </c>
      <c r="K13" s="29">
        <f>AP_CRONO_SEG!L15</f>
        <v>0.37013888888888891</v>
      </c>
      <c r="L13" s="29">
        <f>AP_CRONO_SEG!M15</f>
        <v>0.39097222222222222</v>
      </c>
      <c r="M13" s="29">
        <f>AP_CRONO_SEG!N15</f>
        <v>0.43611111111111112</v>
      </c>
      <c r="N13" s="29">
        <f>AP_CRONO_SEG!O15</f>
        <v>0.46736111111111112</v>
      </c>
      <c r="O13" s="29">
        <f>AP_CRONO_SEG!P15</f>
        <v>0.53333333333333333</v>
      </c>
      <c r="P13" s="29">
        <f>AP_CRONO_SEG!Q15</f>
        <v>0.53680555555555554</v>
      </c>
      <c r="Q13" s="29">
        <f>AP_CRONO_SEG!R15</f>
        <v>0.58194444444444438</v>
      </c>
      <c r="R13" s="29">
        <f t="shared" si="0"/>
        <v>5.5555555555555636E-3</v>
      </c>
      <c r="S13" s="29">
        <f t="shared" si="1"/>
        <v>2.2916666666666724E-2</v>
      </c>
      <c r="T13" s="29"/>
      <c r="U13" s="29"/>
      <c r="V13" s="29"/>
      <c r="W13" s="29"/>
      <c r="X13" s="29"/>
      <c r="Y13" s="29"/>
      <c r="Z13" s="29"/>
      <c r="AA13" s="29"/>
      <c r="AB13" s="29"/>
    </row>
    <row r="14" spans="1:28" s="26" customFormat="1" x14ac:dyDescent="0.3">
      <c r="A14">
        <v>5</v>
      </c>
      <c r="B14" t="s">
        <v>115</v>
      </c>
      <c r="C14" s="36">
        <f>SUMIFS(ENCOMENDA!K:K,ENCOMENDA!A:A,B14,ENCOMENDA!L:L,Crono_Seg!$D$1)</f>
        <v>1.5</v>
      </c>
      <c r="D14" s="29">
        <f>AP_CRONO_SEG!E16</f>
        <v>0.22638888888888895</v>
      </c>
      <c r="E14" s="1">
        <v>0.26111111111111113</v>
      </c>
      <c r="F14" s="29">
        <f>AP_CRONO_SEG!G16</f>
        <v>0.27500000000000002</v>
      </c>
      <c r="G14" s="29">
        <f>AP_CRONO_SEG!H16</f>
        <v>0.27500000000000002</v>
      </c>
      <c r="H14" s="29">
        <f>AP_CRONO_SEG!I16</f>
        <v>0.27847222222222223</v>
      </c>
      <c r="I14" s="29">
        <f>AP_CRONO_SEG!J16</f>
        <v>0.32361111111111113</v>
      </c>
      <c r="J14" s="29">
        <f>AP_CRONO_SEG!K16</f>
        <v>0.34444444444444444</v>
      </c>
      <c r="K14" s="29">
        <f>AP_CRONO_SEG!L16</f>
        <v>0.37569444444444444</v>
      </c>
      <c r="L14" s="29">
        <f>AP_CRONO_SEG!M16</f>
        <v>0.39652777777777776</v>
      </c>
      <c r="M14" s="29">
        <f>AP_CRONO_SEG!N16</f>
        <v>0.44166666666666665</v>
      </c>
      <c r="N14" s="29">
        <f>AP_CRONO_SEG!O16</f>
        <v>0.47291666666666665</v>
      </c>
      <c r="O14" s="29">
        <f>AP_CRONO_SEG!P16</f>
        <v>0.53888888888888886</v>
      </c>
      <c r="P14" s="29">
        <f>AP_CRONO_SEG!Q16</f>
        <v>0.54236111111111107</v>
      </c>
      <c r="Q14" s="29">
        <f>AP_CRONO_SEG!R16</f>
        <v>0.58749999999999991</v>
      </c>
      <c r="R14" s="29">
        <f t="shared" si="0"/>
        <v>5.5555555555555636E-3</v>
      </c>
      <c r="S14" s="29">
        <f t="shared" si="1"/>
        <v>5.5555555555555358E-3</v>
      </c>
      <c r="T14" s="29"/>
      <c r="U14" s="29"/>
      <c r="V14" s="29"/>
      <c r="W14" s="29"/>
      <c r="X14" s="29"/>
      <c r="Y14" s="29"/>
      <c r="Z14" s="29"/>
      <c r="AA14" s="29"/>
      <c r="AB14" s="29"/>
    </row>
    <row r="15" spans="1:28" x14ac:dyDescent="0.3">
      <c r="A15">
        <v>5</v>
      </c>
      <c r="B15" t="s">
        <v>20</v>
      </c>
      <c r="C15" s="36">
        <f>SUMIFS(ENCOMENDA!K:K,ENCOMENDA!A:A,B15,ENCOMENDA!L:L,Crono_Seg!$D$1)</f>
        <v>9.8400000000000016</v>
      </c>
      <c r="D15" s="29">
        <f>AP_CRONO_SEG!E17</f>
        <v>0.23194444444444451</v>
      </c>
      <c r="E15" s="1">
        <v>0.26250000000000001</v>
      </c>
      <c r="F15" s="31">
        <f>AP_CRONO_SEG!G17</f>
        <v>0.27638888888888891</v>
      </c>
      <c r="G15" s="31">
        <f>AP_CRONO_SEG!H17</f>
        <v>0.27638888888888891</v>
      </c>
      <c r="H15" s="31">
        <f>AP_CRONO_SEG!I17</f>
        <v>0.27986111111111112</v>
      </c>
      <c r="I15" s="31">
        <f>AP_CRONO_SEG!J17</f>
        <v>0.28819444444444448</v>
      </c>
      <c r="J15" s="31">
        <f>AP_CRONO_SEG!K17</f>
        <v>0.29652777777777783</v>
      </c>
      <c r="K15" s="31">
        <f>AP_CRONO_SEG!L17</f>
        <v>0.30000000000000004</v>
      </c>
      <c r="L15" s="31">
        <f>AP_CRONO_SEG!M17</f>
        <v>0.32777777777777783</v>
      </c>
      <c r="M15" s="31">
        <f>AP_CRONO_SEG!N17</f>
        <v>0.39375000000000004</v>
      </c>
      <c r="N15" s="31">
        <f>AP_CRONO_SEG!O17</f>
        <v>0.41805555555555562</v>
      </c>
      <c r="O15" s="31">
        <f>AP_CRONO_SEG!P17</f>
        <v>0.48402777777777783</v>
      </c>
      <c r="P15" s="31">
        <f>AP_CRONO_SEG!Q17</f>
        <v>0.51666666666666672</v>
      </c>
      <c r="Q15" s="31">
        <f>AP_CRONO_SEG!R17</f>
        <v>0.56180555555555556</v>
      </c>
      <c r="R15" s="29">
        <f t="shared" si="0"/>
        <v>5.5555555555555636E-3</v>
      </c>
      <c r="S15" s="29">
        <f t="shared" si="1"/>
        <v>1.388888888888884E-3</v>
      </c>
      <c r="T15" s="29"/>
      <c r="U15" s="29"/>
      <c r="V15" s="29"/>
      <c r="W15" s="29"/>
      <c r="X15" s="29"/>
      <c r="Y15" s="29"/>
      <c r="Z15" s="29"/>
      <c r="AA15" s="29"/>
      <c r="AB15" s="29"/>
    </row>
    <row r="16" spans="1:28" x14ac:dyDescent="0.3">
      <c r="A16">
        <v>6</v>
      </c>
      <c r="B16" t="s">
        <v>25</v>
      </c>
      <c r="C16" s="36">
        <f>SUMIFS(ENCOMENDA!K:K,ENCOMENDA!A:A,B16,ENCOMENDA!L:L,Crono_Seg!$D$1)</f>
        <v>7.4400000000000013</v>
      </c>
      <c r="D16" s="29">
        <f>AP_CRONO_SEG!E18</f>
        <v>0.23750000000000007</v>
      </c>
      <c r="E16" s="1">
        <v>0.27569444444444446</v>
      </c>
      <c r="F16" s="31">
        <f>AP_CRONO_SEG!G18</f>
        <v>0.28958333333333336</v>
      </c>
      <c r="G16" s="31">
        <f>AP_CRONO_SEG!H18</f>
        <v>0.28958333333333336</v>
      </c>
      <c r="H16" s="31">
        <f>AP_CRONO_SEG!I18</f>
        <v>0.29305555555555557</v>
      </c>
      <c r="I16" s="31">
        <f>AP_CRONO_SEG!J18</f>
        <v>0.30138888888888893</v>
      </c>
      <c r="J16" s="31">
        <f>AP_CRONO_SEG!K18</f>
        <v>0.30972222222222229</v>
      </c>
      <c r="K16" s="31">
        <f>AP_CRONO_SEG!L18</f>
        <v>0.3131944444444445</v>
      </c>
      <c r="L16" s="31">
        <f>AP_CRONO_SEG!M18</f>
        <v>0.34097222222222229</v>
      </c>
      <c r="M16" s="31">
        <f>AP_CRONO_SEG!N18</f>
        <v>0.4069444444444445</v>
      </c>
      <c r="N16" s="31">
        <f>AP_CRONO_SEG!O18</f>
        <v>0.43125000000000002</v>
      </c>
      <c r="O16" s="31">
        <f>AP_CRONO_SEG!P18</f>
        <v>0.49722222222222223</v>
      </c>
      <c r="P16" s="31">
        <f>AP_CRONO_SEG!Q18</f>
        <v>0.52986111111111112</v>
      </c>
      <c r="Q16" s="31">
        <f>AP_CRONO_SEG!R18</f>
        <v>0.57499999999999996</v>
      </c>
      <c r="R16" s="29">
        <f t="shared" si="0"/>
        <v>5.5555555555555636E-3</v>
      </c>
      <c r="S16" s="29">
        <f t="shared" si="1"/>
        <v>1.3194444444444453E-2</v>
      </c>
      <c r="T16" s="29"/>
      <c r="U16" s="29"/>
      <c r="V16" s="29"/>
      <c r="W16" s="29"/>
      <c r="X16" s="29"/>
      <c r="Y16" s="29"/>
      <c r="Z16" s="29"/>
      <c r="AA16" s="29"/>
      <c r="AB16" s="29"/>
    </row>
    <row r="17" spans="1:28" x14ac:dyDescent="0.3">
      <c r="A17">
        <v>6</v>
      </c>
      <c r="B17" t="s">
        <v>33</v>
      </c>
      <c r="C17" s="36">
        <v>3</v>
      </c>
      <c r="D17" s="29">
        <f>AP_CRONO_SEG!E19</f>
        <v>0.24305555555555564</v>
      </c>
      <c r="E17" s="1">
        <v>0.27569444444444446</v>
      </c>
      <c r="F17" s="31">
        <f>AP_CRONO_SEG!G19</f>
        <v>0.28958333333333336</v>
      </c>
      <c r="G17" s="31">
        <f>AP_CRONO_SEG!H19</f>
        <v>0.28958333333333336</v>
      </c>
      <c r="H17" s="31">
        <f>AP_CRONO_SEG!I19</f>
        <v>0.29305555555555557</v>
      </c>
      <c r="I17" s="31">
        <f>AP_CRONO_SEG!J19</f>
        <v>0.30138888888888893</v>
      </c>
      <c r="J17" s="31">
        <f>AP_CRONO_SEG!K19</f>
        <v>0.30972222222222229</v>
      </c>
      <c r="K17" s="31">
        <f>AP_CRONO_SEG!L19</f>
        <v>0.3131944444444445</v>
      </c>
      <c r="L17" s="31">
        <f>AP_CRONO_SEG!M19</f>
        <v>0.34097222222222229</v>
      </c>
      <c r="M17" s="31">
        <f>AP_CRONO_SEG!N19</f>
        <v>0.4069444444444445</v>
      </c>
      <c r="N17" s="31">
        <f>AP_CRONO_SEG!O19</f>
        <v>0.43125000000000002</v>
      </c>
      <c r="O17" s="31">
        <f>AP_CRONO_SEG!P19</f>
        <v>0.49722222222222223</v>
      </c>
      <c r="P17" s="31">
        <f>AP_CRONO_SEG!Q19</f>
        <v>0.52986111111111112</v>
      </c>
      <c r="Q17" s="31">
        <f>AP_CRONO_SEG!R19</f>
        <v>0.57499999999999996</v>
      </c>
      <c r="R17" s="29">
        <f t="shared" si="0"/>
        <v>5.5555555555555636E-3</v>
      </c>
      <c r="S17" s="29">
        <f t="shared" si="1"/>
        <v>0</v>
      </c>
      <c r="T17" s="29"/>
      <c r="U17" s="29"/>
      <c r="V17" s="29"/>
      <c r="W17" s="29"/>
      <c r="X17" s="29"/>
      <c r="Y17" s="29"/>
      <c r="Z17" s="29"/>
      <c r="AA17" s="29"/>
      <c r="AB17" s="29"/>
    </row>
    <row r="18" spans="1:28" x14ac:dyDescent="0.3">
      <c r="A18">
        <v>7</v>
      </c>
      <c r="B18" t="s">
        <v>22</v>
      </c>
      <c r="C18" s="36">
        <f>SUMIFS(ENCOMENDA!K:K,ENCOMENDA!A:A,B18,ENCOMENDA!L:L,Crono_Seg!$D$1)</f>
        <v>1.2000000000000002</v>
      </c>
      <c r="D18" s="29">
        <f>AP_CRONO_SEG!E20</f>
        <v>0.2486111111111112</v>
      </c>
      <c r="E18" s="1">
        <v>0.28472222222222221</v>
      </c>
      <c r="F18" s="31">
        <f>AP_CRONO_SEG!G20</f>
        <v>0.2986111111111111</v>
      </c>
      <c r="G18" s="31">
        <f>AP_CRONO_SEG!H20</f>
        <v>0.2986111111111111</v>
      </c>
      <c r="H18" s="31">
        <f>AP_CRONO_SEG!I20</f>
        <v>0.30208333333333331</v>
      </c>
      <c r="I18" s="31">
        <f>AP_CRONO_SEG!J20</f>
        <v>0.31041666666666667</v>
      </c>
      <c r="J18" s="31">
        <f>AP_CRONO_SEG!K20</f>
        <v>0.31875000000000003</v>
      </c>
      <c r="K18" s="31">
        <f>AP_CRONO_SEG!L20</f>
        <v>0.32222222222222224</v>
      </c>
      <c r="L18" s="31">
        <f>AP_CRONO_SEG!M20</f>
        <v>0.35000000000000003</v>
      </c>
      <c r="M18" s="31">
        <f>AP_CRONO_SEG!N20</f>
        <v>0.41597222222222224</v>
      </c>
      <c r="N18" s="31">
        <f>AP_CRONO_SEG!O20</f>
        <v>0.44027777777777777</v>
      </c>
      <c r="O18" s="31">
        <f>AP_CRONO_SEG!P20</f>
        <v>0.50624999999999998</v>
      </c>
      <c r="P18" s="31">
        <f>AP_CRONO_SEG!Q20</f>
        <v>0.53888888888888886</v>
      </c>
      <c r="Q18" s="31">
        <f>AP_CRONO_SEG!R20</f>
        <v>0.5840277777777777</v>
      </c>
      <c r="R18" s="29">
        <f t="shared" si="0"/>
        <v>5.5555555555555636E-3</v>
      </c>
      <c r="S18" s="29">
        <f t="shared" si="1"/>
        <v>9.0277777777777457E-3</v>
      </c>
      <c r="T18" s="29"/>
      <c r="U18" s="29"/>
      <c r="V18" s="29"/>
      <c r="W18" s="29"/>
      <c r="X18" s="29"/>
      <c r="Y18" s="29"/>
      <c r="Z18" s="29"/>
      <c r="AA18" s="29"/>
      <c r="AB18" s="29"/>
    </row>
    <row r="19" spans="1:28" x14ac:dyDescent="0.3">
      <c r="A19">
        <v>7</v>
      </c>
      <c r="B19" t="s">
        <v>27</v>
      </c>
      <c r="C19" s="36">
        <f>SUMIFS(ENCOMENDA!K:K,ENCOMENDA!A:A,B19,ENCOMENDA!L:L,Crono_Seg!$D$1)</f>
        <v>1.8</v>
      </c>
      <c r="D19" s="29">
        <f>AP_CRONO_SEG!E21</f>
        <v>0.25416666666666676</v>
      </c>
      <c r="E19" s="1">
        <v>0.28819444444444448</v>
      </c>
      <c r="F19" s="31">
        <f>AP_CRONO_SEG!G21</f>
        <v>0.30208333333333337</v>
      </c>
      <c r="G19" s="31">
        <f>AP_CRONO_SEG!H21</f>
        <v>0.30208333333333337</v>
      </c>
      <c r="H19" s="31">
        <f>AP_CRONO_SEG!I21</f>
        <v>0.30555555555555558</v>
      </c>
      <c r="I19" s="31">
        <f>AP_CRONO_SEG!J21</f>
        <v>0.31388888888888894</v>
      </c>
      <c r="J19" s="31">
        <f>AP_CRONO_SEG!K21</f>
        <v>0.3222222222222223</v>
      </c>
      <c r="K19" s="31">
        <f>AP_CRONO_SEG!L21</f>
        <v>0.32569444444444451</v>
      </c>
      <c r="L19" s="31">
        <f>AP_CRONO_SEG!M21</f>
        <v>0.3534722222222223</v>
      </c>
      <c r="M19" s="31">
        <f>AP_CRONO_SEG!N21</f>
        <v>0.41944444444444451</v>
      </c>
      <c r="N19" s="31">
        <f>AP_CRONO_SEG!O21</f>
        <v>0.44375000000000009</v>
      </c>
      <c r="O19" s="31">
        <f>AP_CRONO_SEG!P21</f>
        <v>0.5097222222222223</v>
      </c>
      <c r="P19" s="31">
        <f>AP_CRONO_SEG!Q21</f>
        <v>0.54236111111111118</v>
      </c>
      <c r="Q19" s="31">
        <f>AP_CRONO_SEG!R21</f>
        <v>0.58750000000000002</v>
      </c>
      <c r="R19" s="29">
        <f t="shared" si="0"/>
        <v>5.5555555555555636E-3</v>
      </c>
      <c r="S19" s="29">
        <f t="shared" si="1"/>
        <v>3.4722222222222654E-3</v>
      </c>
      <c r="T19" s="29"/>
      <c r="U19" s="29"/>
      <c r="V19" s="29"/>
      <c r="W19" s="29"/>
      <c r="X19" s="29"/>
      <c r="Y19" s="29"/>
      <c r="Z19" s="29"/>
      <c r="AA19" s="29"/>
      <c r="AB19" s="29"/>
    </row>
    <row r="20" spans="1:28" x14ac:dyDescent="0.3">
      <c r="A20">
        <v>7</v>
      </c>
      <c r="B20" t="s">
        <v>26</v>
      </c>
      <c r="C20" s="36">
        <f>SUMIFS(ENCOMENDA!K:K,ENCOMENDA!A:A,B20,ENCOMENDA!L:L,Crono_Seg!$D$1)</f>
        <v>1.17</v>
      </c>
      <c r="D20" s="29">
        <f>AP_CRONO_SEG!E22</f>
        <v>0.2597222222222223</v>
      </c>
      <c r="E20" s="1">
        <v>0.28819444444444448</v>
      </c>
      <c r="F20" s="31">
        <f>AP_CRONO_SEG!G22</f>
        <v>0.30208333333333337</v>
      </c>
      <c r="G20" s="31">
        <f>AP_CRONO_SEG!H22</f>
        <v>0.30208333333333337</v>
      </c>
      <c r="H20" s="31">
        <f>AP_CRONO_SEG!I22</f>
        <v>0.30555555555555558</v>
      </c>
      <c r="I20" s="31">
        <f>AP_CRONO_SEG!J22</f>
        <v>0.35069444444444448</v>
      </c>
      <c r="J20" s="31">
        <f>AP_CRONO_SEG!K22</f>
        <v>0.37152777777777779</v>
      </c>
      <c r="K20" s="31">
        <f>AP_CRONO_SEG!L22</f>
        <v>0.40277777777777779</v>
      </c>
      <c r="L20" s="31">
        <f>AP_CRONO_SEG!M22</f>
        <v>0.4236111111111111</v>
      </c>
      <c r="M20" s="31">
        <f>AP_CRONO_SEG!N22</f>
        <v>0.46875</v>
      </c>
      <c r="N20" s="31">
        <f>AP_CRONO_SEG!O22</f>
        <v>0.5</v>
      </c>
      <c r="O20" s="31">
        <f>AP_CRONO_SEG!P22</f>
        <v>0.56597222222222221</v>
      </c>
      <c r="P20" s="31">
        <f>AP_CRONO_SEG!Q22</f>
        <v>0.56944444444444442</v>
      </c>
      <c r="Q20" s="31">
        <f>AP_CRONO_SEG!R22</f>
        <v>0.61458333333333326</v>
      </c>
      <c r="R20" s="29">
        <f t="shared" si="0"/>
        <v>5.5555555555555358E-3</v>
      </c>
      <c r="S20" s="29">
        <f t="shared" si="1"/>
        <v>0</v>
      </c>
      <c r="T20" s="29"/>
      <c r="U20" s="29"/>
      <c r="V20" s="29"/>
      <c r="W20" s="29"/>
      <c r="X20" s="29"/>
      <c r="Y20" s="29"/>
      <c r="Z20" s="29"/>
      <c r="AA20" s="29"/>
      <c r="AB20" s="29"/>
    </row>
    <row r="21" spans="1:28" x14ac:dyDescent="0.3">
      <c r="A21">
        <v>8</v>
      </c>
      <c r="B21" t="s">
        <v>35</v>
      </c>
      <c r="C21" s="36">
        <f>SUMIFS(ENCOMENDA!K:K,ENCOMENDA!A:A,B21,ENCOMENDA!L:L,Crono_Seg!$D$1)</f>
        <v>1.77</v>
      </c>
      <c r="D21" s="29">
        <f>AP_CRONO_SEG!E23</f>
        <v>0.26527777777777783</v>
      </c>
      <c r="E21" s="1">
        <v>0.3215277777777778</v>
      </c>
      <c r="F21" s="31">
        <f>AP_CRONO_SEG!G23</f>
        <v>0.3354166666666667</v>
      </c>
      <c r="G21" s="31">
        <f>AP_CRONO_SEG!H23</f>
        <v>0.3354166666666667</v>
      </c>
      <c r="H21" s="31">
        <f>AP_CRONO_SEG!I23</f>
        <v>0.33888888888888891</v>
      </c>
      <c r="I21" s="31">
        <f>AP_CRONO_SEG!J23</f>
        <v>0.34722222222222227</v>
      </c>
      <c r="J21" s="31">
        <f>AP_CRONO_SEG!K23</f>
        <v>0.35555555555555562</v>
      </c>
      <c r="K21" s="31">
        <f>AP_CRONO_SEG!L23</f>
        <v>0.35902777777777783</v>
      </c>
      <c r="L21" s="31">
        <f>AP_CRONO_SEG!M23</f>
        <v>0.38680555555555562</v>
      </c>
      <c r="M21" s="31">
        <f>AP_CRONO_SEG!N23</f>
        <v>0.45277777777777783</v>
      </c>
      <c r="N21" s="31">
        <f>AP_CRONO_SEG!O23</f>
        <v>0.47708333333333341</v>
      </c>
      <c r="O21" s="31">
        <f>AP_CRONO_SEG!P23</f>
        <v>0.54305555555555562</v>
      </c>
      <c r="P21" s="31">
        <f>AP_CRONO_SEG!Q23</f>
        <v>0.57569444444444451</v>
      </c>
      <c r="Q21" s="31">
        <f>AP_CRONO_SEG!R23</f>
        <v>0.62083333333333335</v>
      </c>
      <c r="R21" s="29">
        <f t="shared" si="0"/>
        <v>5.5555555555555358E-3</v>
      </c>
      <c r="S21" s="29">
        <f t="shared" si="1"/>
        <v>3.3333333333333326E-2</v>
      </c>
      <c r="T21" s="29"/>
      <c r="U21" s="29"/>
      <c r="V21" s="29"/>
      <c r="W21" s="29"/>
      <c r="X21" s="29"/>
      <c r="Y21" s="29"/>
      <c r="Z21" s="29"/>
      <c r="AA21" s="29"/>
      <c r="AB21" s="29"/>
    </row>
    <row r="22" spans="1:28" x14ac:dyDescent="0.3">
      <c r="A22">
        <v>8</v>
      </c>
      <c r="B22" t="s">
        <v>61</v>
      </c>
      <c r="C22" s="36">
        <f>SUMIFS(ENCOMENDA!K:K,ENCOMENDA!A:A,B22,ENCOMENDA!L:L,Crono_Seg!$D$1)</f>
        <v>12.600000000000001</v>
      </c>
      <c r="D22" s="29">
        <f>AP_CRONO_SEG!E24</f>
        <v>0.27083333333333337</v>
      </c>
      <c r="E22" s="1">
        <v>0.3215277777777778</v>
      </c>
      <c r="F22" s="31">
        <f>AP_CRONO_SEG!G24</f>
        <v>0.3354166666666667</v>
      </c>
      <c r="G22" s="31">
        <f>AP_CRONO_SEG!H24</f>
        <v>0.3354166666666667</v>
      </c>
      <c r="H22" s="31">
        <f>AP_CRONO_SEG!I24</f>
        <v>0.33888888888888891</v>
      </c>
      <c r="I22" s="31">
        <f>AP_CRONO_SEG!J24</f>
        <v>0.34722222222222227</v>
      </c>
      <c r="J22" s="31">
        <f>AP_CRONO_SEG!K24</f>
        <v>0.35555555555555562</v>
      </c>
      <c r="K22" s="31">
        <f>AP_CRONO_SEG!L24</f>
        <v>0.35902777777777783</v>
      </c>
      <c r="L22" s="31">
        <f>AP_CRONO_SEG!M24</f>
        <v>0.38680555555555562</v>
      </c>
      <c r="M22" s="31">
        <f>AP_CRONO_SEG!N24</f>
        <v>0.45277777777777783</v>
      </c>
      <c r="N22" s="31">
        <f>AP_CRONO_SEG!O24</f>
        <v>0.47708333333333341</v>
      </c>
      <c r="O22" s="31">
        <f>AP_CRONO_SEG!P24</f>
        <v>0.54305555555555562</v>
      </c>
      <c r="P22" s="31">
        <f>AP_CRONO_SEG!Q24</f>
        <v>0.57569444444444451</v>
      </c>
      <c r="Q22" s="31">
        <f>AP_CRONO_SEG!R24</f>
        <v>0.62083333333333335</v>
      </c>
      <c r="R22" s="29">
        <f t="shared" si="0"/>
        <v>5.5555555555555358E-3</v>
      </c>
      <c r="S22" s="29">
        <f t="shared" si="1"/>
        <v>0</v>
      </c>
      <c r="T22" s="29"/>
      <c r="U22" s="29"/>
      <c r="V22" s="29"/>
      <c r="W22" s="29"/>
      <c r="X22" s="29"/>
      <c r="Y22" s="29"/>
      <c r="Z22" s="29"/>
      <c r="AA22" s="29"/>
      <c r="AB22" s="29"/>
    </row>
    <row r="23" spans="1:28" x14ac:dyDescent="0.3">
      <c r="A23">
        <v>8</v>
      </c>
      <c r="B23" t="s">
        <v>21</v>
      </c>
      <c r="C23" s="36">
        <f>SUMIFS(ENCOMENDA!K:K,ENCOMENDA!A:A,B23,ENCOMENDA!L:L,Crono_Seg!$D$1)</f>
        <v>39.400000000000006</v>
      </c>
      <c r="D23" s="29">
        <f>AP_CRONO_SEG!E25</f>
        <v>0.27638888888888891</v>
      </c>
      <c r="E23" s="1">
        <v>0.3215277777777778</v>
      </c>
      <c r="F23" s="31">
        <f>AP_CRONO_SEG!G25</f>
        <v>0.3354166666666667</v>
      </c>
      <c r="G23" s="31">
        <f>AP_CRONO_SEG!H25</f>
        <v>0.3354166666666667</v>
      </c>
      <c r="H23" s="31">
        <f>AP_CRONO_SEG!I25</f>
        <v>0.33888888888888891</v>
      </c>
      <c r="I23" s="31">
        <f>AP_CRONO_SEG!J25</f>
        <v>0.34722222222222227</v>
      </c>
      <c r="J23" s="31">
        <f>AP_CRONO_SEG!K25</f>
        <v>0.35555555555555562</v>
      </c>
      <c r="K23" s="31">
        <f>AP_CRONO_SEG!L25</f>
        <v>0.35902777777777783</v>
      </c>
      <c r="L23" s="31">
        <f>AP_CRONO_SEG!M25</f>
        <v>0.38680555555555562</v>
      </c>
      <c r="M23" s="31">
        <f>AP_CRONO_SEG!N25</f>
        <v>0.45277777777777783</v>
      </c>
      <c r="N23" s="31">
        <f>AP_CRONO_SEG!O25</f>
        <v>0.47708333333333341</v>
      </c>
      <c r="O23" s="31">
        <f>AP_CRONO_SEG!P25</f>
        <v>0.54305555555555562</v>
      </c>
      <c r="P23" s="31">
        <f>AP_CRONO_SEG!Q25</f>
        <v>0.57569444444444451</v>
      </c>
      <c r="Q23" s="31">
        <f>AP_CRONO_SEG!R25</f>
        <v>0.62083333333333335</v>
      </c>
      <c r="R23" s="29">
        <f t="shared" si="0"/>
        <v>5.5555555555555358E-3</v>
      </c>
      <c r="S23" s="29">
        <f t="shared" si="1"/>
        <v>0</v>
      </c>
      <c r="T23" s="29"/>
      <c r="U23" s="29"/>
      <c r="V23" s="29"/>
      <c r="W23" s="29"/>
      <c r="X23" s="29"/>
      <c r="Y23" s="29"/>
      <c r="Z23" s="29"/>
      <c r="AA23" s="29"/>
      <c r="AB23" s="29"/>
    </row>
    <row r="24" spans="1:28" x14ac:dyDescent="0.3">
      <c r="A24">
        <v>9</v>
      </c>
      <c r="B24" t="s">
        <v>53</v>
      </c>
      <c r="C24" s="36">
        <f>SUMIFS(ENCOMENDA!K:K,ENCOMENDA!A:A,B24,ENCOMENDA!L:L,Crono_Seg!$D$1)</f>
        <v>10</v>
      </c>
      <c r="D24" s="29">
        <f>AP_CRONO_SEG!E26</f>
        <v>0.28194444444444444</v>
      </c>
      <c r="E24" s="1">
        <v>0.36527777777777781</v>
      </c>
      <c r="F24" s="31">
        <f>AP_CRONO_SEG!G26</f>
        <v>0.37916666666666671</v>
      </c>
      <c r="G24" s="31">
        <f>AP_CRONO_SEG!H26</f>
        <v>0.37916666666666671</v>
      </c>
      <c r="H24" s="31">
        <f>AP_CRONO_SEG!I26</f>
        <v>0.38263888888888892</v>
      </c>
      <c r="I24" s="31">
        <f>AP_CRONO_SEG!J26</f>
        <v>0.42777777777777781</v>
      </c>
      <c r="J24" s="31">
        <f>AP_CRONO_SEG!K26</f>
        <v>0.44861111111111113</v>
      </c>
      <c r="K24" s="31">
        <f>AP_CRONO_SEG!L26</f>
        <v>0.47986111111111113</v>
      </c>
      <c r="L24" s="31">
        <f>AP_CRONO_SEG!M26</f>
        <v>0.50069444444444444</v>
      </c>
      <c r="M24" s="31">
        <f>AP_CRONO_SEG!N26</f>
        <v>0.54583333333333328</v>
      </c>
      <c r="N24" s="31">
        <f>AP_CRONO_SEG!O26</f>
        <v>0.57708333333333328</v>
      </c>
      <c r="O24" s="31">
        <f>AP_CRONO_SEG!P26</f>
        <v>0.64305555555555549</v>
      </c>
      <c r="P24" s="31">
        <f>AP_CRONO_SEG!Q26</f>
        <v>0.6465277777777777</v>
      </c>
      <c r="Q24" s="31">
        <f>AP_CRONO_SEG!R26</f>
        <v>0.69166666666666654</v>
      </c>
      <c r="R24" s="29">
        <f t="shared" si="0"/>
        <v>5.5555555555555358E-3</v>
      </c>
      <c r="S24" s="29">
        <f t="shared" si="1"/>
        <v>4.3750000000000011E-2</v>
      </c>
      <c r="T24" s="29"/>
      <c r="U24" s="29"/>
      <c r="V24" s="29"/>
      <c r="W24" s="29"/>
      <c r="X24" s="29"/>
      <c r="Y24" s="29"/>
      <c r="Z24" s="29"/>
      <c r="AA24" s="29"/>
      <c r="AB24" s="29"/>
    </row>
    <row r="25" spans="1:28" x14ac:dyDescent="0.3">
      <c r="A25">
        <v>9</v>
      </c>
      <c r="B25" t="s">
        <v>21</v>
      </c>
      <c r="C25" s="36">
        <f>SUMIFS(ENCOMENDA!K:K,ENCOMENDA!A:A,B25,ENCOMENDA!L:L,Crono_Seg!$D$1)</f>
        <v>39.400000000000006</v>
      </c>
      <c r="D25" s="29">
        <f>AP_CRONO_SEG!E27</f>
        <v>0.28749999999999998</v>
      </c>
      <c r="E25" s="1">
        <v>0.36805555555555558</v>
      </c>
      <c r="F25" s="31">
        <f>AP_CRONO_SEG!G27</f>
        <v>0.38194444444444448</v>
      </c>
      <c r="G25" s="31">
        <f>AP_CRONO_SEG!H27</f>
        <v>0.38194444444444448</v>
      </c>
      <c r="H25" s="31">
        <f>AP_CRONO_SEG!I27</f>
        <v>0.38541666666666669</v>
      </c>
      <c r="I25" s="31">
        <f>AP_CRONO_SEG!J27</f>
        <v>0.39375000000000004</v>
      </c>
      <c r="J25" s="31">
        <f>AP_CRONO_SEG!K27</f>
        <v>0.4020833333333334</v>
      </c>
      <c r="K25" s="31">
        <f>AP_CRONO_SEG!L27</f>
        <v>0.40555555555555561</v>
      </c>
      <c r="L25" s="31">
        <f>AP_CRONO_SEG!M27</f>
        <v>0.4333333333333334</v>
      </c>
      <c r="M25" s="31">
        <f>AP_CRONO_SEG!N27</f>
        <v>0.49930555555555561</v>
      </c>
      <c r="N25" s="31">
        <f>AP_CRONO_SEG!O27</f>
        <v>0.52361111111111114</v>
      </c>
      <c r="O25" s="31">
        <f>AP_CRONO_SEG!P27</f>
        <v>0.58958333333333335</v>
      </c>
      <c r="P25" s="31">
        <f>AP_CRONO_SEG!Q27</f>
        <v>0.62222222222222223</v>
      </c>
      <c r="Q25" s="31">
        <f>AP_CRONO_SEG!R27</f>
        <v>0.66736111111111107</v>
      </c>
      <c r="R25" s="29">
        <f t="shared" si="0"/>
        <v>5.5555555555555358E-3</v>
      </c>
      <c r="S25" s="29">
        <f t="shared" si="1"/>
        <v>2.7777777777777679E-3</v>
      </c>
      <c r="T25" s="29"/>
      <c r="U25" s="29"/>
      <c r="V25" s="29"/>
      <c r="W25" s="29"/>
      <c r="X25" s="29"/>
      <c r="Y25" s="29"/>
      <c r="Z25" s="29"/>
      <c r="AA25" s="29"/>
      <c r="AB25" s="29"/>
    </row>
    <row r="26" spans="1:28" x14ac:dyDescent="0.3">
      <c r="A26">
        <v>10</v>
      </c>
      <c r="B26" t="s">
        <v>30</v>
      </c>
      <c r="C26" s="36">
        <f>SUMIFS(ENCOMENDA!K:K,ENCOMENDA!A:A,B26,ENCOMENDA!L:L,Crono_Seg!$D$1)</f>
        <v>8.58</v>
      </c>
      <c r="D26" s="29">
        <f>AP_CRONO_SEG!E28</f>
        <v>0.29305555555555551</v>
      </c>
      <c r="E26" s="1">
        <v>0.42708333333333331</v>
      </c>
      <c r="F26" s="31">
        <f>AP_CRONO_SEG!G28</f>
        <v>0.44097222222222221</v>
      </c>
      <c r="G26" s="31">
        <f>AP_CRONO_SEG!H28</f>
        <v>0.44097222222222221</v>
      </c>
      <c r="H26" s="31">
        <f>AP_CRONO_SEG!I28</f>
        <v>0.44444444444444442</v>
      </c>
      <c r="I26" s="31">
        <f>AP_CRONO_SEG!J28</f>
        <v>0.48958333333333331</v>
      </c>
      <c r="J26" s="31">
        <f>AP_CRONO_SEG!K28</f>
        <v>0.51041666666666663</v>
      </c>
      <c r="K26" s="31">
        <f>AP_CRONO_SEG!L28</f>
        <v>0.54166666666666663</v>
      </c>
      <c r="L26" s="31">
        <f>AP_CRONO_SEG!M28</f>
        <v>0.5625</v>
      </c>
      <c r="M26" s="31">
        <f>AP_CRONO_SEG!N28</f>
        <v>0.60763888888888884</v>
      </c>
      <c r="N26" s="31">
        <f>AP_CRONO_SEG!O28</f>
        <v>0.63888888888888884</v>
      </c>
      <c r="O26" s="31">
        <f>AP_CRONO_SEG!P28</f>
        <v>0.70486111111111105</v>
      </c>
      <c r="P26" s="31">
        <f>AP_CRONO_SEG!Q28</f>
        <v>0.70833333333333326</v>
      </c>
      <c r="Q26" s="31">
        <f>AP_CRONO_SEG!R28</f>
        <v>0.7534722222222221</v>
      </c>
      <c r="R26" s="29">
        <f t="shared" si="0"/>
        <v>5.5555555555555358E-3</v>
      </c>
      <c r="S26" s="29">
        <f t="shared" si="1"/>
        <v>5.9027777777777735E-2</v>
      </c>
      <c r="T26" s="29"/>
      <c r="U26" s="29"/>
      <c r="V26" s="29"/>
      <c r="W26" s="29"/>
      <c r="X26" s="29"/>
      <c r="Y26" s="29"/>
      <c r="Z26" s="29"/>
      <c r="AA26" s="29"/>
      <c r="AB26" s="29"/>
    </row>
    <row r="27" spans="1:28" x14ac:dyDescent="0.3">
      <c r="C27" s="36">
        <f>SUMIFS(ENCOMENDA!K:K,ENCOMENDA!A:A,B27,ENCOMENDA!L:L,Crono_Seg!$D$1)</f>
        <v>0</v>
      </c>
      <c r="D27" s="29" t="str">
        <f>AP_CRONO_SEG!E29</f>
        <v/>
      </c>
      <c r="E27" s="1"/>
      <c r="F27" s="31" t="str">
        <f>AP_CRONO_SEG!G29</f>
        <v/>
      </c>
      <c r="G27" s="31" t="str">
        <f>AP_CRONO_SEG!H29</f>
        <v/>
      </c>
      <c r="H27" s="31" t="str">
        <f>AP_CRONO_SEG!I29</f>
        <v/>
      </c>
      <c r="I27" s="31" t="str">
        <f>AP_CRONO_SEG!J29</f>
        <v/>
      </c>
      <c r="J27" s="31" t="str">
        <f>AP_CRONO_SEG!K29</f>
        <v/>
      </c>
      <c r="K27" s="31" t="str">
        <f>AP_CRONO_SEG!L29</f>
        <v/>
      </c>
      <c r="L27" s="31" t="str">
        <f>AP_CRONO_SEG!M29</f>
        <v/>
      </c>
      <c r="M27" s="31" t="str">
        <f>AP_CRONO_SEG!N29</f>
        <v/>
      </c>
      <c r="N27" s="31" t="str">
        <f>AP_CRONO_SEG!O29</f>
        <v/>
      </c>
      <c r="O27" s="31" t="str">
        <f>AP_CRONO_SEG!P29</f>
        <v/>
      </c>
      <c r="P27" s="31" t="str">
        <f>AP_CRONO_SEG!Q29</f>
        <v/>
      </c>
      <c r="Q27" s="31" t="str">
        <f>AP_CRONO_SEG!R29</f>
        <v/>
      </c>
      <c r="R27" s="29" t="str">
        <f t="shared" si="0"/>
        <v/>
      </c>
      <c r="S27" s="29">
        <f t="shared" si="1"/>
        <v>-0.42708333333333331</v>
      </c>
      <c r="T27" s="29"/>
      <c r="U27" s="29"/>
      <c r="V27" s="29"/>
      <c r="W27" s="29"/>
      <c r="X27" s="29"/>
      <c r="Y27" s="29"/>
      <c r="Z27" s="29"/>
      <c r="AA27" s="29"/>
      <c r="AB27" s="29"/>
    </row>
    <row r="28" spans="1:28" x14ac:dyDescent="0.3">
      <c r="C28" s="36">
        <f>SUMIFS(ENCOMENDA!K:K,ENCOMENDA!A:A,B28,ENCOMENDA!L:L,Crono_Seg!$D$1)</f>
        <v>0</v>
      </c>
      <c r="D28" s="29" t="str">
        <f>AP_CRONO_SEG!E30</f>
        <v/>
      </c>
      <c r="E28" s="1"/>
      <c r="F28" s="31" t="str">
        <f>AP_CRONO_SEG!G30</f>
        <v/>
      </c>
      <c r="G28" s="31" t="str">
        <f>AP_CRONO_SEG!H30</f>
        <v/>
      </c>
      <c r="H28" s="31" t="str">
        <f>AP_CRONO_SEG!I30</f>
        <v/>
      </c>
      <c r="I28" s="31" t="str">
        <f>AP_CRONO_SEG!J30</f>
        <v/>
      </c>
      <c r="J28" s="31" t="str">
        <f>AP_CRONO_SEG!K30</f>
        <v/>
      </c>
      <c r="K28" s="31" t="str">
        <f>AP_CRONO_SEG!L30</f>
        <v/>
      </c>
      <c r="L28" s="31" t="str">
        <f>AP_CRONO_SEG!M30</f>
        <v/>
      </c>
      <c r="M28" s="31" t="str">
        <f>AP_CRONO_SEG!N30</f>
        <v/>
      </c>
      <c r="N28" s="31" t="str">
        <f>AP_CRONO_SEG!O30</f>
        <v/>
      </c>
      <c r="O28" s="31" t="str">
        <f>AP_CRONO_SEG!P30</f>
        <v/>
      </c>
      <c r="P28" s="31" t="str">
        <f>AP_CRONO_SEG!Q30</f>
        <v/>
      </c>
      <c r="Q28" s="31" t="str">
        <f>AP_CRONO_SEG!R30</f>
        <v/>
      </c>
      <c r="R28" s="29" t="str">
        <f t="shared" si="0"/>
        <v/>
      </c>
      <c r="S28" s="29" t="str">
        <f t="shared" si="1"/>
        <v/>
      </c>
      <c r="T28" s="29"/>
      <c r="U28" s="29"/>
      <c r="V28" s="29"/>
      <c r="W28" s="29"/>
      <c r="X28" s="29"/>
      <c r="Y28" s="29"/>
      <c r="Z28" s="29"/>
      <c r="AA28" s="29"/>
      <c r="AB28" s="29"/>
    </row>
    <row r="29" spans="1:28" x14ac:dyDescent="0.3">
      <c r="C29" s="36">
        <f>SUMIFS(ENCOMENDA!K:K,ENCOMENDA!A:A,B29,ENCOMENDA!L:L,Crono_Seg!$D$1)</f>
        <v>0</v>
      </c>
      <c r="D29" s="29" t="str">
        <f>AP_CRONO_SEG!E31</f>
        <v/>
      </c>
      <c r="E29" s="1"/>
      <c r="F29" s="31" t="str">
        <f>AP_CRONO_SEG!G31</f>
        <v/>
      </c>
      <c r="G29" s="31" t="str">
        <f>AP_CRONO_SEG!H31</f>
        <v/>
      </c>
      <c r="H29" s="31" t="str">
        <f>AP_CRONO_SEG!I31</f>
        <v/>
      </c>
      <c r="I29" s="31" t="str">
        <f>AP_CRONO_SEG!J31</f>
        <v/>
      </c>
      <c r="J29" s="31" t="str">
        <f>AP_CRONO_SEG!K31</f>
        <v/>
      </c>
      <c r="K29" s="31" t="str">
        <f>AP_CRONO_SEG!L31</f>
        <v/>
      </c>
      <c r="L29" s="31" t="str">
        <f>AP_CRONO_SEG!M31</f>
        <v/>
      </c>
      <c r="M29" s="31" t="str">
        <f>AP_CRONO_SEG!N31</f>
        <v/>
      </c>
      <c r="N29" s="31" t="str">
        <f>AP_CRONO_SEG!O31</f>
        <v/>
      </c>
      <c r="O29" s="31" t="str">
        <f>AP_CRONO_SEG!P31</f>
        <v/>
      </c>
      <c r="P29" s="31" t="str">
        <f>AP_CRONO_SEG!Q31</f>
        <v/>
      </c>
      <c r="Q29" s="31" t="str">
        <f>AP_CRONO_SEG!R31</f>
        <v/>
      </c>
      <c r="R29" s="29" t="str">
        <f t="shared" si="0"/>
        <v/>
      </c>
      <c r="S29" s="29" t="str">
        <f t="shared" si="1"/>
        <v/>
      </c>
      <c r="T29" s="29"/>
      <c r="U29" s="29"/>
      <c r="V29" s="29"/>
      <c r="W29" s="29"/>
      <c r="X29" s="29"/>
      <c r="Y29" s="29"/>
      <c r="Z29" s="29"/>
      <c r="AA29" s="29"/>
      <c r="AB29" s="29"/>
    </row>
    <row r="30" spans="1:28" x14ac:dyDescent="0.3">
      <c r="C30" s="36">
        <f>SUMIFS(ENCOMENDA!K:K,ENCOMENDA!A:A,B30,ENCOMENDA!L:L,Crono_Seg!$D$1)</f>
        <v>0</v>
      </c>
      <c r="D30" s="29" t="str">
        <f>AP_CRONO_SEG!E32</f>
        <v/>
      </c>
      <c r="E30" s="1"/>
      <c r="F30" s="31" t="str">
        <f>AP_CRONO_SEG!G32</f>
        <v/>
      </c>
      <c r="G30" s="31" t="str">
        <f>AP_CRONO_SEG!H32</f>
        <v/>
      </c>
      <c r="H30" s="31" t="str">
        <f>AP_CRONO_SEG!I32</f>
        <v/>
      </c>
      <c r="I30" s="31" t="str">
        <f>AP_CRONO_SEG!J32</f>
        <v/>
      </c>
      <c r="J30" s="31" t="str">
        <f>AP_CRONO_SEG!K32</f>
        <v/>
      </c>
      <c r="K30" s="31" t="str">
        <f>AP_CRONO_SEG!L32</f>
        <v/>
      </c>
      <c r="L30" s="31" t="str">
        <f>AP_CRONO_SEG!M32</f>
        <v/>
      </c>
      <c r="M30" s="31" t="str">
        <f>AP_CRONO_SEG!N32</f>
        <v/>
      </c>
      <c r="N30" s="31" t="str">
        <f>AP_CRONO_SEG!O32</f>
        <v/>
      </c>
      <c r="O30" s="31" t="str">
        <f>AP_CRONO_SEG!P32</f>
        <v/>
      </c>
      <c r="P30" s="31" t="str">
        <f>AP_CRONO_SEG!Q32</f>
        <v/>
      </c>
      <c r="Q30" s="31" t="str">
        <f>AP_CRONO_SEG!R32</f>
        <v/>
      </c>
      <c r="R30" s="29" t="str">
        <f t="shared" si="0"/>
        <v/>
      </c>
      <c r="S30" s="29" t="str">
        <f t="shared" si="1"/>
        <v/>
      </c>
      <c r="T30" s="29"/>
      <c r="U30" s="29"/>
      <c r="V30" s="29"/>
      <c r="W30" s="29"/>
      <c r="X30" s="29"/>
      <c r="Y30" s="29"/>
      <c r="Z30" s="29"/>
      <c r="AA30" s="29"/>
      <c r="AB30" s="29"/>
    </row>
    <row r="31" spans="1:28" x14ac:dyDescent="0.3">
      <c r="C31" s="36">
        <f>SUMIFS(ENCOMENDA!K:K,ENCOMENDA!A:A,B31,ENCOMENDA!L:L,Crono_Seg!$D$1)</f>
        <v>0</v>
      </c>
      <c r="D31" s="29" t="str">
        <f>AP_CRONO_SEG!E33</f>
        <v/>
      </c>
      <c r="E31" s="1"/>
      <c r="F31" s="31" t="str">
        <f>AP_CRONO_SEG!G33</f>
        <v/>
      </c>
      <c r="G31" s="31" t="str">
        <f>AP_CRONO_SEG!H33</f>
        <v/>
      </c>
      <c r="H31" s="31" t="str">
        <f>AP_CRONO_SEG!I33</f>
        <v/>
      </c>
      <c r="I31" s="31" t="str">
        <f>AP_CRONO_SEG!J33</f>
        <v/>
      </c>
      <c r="J31" s="31" t="str">
        <f>AP_CRONO_SEG!K33</f>
        <v/>
      </c>
      <c r="K31" s="31" t="str">
        <f>AP_CRONO_SEG!L33</f>
        <v/>
      </c>
      <c r="L31" s="31" t="str">
        <f>AP_CRONO_SEG!M33</f>
        <v/>
      </c>
      <c r="M31" s="31" t="str">
        <f>AP_CRONO_SEG!N33</f>
        <v/>
      </c>
      <c r="N31" s="31" t="str">
        <f>AP_CRONO_SEG!O33</f>
        <v/>
      </c>
      <c r="O31" s="31" t="str">
        <f>AP_CRONO_SEG!P33</f>
        <v/>
      </c>
      <c r="P31" s="31" t="str">
        <f>AP_CRONO_SEG!Q33</f>
        <v/>
      </c>
      <c r="Q31" s="31" t="str">
        <f>AP_CRONO_SEG!R33</f>
        <v/>
      </c>
      <c r="R31" s="29" t="str">
        <f t="shared" si="0"/>
        <v/>
      </c>
      <c r="S31" s="29" t="str">
        <f t="shared" si="1"/>
        <v/>
      </c>
      <c r="T31" s="29"/>
      <c r="U31" s="29"/>
      <c r="V31" s="29"/>
      <c r="W31" s="29"/>
      <c r="X31" s="29"/>
      <c r="Y31" s="29"/>
      <c r="Z31" s="29"/>
      <c r="AA31" s="29"/>
      <c r="AB31" s="29"/>
    </row>
    <row r="32" spans="1:28" x14ac:dyDescent="0.3">
      <c r="C32" s="36">
        <f>SUMIFS(ENCOMENDA!K:K,ENCOMENDA!A:A,B32,ENCOMENDA!L:L,Crono_Seg!$D$1)</f>
        <v>0</v>
      </c>
      <c r="D32" s="29" t="str">
        <f>AP_CRONO_SEG!E34</f>
        <v/>
      </c>
      <c r="E32" s="1"/>
      <c r="F32" s="31" t="str">
        <f>AP_CRONO_SEG!G34</f>
        <v/>
      </c>
      <c r="G32" s="31" t="str">
        <f>AP_CRONO_SEG!H34</f>
        <v/>
      </c>
      <c r="H32" s="31" t="str">
        <f>AP_CRONO_SEG!I34</f>
        <v/>
      </c>
      <c r="I32" s="31" t="str">
        <f>AP_CRONO_SEG!J34</f>
        <v/>
      </c>
      <c r="J32" s="31" t="str">
        <f>AP_CRONO_SEG!K34</f>
        <v/>
      </c>
      <c r="K32" s="31" t="str">
        <f>AP_CRONO_SEG!L34</f>
        <v/>
      </c>
      <c r="L32" s="31" t="str">
        <f>AP_CRONO_SEG!M34</f>
        <v/>
      </c>
      <c r="M32" s="31" t="str">
        <f>AP_CRONO_SEG!N34</f>
        <v/>
      </c>
      <c r="N32" s="31" t="str">
        <f>AP_CRONO_SEG!O34</f>
        <v/>
      </c>
      <c r="O32" s="31" t="str">
        <f>AP_CRONO_SEG!P34</f>
        <v/>
      </c>
      <c r="P32" s="31" t="str">
        <f>AP_CRONO_SEG!Q34</f>
        <v/>
      </c>
      <c r="Q32" s="31" t="str">
        <f>AP_CRONO_SEG!R34</f>
        <v/>
      </c>
      <c r="R32" s="29" t="str">
        <f t="shared" si="0"/>
        <v/>
      </c>
      <c r="S32" s="29" t="str">
        <f t="shared" si="1"/>
        <v/>
      </c>
      <c r="T32" s="29"/>
      <c r="U32" s="29"/>
      <c r="V32" s="29"/>
      <c r="W32" s="29"/>
      <c r="X32" s="29"/>
      <c r="Y32" s="29"/>
      <c r="Z32" s="29"/>
      <c r="AA32" s="29"/>
      <c r="AB32" s="29"/>
    </row>
    <row r="33" spans="3:17" x14ac:dyDescent="0.3">
      <c r="C33" s="36">
        <f>SUMIFS(ENCOMENDA!K:K,ENCOMENDA!A:A,B33,ENCOMENDA!L:L,Crono_Seg!$D$1)</f>
        <v>0</v>
      </c>
      <c r="D33" s="29" t="str">
        <f>AP_CRONO_SEG!E35</f>
        <v/>
      </c>
      <c r="E33" s="1"/>
      <c r="F33" s="31" t="str">
        <f>AP_CRONO_SEG!G35</f>
        <v/>
      </c>
      <c r="G33" s="31" t="str">
        <f>AP_CRONO_SEG!H35</f>
        <v/>
      </c>
      <c r="H33" s="31" t="str">
        <f>AP_CRONO_SEG!I35</f>
        <v/>
      </c>
      <c r="I33" s="31" t="str">
        <f>AP_CRONO_SEG!J35</f>
        <v/>
      </c>
      <c r="J33" s="31" t="str">
        <f>AP_CRONO_SEG!K35</f>
        <v/>
      </c>
      <c r="K33" s="31" t="str">
        <f>AP_CRONO_SEG!L35</f>
        <v/>
      </c>
      <c r="L33" s="31" t="str">
        <f>AP_CRONO_SEG!M35</f>
        <v/>
      </c>
      <c r="M33" s="31" t="str">
        <f>AP_CRONO_SEG!N35</f>
        <v/>
      </c>
      <c r="N33" s="31" t="str">
        <f>AP_CRONO_SEG!O35</f>
        <v/>
      </c>
      <c r="O33" s="31" t="str">
        <f>AP_CRONO_SEG!P35</f>
        <v/>
      </c>
      <c r="P33" s="31" t="str">
        <f>AP_CRONO_SEG!Q35</f>
        <v/>
      </c>
      <c r="Q33" s="31" t="str">
        <f>AP_CRONO_SEG!R35</f>
        <v/>
      </c>
    </row>
    <row r="34" spans="3:17" x14ac:dyDescent="0.3">
      <c r="C34" s="36">
        <f>SUMIFS(ENCOMENDA!K:K,ENCOMENDA!A:A,B34,ENCOMENDA!L:L,Crono_Seg!$D$1)</f>
        <v>0</v>
      </c>
      <c r="D34" s="29" t="str">
        <f>AP_CRONO_SEG!E36</f>
        <v/>
      </c>
      <c r="E34" s="1"/>
      <c r="F34" s="31" t="str">
        <f>AP_CRONO_SEG!G36</f>
        <v/>
      </c>
      <c r="G34" s="31" t="str">
        <f>AP_CRONO_SEG!H36</f>
        <v/>
      </c>
      <c r="H34" s="31" t="str">
        <f>AP_CRONO_SEG!I36</f>
        <v/>
      </c>
      <c r="I34" s="31" t="str">
        <f>AP_CRONO_SEG!J36</f>
        <v/>
      </c>
      <c r="J34" s="31" t="str">
        <f>AP_CRONO_SEG!K36</f>
        <v/>
      </c>
      <c r="K34" s="31" t="str">
        <f>AP_CRONO_SEG!L36</f>
        <v/>
      </c>
      <c r="L34" s="31" t="str">
        <f>AP_CRONO_SEG!M36</f>
        <v/>
      </c>
      <c r="M34" s="31" t="str">
        <f>AP_CRONO_SEG!N36</f>
        <v/>
      </c>
      <c r="N34" s="31" t="str">
        <f>AP_CRONO_SEG!O36</f>
        <v/>
      </c>
      <c r="O34" s="31" t="str">
        <f>AP_CRONO_SEG!P36</f>
        <v/>
      </c>
      <c r="P34" s="31" t="str">
        <f>AP_CRONO_SEG!Q36</f>
        <v/>
      </c>
      <c r="Q34" s="31" t="str">
        <f>AP_CRONO_SEG!R36</f>
        <v/>
      </c>
    </row>
  </sheetData>
  <autoFilter ref="A7:Q23" xr:uid="{6D6CBCE8-2285-4CAB-8F9F-71DDD9B4BE14}">
    <filterColumn colId="4" showButton="0"/>
  </autoFilter>
  <mergeCells count="1">
    <mergeCell ref="E7:F7"/>
  </mergeCells>
  <conditionalFormatting sqref="D8:D34 F8:Q34">
    <cfRule type="cellIs" dxfId="26" priority="1" operator="lessThan">
      <formula>$T$8</formula>
    </cfRule>
  </conditionalFormatting>
  <conditionalFormatting sqref="D8:D34 F8:Q34">
    <cfRule type="cellIs" dxfId="25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SEG" xr:uid="{1976B010-20AB-4436-848B-8912D9404777}"/>
  </hyperlink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600-FB21-47F7-92EE-8DD73F6CED2F}">
  <sheetPr codeName="Planilha7"/>
  <dimension ref="A1:U37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23" sqref="B23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91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93" t="s">
        <v>85</v>
      </c>
      <c r="G3" s="93"/>
    </row>
    <row r="7" spans="1:21" s="26" customFormat="1" ht="33" customHeight="1" x14ac:dyDescent="0.3">
      <c r="A7" s="27" t="s">
        <v>74</v>
      </c>
      <c r="B7" s="27" t="s">
        <v>75</v>
      </c>
      <c r="C7" s="27" t="s">
        <v>76</v>
      </c>
      <c r="D7" s="32" t="str">
        <f>AP_CRONO_SEG!E9</f>
        <v>PESAGEM</v>
      </c>
      <c r="E7" s="92" t="str">
        <f>AP_CRONO_SEG!F9</f>
        <v>INC_BATIMENTO</v>
      </c>
      <c r="F7" s="92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28</v>
      </c>
      <c r="C8" s="36">
        <f>SUMIFS(ENCOMENDA!K:K,ENCOMENDA!A:A,B8,ENCOMENDA!L:L,D$1)</f>
        <v>17.98</v>
      </c>
      <c r="D8" s="29">
        <f>AP_CRONO_TER!E10</f>
        <v>0.19305555555555556</v>
      </c>
      <c r="E8" s="1">
        <v>0.20833333333333334</v>
      </c>
      <c r="F8" s="29">
        <f>AP_CRONO_TER!G10</f>
        <v>0.22222222222222224</v>
      </c>
      <c r="G8" s="29">
        <f>AP_CRONO_TER!H10</f>
        <v>0.22222222222222224</v>
      </c>
      <c r="H8" s="29">
        <f>AP_CRONO_TER!I10</f>
        <v>0.22569444444444445</v>
      </c>
      <c r="I8" s="29">
        <f>AP_CRONO_TER!J10</f>
        <v>0.23402777777777778</v>
      </c>
      <c r="J8" s="29">
        <f>AP_CRONO_TER!K10</f>
        <v>0.24236111111111111</v>
      </c>
      <c r="K8" s="29">
        <f>AP_CRONO_TER!L10</f>
        <v>0.24583333333333332</v>
      </c>
      <c r="L8" s="29">
        <f>AP_CRONO_TER!M10</f>
        <v>0.27361111111111108</v>
      </c>
      <c r="M8" s="29">
        <f>AP_CRONO_TER!N10</f>
        <v>0.33958333333333329</v>
      </c>
      <c r="N8" s="29">
        <f>AP_CRONO_TER!O10</f>
        <v>0.36388888888888882</v>
      </c>
      <c r="O8" s="29">
        <f>AP_CRONO_TER!P10</f>
        <v>0.42986111111111103</v>
      </c>
      <c r="P8" s="29">
        <f>AP_CRONO_TER!Q10</f>
        <v>0.46249999999999991</v>
      </c>
      <c r="Q8" s="29">
        <f>AP_CRONO_TER!R10</f>
        <v>0.50763888888888875</v>
      </c>
      <c r="T8" s="30">
        <f>Relogio</f>
        <v>0.66748842592592583</v>
      </c>
      <c r="U8" s="29">
        <f>T8+S1</f>
        <v>0.66818287037037027</v>
      </c>
    </row>
    <row r="9" spans="1:21" s="26" customFormat="1" x14ac:dyDescent="0.3">
      <c r="A9" s="26">
        <v>1</v>
      </c>
      <c r="B9" t="s">
        <v>23</v>
      </c>
      <c r="C9" s="36">
        <f>SUMIFS(ENCOMENDA!K:K,ENCOMENDA!A:A,B9,ENCOMENDA!L:L,D$1)</f>
        <v>8.75</v>
      </c>
      <c r="D9" s="29">
        <f>AP_CRONO_TER!E11</f>
        <v>0.19861111111111113</v>
      </c>
      <c r="E9" s="1">
        <v>0.21180555555555555</v>
      </c>
      <c r="F9" s="29">
        <f>AP_CRONO_TER!G11</f>
        <v>0.22569444444444445</v>
      </c>
      <c r="G9" s="29">
        <f>AP_CRONO_TER!H11</f>
        <v>0.22569444444444445</v>
      </c>
      <c r="H9" s="29">
        <f>AP_CRONO_TER!I11</f>
        <v>0.22916666666666666</v>
      </c>
      <c r="I9" s="29">
        <f>AP_CRONO_TER!J11</f>
        <v>0.27430555555555552</v>
      </c>
      <c r="J9" s="29">
        <f>AP_CRONO_TER!K11</f>
        <v>0.29513888888888884</v>
      </c>
      <c r="K9" s="29">
        <f>AP_CRONO_TER!L11</f>
        <v>0.32638888888888884</v>
      </c>
      <c r="L9" s="29">
        <f>AP_CRONO_TER!M11</f>
        <v>0.34722222222222215</v>
      </c>
      <c r="M9" s="29">
        <f>AP_CRONO_TER!N11</f>
        <v>0.39236111111111105</v>
      </c>
      <c r="N9" s="29">
        <f>AP_CRONO_TER!O11</f>
        <v>0.42361111111111105</v>
      </c>
      <c r="O9" s="29">
        <f>AP_CRONO_TER!P11</f>
        <v>0.48958333333333326</v>
      </c>
      <c r="P9" s="29">
        <f>AP_CRONO_TER!Q11</f>
        <v>0.49305555555555547</v>
      </c>
      <c r="Q9" s="29">
        <f>AP_CRONO_TER!R11</f>
        <v>0.53819444444444431</v>
      </c>
      <c r="R9" s="29">
        <f t="shared" ref="R9:R32" si="0">IFERROR(D9-D8,"")</f>
        <v>5.5555555555555636E-3</v>
      </c>
      <c r="S9" s="29">
        <f>IFERROR(IF(E8=0,"",E9-E8),"")</f>
        <v>3.4722222222222099E-3</v>
      </c>
    </row>
    <row r="10" spans="1:21" s="26" customFormat="1" x14ac:dyDescent="0.3">
      <c r="A10" s="26">
        <v>2</v>
      </c>
      <c r="B10" t="s">
        <v>24</v>
      </c>
      <c r="C10" s="36">
        <f>SUMIFS(ENCOMENDA!K:K,ENCOMENDA!A:A,B10,ENCOMENDA!L:L,D$1)</f>
        <v>5</v>
      </c>
      <c r="D10" s="29">
        <f>AP_CRONO_TER!E12</f>
        <v>0.20416666666666669</v>
      </c>
      <c r="E10" s="1">
        <v>0.22916666666666666</v>
      </c>
      <c r="F10" s="29">
        <f>AP_CRONO_TER!G12</f>
        <v>0.24305555555555555</v>
      </c>
      <c r="G10" s="29">
        <f>AP_CRONO_TER!H12</f>
        <v>0.24305555555555555</v>
      </c>
      <c r="H10" s="29">
        <f>AP_CRONO_TER!I12</f>
        <v>0.24652777777777776</v>
      </c>
      <c r="I10" s="29">
        <f>AP_CRONO_TER!J12</f>
        <v>0.29166666666666663</v>
      </c>
      <c r="J10" s="29">
        <f>AP_CRONO_TER!K12</f>
        <v>0.31249999999999994</v>
      </c>
      <c r="K10" s="29">
        <f>AP_CRONO_TER!L12</f>
        <v>0.34374999999999994</v>
      </c>
      <c r="L10" s="29">
        <f>AP_CRONO_TER!M12</f>
        <v>0.36458333333333326</v>
      </c>
      <c r="M10" s="29">
        <f>AP_CRONO_TER!N12</f>
        <v>0.40972222222222215</v>
      </c>
      <c r="N10" s="29">
        <f>AP_CRONO_TER!O12</f>
        <v>0.44097222222222215</v>
      </c>
      <c r="O10" s="29">
        <f>AP_CRONO_TER!P12</f>
        <v>0.50694444444444442</v>
      </c>
      <c r="P10" s="29">
        <f>AP_CRONO_TER!Q12</f>
        <v>0.51041666666666663</v>
      </c>
      <c r="Q10" s="29">
        <f>AP_CRONO_TER!R12</f>
        <v>0.55555555555555547</v>
      </c>
      <c r="R10" s="29">
        <f t="shared" si="0"/>
        <v>5.5555555555555636E-3</v>
      </c>
      <c r="S10" s="29">
        <f t="shared" ref="S10:S26" si="1">IFERROR(IF(E9=0,"",E10-E9),"")</f>
        <v>1.7361111111111105E-2</v>
      </c>
    </row>
    <row r="11" spans="1:21" s="26" customFormat="1" x14ac:dyDescent="0.3">
      <c r="A11" s="26">
        <v>2</v>
      </c>
      <c r="B11" t="s">
        <v>56</v>
      </c>
      <c r="C11" s="36">
        <f>SUMIFS(ENCOMENDA!K:K,ENCOMENDA!A:A,B11,ENCOMENDA!L:L,D$1)</f>
        <v>9</v>
      </c>
      <c r="D11" s="29">
        <f>AP_CRONO_TER!E13</f>
        <v>0.20972222222222225</v>
      </c>
      <c r="E11" s="1">
        <v>0.23263888888888887</v>
      </c>
      <c r="F11" s="29">
        <f>AP_CRONO_TER!G13</f>
        <v>0.24652777777777776</v>
      </c>
      <c r="G11" s="29">
        <f>AP_CRONO_TER!H13</f>
        <v>0.24652777777777776</v>
      </c>
      <c r="H11" s="29">
        <f>AP_CRONO_TER!I13</f>
        <v>0.24999999999999997</v>
      </c>
      <c r="I11" s="29">
        <f>AP_CRONO_TER!J13</f>
        <v>0.29513888888888884</v>
      </c>
      <c r="J11" s="29">
        <f>AP_CRONO_TER!K13</f>
        <v>0.31597222222222215</v>
      </c>
      <c r="K11" s="29">
        <f>AP_CRONO_TER!L13</f>
        <v>0.34722222222222215</v>
      </c>
      <c r="L11" s="29">
        <f>AP_CRONO_TER!M13</f>
        <v>0.36805555555555547</v>
      </c>
      <c r="M11" s="29">
        <f>AP_CRONO_TER!N13</f>
        <v>0.41319444444444436</v>
      </c>
      <c r="N11" s="29">
        <f>AP_CRONO_TER!O13</f>
        <v>0.44444444444444436</v>
      </c>
      <c r="O11" s="29">
        <f>AP_CRONO_TER!P13</f>
        <v>0.51041666666666663</v>
      </c>
      <c r="P11" s="29">
        <f>AP_CRONO_TER!Q13</f>
        <v>0.51388888888888884</v>
      </c>
      <c r="Q11" s="29">
        <f>AP_CRONO_TER!R13</f>
        <v>0.55902777777777768</v>
      </c>
      <c r="R11" s="29">
        <f t="shared" si="0"/>
        <v>5.5555555555555636E-3</v>
      </c>
      <c r="S11" s="29">
        <f t="shared" si="1"/>
        <v>3.4722222222222099E-3</v>
      </c>
    </row>
    <row r="12" spans="1:21" s="26" customFormat="1" x14ac:dyDescent="0.3">
      <c r="A12" s="26">
        <v>3</v>
      </c>
      <c r="B12" t="s">
        <v>113</v>
      </c>
      <c r="C12" s="36">
        <f>SUMIFS(ENCOMENDA!K:K,ENCOMENDA!A:A,B12,ENCOMENDA!L:L,D$1)</f>
        <v>2.6</v>
      </c>
      <c r="D12" s="29">
        <f>AP_CRONO_TER!E14</f>
        <v>0.21527777777777782</v>
      </c>
      <c r="E12" s="1">
        <v>0.25694444444444448</v>
      </c>
      <c r="F12" s="29">
        <f>AP_CRONO_TER!G14</f>
        <v>0.27083333333333337</v>
      </c>
      <c r="G12" s="29">
        <f>AP_CRONO_TER!H14</f>
        <v>0.27083333333333337</v>
      </c>
      <c r="H12" s="29">
        <f>AP_CRONO_TER!I14</f>
        <v>0.27430555555555558</v>
      </c>
      <c r="I12" s="29">
        <f>AP_CRONO_TER!J14</f>
        <v>0.31944444444444448</v>
      </c>
      <c r="J12" s="29">
        <f>AP_CRONO_TER!K14</f>
        <v>0.34027777777777779</v>
      </c>
      <c r="K12" s="29">
        <f>AP_CRONO_TER!L14</f>
        <v>0.37152777777777779</v>
      </c>
      <c r="L12" s="29">
        <f>AP_CRONO_TER!M14</f>
        <v>0.3923611111111111</v>
      </c>
      <c r="M12" s="29">
        <f>AP_CRONO_TER!N14</f>
        <v>0.4375</v>
      </c>
      <c r="N12" s="29">
        <f>AP_CRONO_TER!O14</f>
        <v>0.46875</v>
      </c>
      <c r="O12" s="29">
        <f>AP_CRONO_TER!P14</f>
        <v>0.53472222222222221</v>
      </c>
      <c r="P12" s="29">
        <f>AP_CRONO_TER!Q14</f>
        <v>0.53819444444444442</v>
      </c>
      <c r="Q12" s="29">
        <f>AP_CRONO_TER!R14</f>
        <v>0.58333333333333326</v>
      </c>
      <c r="R12" s="29">
        <f t="shared" si="0"/>
        <v>5.5555555555555636E-3</v>
      </c>
      <c r="S12" s="29">
        <f t="shared" si="1"/>
        <v>2.4305555555555608E-2</v>
      </c>
    </row>
    <row r="13" spans="1:21" s="26" customFormat="1" x14ac:dyDescent="0.3">
      <c r="A13" s="26">
        <v>3</v>
      </c>
      <c r="B13" t="s">
        <v>49</v>
      </c>
      <c r="C13" s="36">
        <f>SUMIFS(ENCOMENDA!K:K,ENCOMENDA!A:A,B13,ENCOMENDA!L:L,D$1)</f>
        <v>1.2600000000000002</v>
      </c>
      <c r="D13" s="29">
        <f>AP_CRONO_TER!E15</f>
        <v>0.22083333333333338</v>
      </c>
      <c r="E13" s="1">
        <v>0.25833333333333336</v>
      </c>
      <c r="F13" s="29">
        <f>AP_CRONO_TER!G15</f>
        <v>0.27222222222222225</v>
      </c>
      <c r="G13" s="29">
        <f>AP_CRONO_TER!H15</f>
        <v>0.27222222222222225</v>
      </c>
      <c r="H13" s="29">
        <f>AP_CRONO_TER!I15</f>
        <v>0.27569444444444446</v>
      </c>
      <c r="I13" s="29">
        <f>AP_CRONO_TER!J15</f>
        <v>0.28402777777777782</v>
      </c>
      <c r="J13" s="29">
        <f>AP_CRONO_TER!K15</f>
        <v>0.29236111111111118</v>
      </c>
      <c r="K13" s="29">
        <f>AP_CRONO_TER!L15</f>
        <v>0.29583333333333339</v>
      </c>
      <c r="L13" s="29">
        <f>AP_CRONO_TER!M15</f>
        <v>0.32361111111111118</v>
      </c>
      <c r="M13" s="29">
        <f>AP_CRONO_TER!N15</f>
        <v>0.38958333333333339</v>
      </c>
      <c r="N13" s="29">
        <f>AP_CRONO_TER!O15</f>
        <v>0.41388888888888897</v>
      </c>
      <c r="O13" s="29">
        <f>AP_CRONO_TER!P15</f>
        <v>0.47986111111111118</v>
      </c>
      <c r="P13" s="29">
        <f>AP_CRONO_TER!Q15</f>
        <v>0.51250000000000007</v>
      </c>
      <c r="Q13" s="29">
        <f>AP_CRONO_TER!R15</f>
        <v>0.55763888888888891</v>
      </c>
      <c r="R13" s="29">
        <f t="shared" si="0"/>
        <v>5.5555555555555636E-3</v>
      </c>
      <c r="S13" s="29">
        <f t="shared" si="1"/>
        <v>1.388888888888884E-3</v>
      </c>
    </row>
    <row r="14" spans="1:21" s="26" customFormat="1" x14ac:dyDescent="0.3">
      <c r="A14" s="26">
        <v>4</v>
      </c>
      <c r="B14" t="s">
        <v>32</v>
      </c>
      <c r="C14" s="36">
        <f>SUMIFS(ENCOMENDA!K:K,ENCOMENDA!A:A,B14,ENCOMENDA!L:L,D$1)</f>
        <v>2.2400000000000002</v>
      </c>
      <c r="D14" s="29">
        <f>AP_CRONO_TER!E16</f>
        <v>0.22638888888888895</v>
      </c>
      <c r="E14" s="1">
        <v>0.27777777777777779</v>
      </c>
      <c r="F14" s="29">
        <f>AP_CRONO_TER!G16</f>
        <v>0.29166666666666669</v>
      </c>
      <c r="G14" s="29">
        <f>AP_CRONO_TER!H16</f>
        <v>0.29166666666666669</v>
      </c>
      <c r="H14" s="29">
        <f>AP_CRONO_TER!I16</f>
        <v>0.2951388888888889</v>
      </c>
      <c r="I14" s="29">
        <f>AP_CRONO_TER!J16</f>
        <v>0.30347222222222225</v>
      </c>
      <c r="J14" s="29">
        <f>AP_CRONO_TER!K16</f>
        <v>0.31180555555555561</v>
      </c>
      <c r="K14" s="29">
        <f>AP_CRONO_TER!L16</f>
        <v>0.31527777777777782</v>
      </c>
      <c r="L14" s="29">
        <f>AP_CRONO_TER!M16</f>
        <v>0.34305555555555561</v>
      </c>
      <c r="M14" s="29">
        <f>AP_CRONO_TER!N16</f>
        <v>0.40902777777777782</v>
      </c>
      <c r="N14" s="29">
        <f>AP_CRONO_TER!O16</f>
        <v>0.43333333333333335</v>
      </c>
      <c r="O14" s="29">
        <f>AP_CRONO_TER!P16</f>
        <v>0.49930555555555556</v>
      </c>
      <c r="P14" s="29">
        <f>AP_CRONO_TER!Q16</f>
        <v>0.53194444444444444</v>
      </c>
      <c r="Q14" s="29">
        <f>AP_CRONO_TER!R16</f>
        <v>0.57708333333333328</v>
      </c>
      <c r="R14" s="29">
        <f t="shared" si="0"/>
        <v>5.5555555555555636E-3</v>
      </c>
      <c r="S14" s="29">
        <f t="shared" si="1"/>
        <v>1.9444444444444431E-2</v>
      </c>
    </row>
    <row r="15" spans="1:21" x14ac:dyDescent="0.3">
      <c r="A15" s="26">
        <v>4</v>
      </c>
      <c r="B15" t="s">
        <v>25</v>
      </c>
      <c r="C15" s="36">
        <f>SUMIFS(ENCOMENDA!K:K,ENCOMENDA!A:A,B15,ENCOMENDA!L:L,D$1)</f>
        <v>15.280000000000003</v>
      </c>
      <c r="D15" s="31">
        <f>AP_CRONO_TER!E17</f>
        <v>0.23194444444444451</v>
      </c>
      <c r="E15" s="1">
        <v>0.28125</v>
      </c>
      <c r="F15" s="31">
        <f>AP_CRONO_TER!G17</f>
        <v>0.2951388888888889</v>
      </c>
      <c r="G15" s="31">
        <f>AP_CRONO_TER!H17</f>
        <v>0.2951388888888889</v>
      </c>
      <c r="H15" s="31">
        <f>AP_CRONO_TER!I17</f>
        <v>0.2986111111111111</v>
      </c>
      <c r="I15" s="31">
        <f>AP_CRONO_TER!J17</f>
        <v>0.30694444444444446</v>
      </c>
      <c r="J15" s="31">
        <f>AP_CRONO_TER!K17</f>
        <v>0.31527777777777782</v>
      </c>
      <c r="K15" s="31">
        <f>AP_CRONO_TER!L17</f>
        <v>0.31875000000000003</v>
      </c>
      <c r="L15" s="31">
        <f>AP_CRONO_TER!M17</f>
        <v>0.34652777777777782</v>
      </c>
      <c r="M15" s="31">
        <f>AP_CRONO_TER!N17</f>
        <v>0.41250000000000003</v>
      </c>
      <c r="N15" s="31">
        <f>AP_CRONO_TER!O17</f>
        <v>0.43680555555555556</v>
      </c>
      <c r="O15" s="31">
        <f>AP_CRONO_TER!P17</f>
        <v>0.50277777777777777</v>
      </c>
      <c r="P15" s="31">
        <f>AP_CRONO_TER!Q17</f>
        <v>0.53541666666666665</v>
      </c>
      <c r="Q15" s="31">
        <f>AP_CRONO_TER!R17</f>
        <v>0.58055555555555549</v>
      </c>
      <c r="R15" s="29">
        <f t="shared" si="0"/>
        <v>5.5555555555555636E-3</v>
      </c>
      <c r="S15" s="29">
        <f t="shared" si="1"/>
        <v>3.4722222222222099E-3</v>
      </c>
    </row>
    <row r="16" spans="1:21" x14ac:dyDescent="0.3">
      <c r="A16" s="26">
        <v>5</v>
      </c>
      <c r="B16" t="s">
        <v>22</v>
      </c>
      <c r="C16" s="36">
        <f>SUMIFS(ENCOMENDA!K:K,ENCOMENDA!A:A,B16,ENCOMENDA!L:L,D$1)</f>
        <v>2.8400000000000003</v>
      </c>
      <c r="D16" s="31">
        <f>AP_CRONO_TER!E18</f>
        <v>0.23750000000000007</v>
      </c>
      <c r="E16" s="1">
        <v>0.31597222222222221</v>
      </c>
      <c r="F16" s="31">
        <f>AP_CRONO_TER!G18</f>
        <v>0.3298611111111111</v>
      </c>
      <c r="G16" s="31">
        <f>AP_CRONO_TER!H18</f>
        <v>0.3298611111111111</v>
      </c>
      <c r="H16" s="31">
        <f>AP_CRONO_TER!I18</f>
        <v>0.33333333333333331</v>
      </c>
      <c r="I16" s="31">
        <f>AP_CRONO_TER!J18</f>
        <v>0.34166666666666667</v>
      </c>
      <c r="J16" s="31">
        <f>AP_CRONO_TER!K18</f>
        <v>0.35000000000000003</v>
      </c>
      <c r="K16" s="31">
        <f>AP_CRONO_TER!L18</f>
        <v>0.35347222222222224</v>
      </c>
      <c r="L16" s="31">
        <f>AP_CRONO_TER!M18</f>
        <v>0.38125000000000003</v>
      </c>
      <c r="M16" s="31">
        <f>AP_CRONO_TER!N18</f>
        <v>0.44722222222222224</v>
      </c>
      <c r="N16" s="31">
        <f>AP_CRONO_TER!O18</f>
        <v>0.47152777777777777</v>
      </c>
      <c r="O16" s="31">
        <f>AP_CRONO_TER!P18</f>
        <v>0.53749999999999998</v>
      </c>
      <c r="P16" s="31">
        <f>AP_CRONO_TER!Q18</f>
        <v>0.57013888888888886</v>
      </c>
      <c r="Q16" s="31">
        <f>AP_CRONO_TER!R18</f>
        <v>0.6152777777777777</v>
      </c>
      <c r="R16" s="29">
        <f t="shared" si="0"/>
        <v>5.5555555555555636E-3</v>
      </c>
      <c r="S16" s="29">
        <f t="shared" si="1"/>
        <v>3.472222222222221E-2</v>
      </c>
    </row>
    <row r="17" spans="1:19" x14ac:dyDescent="0.3">
      <c r="A17" s="26">
        <v>5</v>
      </c>
      <c r="B17" t="s">
        <v>27</v>
      </c>
      <c r="C17" s="36">
        <f>SUMIFS(ENCOMENDA!K:K,ENCOMENDA!A:A,B17,ENCOMENDA!L:L,D$1)</f>
        <v>0.9</v>
      </c>
      <c r="D17" s="31">
        <f>AP_CRONO_TER!E19</f>
        <v>0.24305555555555564</v>
      </c>
      <c r="E17" s="1">
        <v>0.34027777777777773</v>
      </c>
      <c r="F17" s="31">
        <f>AP_CRONO_TER!G19</f>
        <v>0.35416666666666663</v>
      </c>
      <c r="G17" s="31">
        <f>AP_CRONO_TER!H19</f>
        <v>0.35416666666666663</v>
      </c>
      <c r="H17" s="31">
        <f>AP_CRONO_TER!I19</f>
        <v>0.35763888888888884</v>
      </c>
      <c r="I17" s="31">
        <f>AP_CRONO_TER!J19</f>
        <v>0.3659722222222222</v>
      </c>
      <c r="J17" s="31">
        <f>AP_CRONO_TER!K19</f>
        <v>0.37430555555555556</v>
      </c>
      <c r="K17" s="31">
        <f>AP_CRONO_TER!L19</f>
        <v>0.37777777777777777</v>
      </c>
      <c r="L17" s="31">
        <f>AP_CRONO_TER!M19</f>
        <v>0.40555555555555556</v>
      </c>
      <c r="M17" s="31">
        <f>AP_CRONO_TER!N19</f>
        <v>0.47152777777777777</v>
      </c>
      <c r="N17" s="31">
        <f>AP_CRONO_TER!O19</f>
        <v>0.49583333333333335</v>
      </c>
      <c r="O17" s="31">
        <f>AP_CRONO_TER!P19</f>
        <v>0.56180555555555556</v>
      </c>
      <c r="P17" s="31">
        <f>AP_CRONO_TER!Q19</f>
        <v>0.59444444444444444</v>
      </c>
      <c r="Q17" s="31">
        <f>AP_CRONO_TER!R19</f>
        <v>0.63958333333333328</v>
      </c>
      <c r="R17" s="29">
        <f t="shared" si="0"/>
        <v>5.5555555555555636E-3</v>
      </c>
      <c r="S17" s="29">
        <f t="shared" si="1"/>
        <v>2.4305555555555525E-2</v>
      </c>
    </row>
    <row r="18" spans="1:19" x14ac:dyDescent="0.3">
      <c r="A18" s="26">
        <v>6</v>
      </c>
      <c r="B18" t="s">
        <v>21</v>
      </c>
      <c r="C18" s="36">
        <f>SUMIFS(ENCOMENDA!K:K,ENCOMENDA!A:A,B18,ENCOMENDA!L:L,D$1)</f>
        <v>56.68</v>
      </c>
      <c r="D18" s="31">
        <f>AP_CRONO_TER!E20</f>
        <v>0.2486111111111112</v>
      </c>
      <c r="E18" s="1">
        <v>0.35347222222222219</v>
      </c>
      <c r="F18" s="31">
        <f>AP_CRONO_TER!G20</f>
        <v>0.36736111111111108</v>
      </c>
      <c r="G18" s="31">
        <f>AP_CRONO_TER!H20</f>
        <v>0.36736111111111108</v>
      </c>
      <c r="H18" s="31">
        <f>AP_CRONO_TER!I20</f>
        <v>0.37083333333333329</v>
      </c>
      <c r="I18" s="31">
        <f>AP_CRONO_TER!J20</f>
        <v>0.37916666666666665</v>
      </c>
      <c r="J18" s="31">
        <f>AP_CRONO_TER!K20</f>
        <v>0.38750000000000001</v>
      </c>
      <c r="K18" s="31">
        <f>AP_CRONO_TER!L20</f>
        <v>0.39097222222222222</v>
      </c>
      <c r="L18" s="31">
        <f>AP_CRONO_TER!M20</f>
        <v>0.41875000000000001</v>
      </c>
      <c r="M18" s="31">
        <f>AP_CRONO_TER!N20</f>
        <v>0.48472222222222222</v>
      </c>
      <c r="N18" s="31">
        <f>AP_CRONO_TER!O20</f>
        <v>0.50902777777777775</v>
      </c>
      <c r="O18" s="31">
        <f>AP_CRONO_TER!P20</f>
        <v>0.57499999999999996</v>
      </c>
      <c r="P18" s="31">
        <f>AP_CRONO_TER!Q20</f>
        <v>0.60763888888888884</v>
      </c>
      <c r="Q18" s="31">
        <f>AP_CRONO_TER!R20</f>
        <v>0.65277777777777768</v>
      </c>
      <c r="R18" s="29">
        <f t="shared" si="0"/>
        <v>5.5555555555555636E-3</v>
      </c>
      <c r="S18" s="29">
        <f t="shared" si="1"/>
        <v>1.3194444444444453E-2</v>
      </c>
    </row>
    <row r="19" spans="1:19" x14ac:dyDescent="0.3">
      <c r="A19" s="26">
        <v>7</v>
      </c>
      <c r="B19" t="s">
        <v>21</v>
      </c>
      <c r="C19" s="36">
        <f>SUMIFS(ENCOMENDA!K:K,ENCOMENDA!A:A,B19,ENCOMENDA!L:L,D$1)</f>
        <v>56.68</v>
      </c>
      <c r="D19" s="31">
        <f>AP_CRONO_TER!E21</f>
        <v>0.25416666666666676</v>
      </c>
      <c r="E19" s="1">
        <v>0.39583333333333331</v>
      </c>
      <c r="F19" s="31">
        <f>AP_CRONO_TER!G21</f>
        <v>0.40972222222222221</v>
      </c>
      <c r="G19" s="31">
        <f>AP_CRONO_TER!H21</f>
        <v>0.40972222222222221</v>
      </c>
      <c r="H19" s="31">
        <f>AP_CRONO_TER!I21</f>
        <v>0.41319444444444442</v>
      </c>
      <c r="I19" s="31">
        <f>AP_CRONO_TER!J21</f>
        <v>0.42152777777777778</v>
      </c>
      <c r="J19" s="31">
        <f>AP_CRONO_TER!K21</f>
        <v>0.42986111111111114</v>
      </c>
      <c r="K19" s="31">
        <f>AP_CRONO_TER!L21</f>
        <v>0.43333333333333335</v>
      </c>
      <c r="L19" s="31">
        <f>AP_CRONO_TER!M21</f>
        <v>0.46111111111111114</v>
      </c>
      <c r="M19" s="31">
        <f>AP_CRONO_TER!N21</f>
        <v>0.52708333333333335</v>
      </c>
      <c r="N19" s="31">
        <f>AP_CRONO_TER!O21</f>
        <v>0.55138888888888893</v>
      </c>
      <c r="O19" s="31">
        <f>AP_CRONO_TER!P21</f>
        <v>0.61736111111111114</v>
      </c>
      <c r="P19" s="31">
        <f>AP_CRONO_TER!Q21</f>
        <v>0.65</v>
      </c>
      <c r="Q19" s="31">
        <f>AP_CRONO_TER!R21</f>
        <v>0.69513888888888886</v>
      </c>
      <c r="R19" s="29">
        <f t="shared" si="0"/>
        <v>5.5555555555555636E-3</v>
      </c>
      <c r="S19" s="29">
        <f t="shared" si="1"/>
        <v>4.2361111111111127E-2</v>
      </c>
    </row>
    <row r="20" spans="1:19" x14ac:dyDescent="0.3">
      <c r="A20" s="26">
        <v>8</v>
      </c>
      <c r="B20" t="s">
        <v>30</v>
      </c>
      <c r="C20" s="36">
        <f>SUMIFS(ENCOMENDA!K:K,ENCOMENDA!A:A,B20,ENCOMENDA!L:L,D$1)</f>
        <v>1</v>
      </c>
      <c r="D20" s="31">
        <f>AP_CRONO_TER!E22</f>
        <v>0.2597222222222223</v>
      </c>
      <c r="E20" s="1">
        <v>0.41666666666666669</v>
      </c>
      <c r="F20" s="31">
        <f>AP_CRONO_TER!G22</f>
        <v>0.43055555555555558</v>
      </c>
      <c r="G20" s="31">
        <f>AP_CRONO_TER!H22</f>
        <v>0.43055555555555558</v>
      </c>
      <c r="H20" s="31">
        <f>AP_CRONO_TER!I22</f>
        <v>0.43402777777777779</v>
      </c>
      <c r="I20" s="31">
        <f>AP_CRONO_TER!J22</f>
        <v>0.47916666666666669</v>
      </c>
      <c r="J20" s="31">
        <f>AP_CRONO_TER!K22</f>
        <v>0.5</v>
      </c>
      <c r="K20" s="31">
        <f>AP_CRONO_TER!L22</f>
        <v>0.53125</v>
      </c>
      <c r="L20" s="31">
        <f>AP_CRONO_TER!M22</f>
        <v>0.55208333333333337</v>
      </c>
      <c r="M20" s="31">
        <f>AP_CRONO_TER!N22</f>
        <v>0.59722222222222221</v>
      </c>
      <c r="N20" s="31">
        <f>AP_CRONO_TER!O22</f>
        <v>0.62847222222222221</v>
      </c>
      <c r="O20" s="31">
        <f>AP_CRONO_TER!P22</f>
        <v>0.69444444444444442</v>
      </c>
      <c r="P20" s="31">
        <f>AP_CRONO_TER!Q22</f>
        <v>0.69791666666666663</v>
      </c>
      <c r="Q20" s="31">
        <f>AP_CRONO_TER!R22</f>
        <v>0.74305555555555547</v>
      </c>
      <c r="R20" s="29">
        <f t="shared" si="0"/>
        <v>5.5555555555555358E-3</v>
      </c>
      <c r="S20" s="29">
        <f t="shared" si="1"/>
        <v>2.083333333333337E-2</v>
      </c>
    </row>
    <row r="21" spans="1:19" x14ac:dyDescent="0.3">
      <c r="C21" s="36">
        <f>SUMIFS(ENCOMENDA!K:K,ENCOMENDA!A:A,B21,ENCOMENDA!L:L,D$1)</f>
        <v>0</v>
      </c>
      <c r="D21" s="31" t="str">
        <f>AP_CRONO_TER!E23</f>
        <v/>
      </c>
      <c r="E21" s="1"/>
      <c r="F21" s="31" t="str">
        <f>AP_CRONO_TER!G23</f>
        <v/>
      </c>
      <c r="G21" s="31" t="str">
        <f>AP_CRONO_TER!H23</f>
        <v/>
      </c>
      <c r="H21" s="31" t="str">
        <f>AP_CRONO_TER!I23</f>
        <v/>
      </c>
      <c r="I21" s="31" t="str">
        <f>AP_CRONO_TER!J23</f>
        <v/>
      </c>
      <c r="J21" s="31" t="str">
        <f>AP_CRONO_TER!K23</f>
        <v/>
      </c>
      <c r="K21" s="31" t="str">
        <f>AP_CRONO_TER!L23</f>
        <v/>
      </c>
      <c r="L21" s="31" t="str">
        <f>AP_CRONO_TER!M23</f>
        <v/>
      </c>
      <c r="M21" s="31" t="str">
        <f>AP_CRONO_TER!N23</f>
        <v/>
      </c>
      <c r="N21" s="31" t="str">
        <f>AP_CRONO_TER!O23</f>
        <v/>
      </c>
      <c r="O21" s="31" t="str">
        <f>AP_CRONO_TER!P23</f>
        <v/>
      </c>
      <c r="P21" s="31" t="str">
        <f>AP_CRONO_TER!Q23</f>
        <v/>
      </c>
      <c r="Q21" s="31" t="str">
        <f>AP_CRONO_TER!R23</f>
        <v/>
      </c>
      <c r="R21" s="29" t="str">
        <f t="shared" si="0"/>
        <v/>
      </c>
      <c r="S21" s="29">
        <f t="shared" si="1"/>
        <v>-0.41666666666666669</v>
      </c>
    </row>
    <row r="22" spans="1:19" x14ac:dyDescent="0.3">
      <c r="C22" s="36">
        <f>SUMIFS(ENCOMENDA!K:K,ENCOMENDA!A:A,B22,ENCOMENDA!L:L,D$1)</f>
        <v>0</v>
      </c>
      <c r="D22" s="31" t="str">
        <f>AP_CRONO_TER!E24</f>
        <v/>
      </c>
      <c r="E22" s="1"/>
      <c r="F22" s="31" t="str">
        <f>AP_CRONO_TER!G24</f>
        <v/>
      </c>
      <c r="G22" s="31" t="str">
        <f>AP_CRONO_TER!H24</f>
        <v/>
      </c>
      <c r="H22" s="31" t="str">
        <f>AP_CRONO_TER!I24</f>
        <v/>
      </c>
      <c r="I22" s="31" t="str">
        <f>AP_CRONO_TER!J24</f>
        <v/>
      </c>
      <c r="J22" s="31" t="str">
        <f>AP_CRONO_TER!K24</f>
        <v/>
      </c>
      <c r="K22" s="31" t="str">
        <f>AP_CRONO_TER!L24</f>
        <v/>
      </c>
      <c r="L22" s="31" t="str">
        <f>AP_CRONO_TER!M24</f>
        <v/>
      </c>
      <c r="M22" s="31" t="str">
        <f>AP_CRONO_TER!N24</f>
        <v/>
      </c>
      <c r="N22" s="31" t="str">
        <f>AP_CRONO_TER!O24</f>
        <v/>
      </c>
      <c r="O22" s="31" t="str">
        <f>AP_CRONO_TER!P24</f>
        <v/>
      </c>
      <c r="P22" s="31" t="str">
        <f>AP_CRONO_TER!Q24</f>
        <v/>
      </c>
      <c r="Q22" s="31" t="str">
        <f>AP_CRONO_TER!R24</f>
        <v/>
      </c>
      <c r="R22" s="29" t="str">
        <f t="shared" si="0"/>
        <v/>
      </c>
      <c r="S22" s="29" t="str">
        <f t="shared" si="1"/>
        <v/>
      </c>
    </row>
    <row r="23" spans="1:19" x14ac:dyDescent="0.3">
      <c r="C23" s="36">
        <f>SUMIFS(ENCOMENDA!K:K,ENCOMENDA!A:A,B23,ENCOMENDA!L:L,D$1)</f>
        <v>0</v>
      </c>
      <c r="D23" s="31" t="str">
        <f>AP_CRONO_TER!E25</f>
        <v/>
      </c>
      <c r="E23" s="1"/>
      <c r="F23" s="31" t="str">
        <f>AP_CRONO_TER!G25</f>
        <v/>
      </c>
      <c r="G23" s="31" t="str">
        <f>AP_CRONO_TER!H25</f>
        <v/>
      </c>
      <c r="H23" s="31" t="str">
        <f>AP_CRONO_TER!I25</f>
        <v/>
      </c>
      <c r="I23" s="31" t="str">
        <f>AP_CRONO_TER!J25</f>
        <v/>
      </c>
      <c r="J23" s="31" t="str">
        <f>AP_CRONO_TER!K25</f>
        <v/>
      </c>
      <c r="K23" s="31" t="str">
        <f>AP_CRONO_TER!L25</f>
        <v/>
      </c>
      <c r="L23" s="31" t="str">
        <f>AP_CRONO_TER!M25</f>
        <v/>
      </c>
      <c r="M23" s="31" t="str">
        <f>AP_CRONO_TER!N25</f>
        <v/>
      </c>
      <c r="N23" s="31" t="str">
        <f>AP_CRONO_TER!O25</f>
        <v/>
      </c>
      <c r="O23" s="31" t="str">
        <f>AP_CRONO_TER!P25</f>
        <v/>
      </c>
      <c r="P23" s="31" t="str">
        <f>AP_CRONO_TER!Q25</f>
        <v/>
      </c>
      <c r="Q23" s="31" t="str">
        <f>AP_CRONO_TER!R25</f>
        <v/>
      </c>
      <c r="R23" s="29" t="str">
        <f t="shared" si="0"/>
        <v/>
      </c>
      <c r="S23" s="29" t="str">
        <f t="shared" si="1"/>
        <v/>
      </c>
    </row>
    <row r="24" spans="1:19" x14ac:dyDescent="0.3">
      <c r="C24" s="36">
        <f>SUMIFS(ENCOMENDA!K:K,ENCOMENDA!A:A,B24,ENCOMENDA!L:L,D$1)</f>
        <v>0</v>
      </c>
      <c r="D24" s="31" t="str">
        <f>AP_CRONO_TER!E26</f>
        <v/>
      </c>
      <c r="E24" s="1"/>
      <c r="F24" s="31" t="str">
        <f>AP_CRONO_TER!G26</f>
        <v/>
      </c>
      <c r="G24" s="31" t="str">
        <f>AP_CRONO_TER!H26</f>
        <v/>
      </c>
      <c r="H24" s="31" t="str">
        <f>AP_CRONO_TER!I26</f>
        <v/>
      </c>
      <c r="I24" s="31" t="str">
        <f>AP_CRONO_TER!J26</f>
        <v/>
      </c>
      <c r="J24" s="31" t="str">
        <f>AP_CRONO_TER!K26</f>
        <v/>
      </c>
      <c r="K24" s="31" t="str">
        <f>AP_CRONO_TER!L26</f>
        <v/>
      </c>
      <c r="L24" s="31" t="str">
        <f>AP_CRONO_TER!M26</f>
        <v/>
      </c>
      <c r="M24" s="31" t="str">
        <f>AP_CRONO_TER!N26</f>
        <v/>
      </c>
      <c r="N24" s="31" t="str">
        <f>AP_CRONO_TER!O26</f>
        <v/>
      </c>
      <c r="O24" s="31" t="str">
        <f>AP_CRONO_TER!P26</f>
        <v/>
      </c>
      <c r="P24" s="31" t="str">
        <f>AP_CRONO_TER!Q26</f>
        <v/>
      </c>
      <c r="Q24" s="31" t="str">
        <f>AP_CRONO_TER!R26</f>
        <v/>
      </c>
      <c r="R24" s="29" t="str">
        <f t="shared" si="0"/>
        <v/>
      </c>
      <c r="S24" s="29" t="str">
        <f t="shared" si="1"/>
        <v/>
      </c>
    </row>
    <row r="25" spans="1:19" x14ac:dyDescent="0.3">
      <c r="C25" s="36">
        <f>SUMIFS(ENCOMENDA!K:K,ENCOMENDA!A:A,B25,ENCOMENDA!L:L,D$1)</f>
        <v>0</v>
      </c>
      <c r="D25" s="31" t="str">
        <f>AP_CRONO_TER!E27</f>
        <v/>
      </c>
      <c r="E25" s="1"/>
      <c r="F25" s="31" t="str">
        <f>AP_CRONO_TER!G27</f>
        <v/>
      </c>
      <c r="G25" s="31" t="str">
        <f>AP_CRONO_TER!H27</f>
        <v/>
      </c>
      <c r="H25" s="31" t="str">
        <f>AP_CRONO_TER!I27</f>
        <v/>
      </c>
      <c r="I25" s="31" t="str">
        <f>AP_CRONO_TER!J27</f>
        <v/>
      </c>
      <c r="J25" s="31" t="str">
        <f>AP_CRONO_TER!K27</f>
        <v/>
      </c>
      <c r="K25" s="31" t="str">
        <f>AP_CRONO_TER!L27</f>
        <v/>
      </c>
      <c r="L25" s="31" t="str">
        <f>AP_CRONO_TER!M27</f>
        <v/>
      </c>
      <c r="M25" s="31" t="str">
        <f>AP_CRONO_TER!N27</f>
        <v/>
      </c>
      <c r="N25" s="31" t="str">
        <f>AP_CRONO_TER!O27</f>
        <v/>
      </c>
      <c r="O25" s="31" t="str">
        <f>AP_CRONO_TER!P27</f>
        <v/>
      </c>
      <c r="P25" s="31" t="str">
        <f>AP_CRONO_TER!Q27</f>
        <v/>
      </c>
      <c r="Q25" s="31" t="str">
        <f>AP_CRONO_TER!R27</f>
        <v/>
      </c>
      <c r="R25" s="29" t="str">
        <f t="shared" si="0"/>
        <v/>
      </c>
      <c r="S25" s="29" t="str">
        <f t="shared" si="1"/>
        <v/>
      </c>
    </row>
    <row r="26" spans="1:19" x14ac:dyDescent="0.3">
      <c r="A26" s="26"/>
      <c r="C26" s="36">
        <f>SUMIFS(ENCOMENDA!K:K,ENCOMENDA!A:A,B26,ENCOMENDA!L:L,D$1)</f>
        <v>0</v>
      </c>
      <c r="D26" s="31" t="str">
        <f>AP_CRONO_TER!E28</f>
        <v/>
      </c>
      <c r="F26" s="31" t="str">
        <f>AP_CRONO_TER!G28</f>
        <v/>
      </c>
      <c r="G26" s="31" t="str">
        <f>AP_CRONO_TER!H28</f>
        <v/>
      </c>
      <c r="H26" s="31" t="str">
        <f>AP_CRONO_TER!I28</f>
        <v/>
      </c>
      <c r="I26" s="31" t="str">
        <f>AP_CRONO_TER!J28</f>
        <v/>
      </c>
      <c r="J26" s="31" t="str">
        <f>AP_CRONO_TER!K28</f>
        <v/>
      </c>
      <c r="K26" s="31" t="str">
        <f>AP_CRONO_TER!L28</f>
        <v/>
      </c>
      <c r="L26" s="31" t="str">
        <f>AP_CRONO_TER!M28</f>
        <v/>
      </c>
      <c r="M26" s="31" t="str">
        <f>AP_CRONO_TER!N28</f>
        <v/>
      </c>
      <c r="N26" s="31" t="str">
        <f>AP_CRONO_TER!O28</f>
        <v/>
      </c>
      <c r="O26" s="31" t="str">
        <f>AP_CRONO_TER!P28</f>
        <v/>
      </c>
      <c r="P26" s="31" t="str">
        <f>AP_CRONO_TER!Q28</f>
        <v/>
      </c>
      <c r="Q26" s="31" t="str">
        <f>AP_CRONO_TER!R28</f>
        <v/>
      </c>
      <c r="R26" s="29" t="str">
        <f t="shared" si="0"/>
        <v/>
      </c>
      <c r="S26" s="29" t="str">
        <f t="shared" si="1"/>
        <v/>
      </c>
    </row>
    <row r="27" spans="1:19" x14ac:dyDescent="0.3">
      <c r="A27" s="26"/>
      <c r="C27" s="36">
        <f>SUMIFS(ENCOMENDA!K:K,ENCOMENDA!A:A,B27,ENCOMENDA!L:L,D$1)</f>
        <v>0</v>
      </c>
      <c r="D27" s="31" t="str">
        <f>AP_CRONO_TER!E29</f>
        <v/>
      </c>
      <c r="F27" s="31" t="str">
        <f>AP_CRONO_TER!G29</f>
        <v/>
      </c>
      <c r="G27" s="31" t="str">
        <f>AP_CRONO_TER!H29</f>
        <v/>
      </c>
      <c r="H27" s="31" t="str">
        <f>AP_CRONO_TER!I29</f>
        <v/>
      </c>
      <c r="I27" s="31" t="str">
        <f>AP_CRONO_TER!J29</f>
        <v/>
      </c>
      <c r="J27" s="31" t="str">
        <f>AP_CRONO_TER!K29</f>
        <v/>
      </c>
      <c r="K27" s="31" t="str">
        <f>AP_CRONO_TER!L29</f>
        <v/>
      </c>
      <c r="L27" s="31" t="str">
        <f>AP_CRONO_TER!M29</f>
        <v/>
      </c>
      <c r="M27" s="31" t="str">
        <f>AP_CRONO_TER!N29</f>
        <v/>
      </c>
      <c r="N27" s="31" t="str">
        <f>AP_CRONO_TER!O29</f>
        <v/>
      </c>
      <c r="O27" s="31" t="str">
        <f>AP_CRONO_TER!P29</f>
        <v/>
      </c>
      <c r="P27" s="31" t="str">
        <f>AP_CRONO_TER!Q29</f>
        <v/>
      </c>
      <c r="Q27" s="31" t="str">
        <f>AP_CRONO_TER!R29</f>
        <v/>
      </c>
      <c r="R27" s="29" t="str">
        <f t="shared" si="0"/>
        <v/>
      </c>
      <c r="S27" s="29" t="str">
        <f t="shared" ref="S27:S32" si="2">IF(E26=0,"",E27-E26)</f>
        <v/>
      </c>
    </row>
    <row r="28" spans="1:19" x14ac:dyDescent="0.3">
      <c r="A28" s="26"/>
      <c r="C28" s="36">
        <f>SUMIFS(ENCOMENDA!K:K,ENCOMENDA!A:A,B28,ENCOMENDA!L:L,D$1)</f>
        <v>0</v>
      </c>
      <c r="D28" s="31" t="str">
        <f>AP_CRONO_TER!E30</f>
        <v/>
      </c>
      <c r="F28" s="31" t="str">
        <f>AP_CRONO_TER!G30</f>
        <v/>
      </c>
      <c r="G28" s="31" t="str">
        <f>AP_CRONO_TER!H30</f>
        <v/>
      </c>
      <c r="H28" s="31" t="str">
        <f>AP_CRONO_TER!I30</f>
        <v/>
      </c>
      <c r="I28" s="31" t="str">
        <f>AP_CRONO_TER!J30</f>
        <v/>
      </c>
      <c r="J28" s="31" t="str">
        <f>AP_CRONO_TER!K30</f>
        <v/>
      </c>
      <c r="K28" s="31" t="str">
        <f>AP_CRONO_TER!L30</f>
        <v/>
      </c>
      <c r="L28" s="31" t="str">
        <f>AP_CRONO_TER!M30</f>
        <v/>
      </c>
      <c r="M28" s="31" t="str">
        <f>AP_CRONO_TER!N30</f>
        <v/>
      </c>
      <c r="N28" s="31" t="str">
        <f>AP_CRONO_TER!O30</f>
        <v/>
      </c>
      <c r="O28" s="31" t="str">
        <f>AP_CRONO_TER!P30</f>
        <v/>
      </c>
      <c r="P28" s="31" t="str">
        <f>AP_CRONO_TER!Q30</f>
        <v/>
      </c>
      <c r="Q28" s="31" t="str">
        <f>AP_CRONO_TER!R30</f>
        <v/>
      </c>
      <c r="R28" s="29" t="str">
        <f t="shared" si="0"/>
        <v/>
      </c>
      <c r="S28" s="29" t="str">
        <f t="shared" si="2"/>
        <v/>
      </c>
    </row>
    <row r="29" spans="1:19" x14ac:dyDescent="0.3">
      <c r="A29" s="26"/>
      <c r="C29" s="36">
        <f>SUMIFS(ENCOMENDA!K:K,ENCOMENDA!A:A,B29,ENCOMENDA!L:L,D$1)</f>
        <v>0</v>
      </c>
      <c r="D29" s="31" t="str">
        <f>AP_CRONO_TER!E31</f>
        <v/>
      </c>
      <c r="F29" s="31" t="str">
        <f>AP_CRONO_TER!G31</f>
        <v/>
      </c>
      <c r="G29" s="31" t="str">
        <f>AP_CRONO_TER!H31</f>
        <v/>
      </c>
      <c r="H29" s="31" t="str">
        <f>AP_CRONO_TER!I31</f>
        <v/>
      </c>
      <c r="I29" s="31" t="str">
        <f>AP_CRONO_TER!J31</f>
        <v/>
      </c>
      <c r="J29" s="31" t="str">
        <f>AP_CRONO_TER!K31</f>
        <v/>
      </c>
      <c r="K29" s="31" t="str">
        <f>AP_CRONO_TER!L31</f>
        <v/>
      </c>
      <c r="L29" s="31" t="str">
        <f>AP_CRONO_TER!M31</f>
        <v/>
      </c>
      <c r="M29" s="31" t="str">
        <f>AP_CRONO_TER!N31</f>
        <v/>
      </c>
      <c r="N29" s="31" t="str">
        <f>AP_CRONO_TER!O31</f>
        <v/>
      </c>
      <c r="O29" s="31" t="str">
        <f>AP_CRONO_TER!P31</f>
        <v/>
      </c>
      <c r="P29" s="31" t="str">
        <f>AP_CRONO_TER!Q31</f>
        <v/>
      </c>
      <c r="Q29" s="31" t="str">
        <f>AP_CRONO_TER!R31</f>
        <v/>
      </c>
      <c r="R29" s="29" t="str">
        <f t="shared" si="0"/>
        <v/>
      </c>
      <c r="S29" s="29" t="str">
        <f t="shared" si="2"/>
        <v/>
      </c>
    </row>
    <row r="30" spans="1:19" x14ac:dyDescent="0.3">
      <c r="A30" s="26"/>
      <c r="C30" s="36">
        <f>SUMIFS(ENCOMENDA!K:K,ENCOMENDA!A:A,B30,ENCOMENDA!L:L,D$1)</f>
        <v>0</v>
      </c>
      <c r="D30" s="31" t="str">
        <f>AP_CRONO_TER!E32</f>
        <v/>
      </c>
      <c r="F30" s="31" t="str">
        <f>AP_CRONO_TER!G32</f>
        <v/>
      </c>
      <c r="G30" s="31" t="str">
        <f>AP_CRONO_TER!H32</f>
        <v/>
      </c>
      <c r="H30" s="31" t="str">
        <f>AP_CRONO_TER!I32</f>
        <v/>
      </c>
      <c r="I30" s="31" t="str">
        <f>AP_CRONO_TER!J32</f>
        <v/>
      </c>
      <c r="J30" s="31" t="str">
        <f>AP_CRONO_TER!K32</f>
        <v/>
      </c>
      <c r="K30" s="31" t="str">
        <f>AP_CRONO_TER!L32</f>
        <v/>
      </c>
      <c r="L30" s="31" t="str">
        <f>AP_CRONO_TER!M32</f>
        <v/>
      </c>
      <c r="M30" s="31" t="str">
        <f>AP_CRONO_TER!N32</f>
        <v/>
      </c>
      <c r="N30" s="31" t="str">
        <f>AP_CRONO_TER!O32</f>
        <v/>
      </c>
      <c r="O30" s="31" t="str">
        <f>AP_CRONO_TER!P32</f>
        <v/>
      </c>
      <c r="P30" s="31" t="str">
        <f>AP_CRONO_TER!Q32</f>
        <v/>
      </c>
      <c r="Q30" s="31" t="str">
        <f>AP_CRONO_TER!R32</f>
        <v/>
      </c>
      <c r="R30" s="29" t="str">
        <f t="shared" si="0"/>
        <v/>
      </c>
      <c r="S30" s="29" t="str">
        <f t="shared" si="2"/>
        <v/>
      </c>
    </row>
    <row r="31" spans="1:19" x14ac:dyDescent="0.3">
      <c r="A31" s="26"/>
      <c r="C31" s="36">
        <f>SUMIFS(ENCOMENDA!K:K,ENCOMENDA!A:A,B31,ENCOMENDA!L:L,D$1)</f>
        <v>0</v>
      </c>
      <c r="D31" s="31" t="str">
        <f>AP_CRONO_TER!E33</f>
        <v/>
      </c>
      <c r="F31" s="31" t="str">
        <f>AP_CRONO_TER!G33</f>
        <v/>
      </c>
      <c r="G31" s="31" t="str">
        <f>AP_CRONO_TER!H33</f>
        <v/>
      </c>
      <c r="H31" s="31" t="str">
        <f>AP_CRONO_TER!I33</f>
        <v/>
      </c>
      <c r="I31" s="31" t="str">
        <f>AP_CRONO_TER!J33</f>
        <v/>
      </c>
      <c r="J31" s="31" t="str">
        <f>AP_CRONO_TER!K33</f>
        <v/>
      </c>
      <c r="K31" s="31" t="str">
        <f>AP_CRONO_TER!L33</f>
        <v/>
      </c>
      <c r="L31" s="31" t="str">
        <f>AP_CRONO_TER!M33</f>
        <v/>
      </c>
      <c r="M31" s="31" t="str">
        <f>AP_CRONO_TER!N33</f>
        <v/>
      </c>
      <c r="N31" s="31" t="str">
        <f>AP_CRONO_TER!O33</f>
        <v/>
      </c>
      <c r="O31" s="31" t="str">
        <f>AP_CRONO_TER!P33</f>
        <v/>
      </c>
      <c r="P31" s="31" t="str">
        <f>AP_CRONO_TER!Q33</f>
        <v/>
      </c>
      <c r="Q31" s="31" t="str">
        <f>AP_CRONO_TER!R33</f>
        <v/>
      </c>
      <c r="R31" s="29" t="str">
        <f t="shared" si="0"/>
        <v/>
      </c>
      <c r="S31" s="29" t="str">
        <f t="shared" si="2"/>
        <v/>
      </c>
    </row>
    <row r="32" spans="1:19" x14ac:dyDescent="0.3">
      <c r="C32" s="36">
        <f>SUMIFS(ENCOMENDA!K:K,ENCOMENDA!A:A,B32,ENCOMENDA!L:L,D$1)</f>
        <v>0</v>
      </c>
      <c r="D32" s="31" t="str">
        <f>AP_CRONO_TER!E34</f>
        <v/>
      </c>
      <c r="F32" s="31" t="str">
        <f>AP_CRONO_TER!G34</f>
        <v/>
      </c>
      <c r="G32" s="31" t="str">
        <f>AP_CRONO_TER!H34</f>
        <v/>
      </c>
      <c r="H32" s="31" t="str">
        <f>AP_CRONO_TER!I34</f>
        <v/>
      </c>
      <c r="I32" s="31" t="str">
        <f>AP_CRONO_TER!J34</f>
        <v/>
      </c>
      <c r="J32" s="31" t="str">
        <f>AP_CRONO_TER!K34</f>
        <v/>
      </c>
      <c r="K32" s="31" t="str">
        <f>AP_CRONO_TER!L34</f>
        <v/>
      </c>
      <c r="L32" s="31" t="str">
        <f>AP_CRONO_TER!M34</f>
        <v/>
      </c>
      <c r="M32" s="31" t="str">
        <f>AP_CRONO_TER!N34</f>
        <v/>
      </c>
      <c r="N32" s="31" t="str">
        <f>AP_CRONO_TER!O34</f>
        <v/>
      </c>
      <c r="O32" s="31" t="str">
        <f>AP_CRONO_TER!P34</f>
        <v/>
      </c>
      <c r="P32" s="31" t="str">
        <f>AP_CRONO_TER!Q34</f>
        <v/>
      </c>
      <c r="Q32" s="31" t="str">
        <f>AP_CRONO_TER!R34</f>
        <v/>
      </c>
      <c r="R32" s="29" t="str">
        <f t="shared" si="0"/>
        <v/>
      </c>
      <c r="S32" s="29" t="str">
        <f t="shared" si="2"/>
        <v/>
      </c>
    </row>
    <row r="33" spans="3:17" x14ac:dyDescent="0.3">
      <c r="C33" s="36">
        <f>SUMIFS(ENCOMENDA!K:K,ENCOMENDA!A:A,B33,ENCOMENDA!L:L,D$1)</f>
        <v>0</v>
      </c>
      <c r="D33" s="31" t="str">
        <f>AP_CRONO_TER!E35</f>
        <v/>
      </c>
      <c r="F33" s="31" t="str">
        <f>AP_CRONO_TER!G35</f>
        <v/>
      </c>
      <c r="G33" s="31" t="str">
        <f>AP_CRONO_TER!H35</f>
        <v/>
      </c>
      <c r="H33" s="31" t="str">
        <f>AP_CRONO_TER!I35</f>
        <v/>
      </c>
      <c r="I33" s="31" t="str">
        <f>AP_CRONO_TER!J35</f>
        <v/>
      </c>
      <c r="J33" s="31" t="str">
        <f>AP_CRONO_TER!K35</f>
        <v/>
      </c>
      <c r="K33" s="31" t="str">
        <f>AP_CRONO_TER!L35</f>
        <v/>
      </c>
      <c r="L33" s="31" t="str">
        <f>AP_CRONO_TER!M35</f>
        <v/>
      </c>
      <c r="M33" s="31" t="str">
        <f>AP_CRONO_TER!N35</f>
        <v/>
      </c>
      <c r="N33" s="31" t="str">
        <f>AP_CRONO_TER!O35</f>
        <v/>
      </c>
      <c r="O33" s="31" t="str">
        <f>AP_CRONO_TER!P35</f>
        <v/>
      </c>
      <c r="P33" s="31" t="str">
        <f>AP_CRONO_TER!Q35</f>
        <v/>
      </c>
      <c r="Q33" s="31" t="str">
        <f>AP_CRONO_TER!R35</f>
        <v/>
      </c>
    </row>
    <row r="34" spans="3:17" x14ac:dyDescent="0.3">
      <c r="C34" s="36">
        <f>SUMIFS(ENCOMENDA!K:K,ENCOMENDA!A:A,B34,ENCOMENDA!L:L,D$1)</f>
        <v>0</v>
      </c>
      <c r="D34" s="31" t="str">
        <f>AP_CRONO_TER!E36</f>
        <v/>
      </c>
      <c r="F34" s="31" t="str">
        <f>AP_CRONO_TER!G36</f>
        <v/>
      </c>
      <c r="G34" s="31" t="str">
        <f>AP_CRONO_TER!H36</f>
        <v/>
      </c>
      <c r="H34" s="31" t="str">
        <f>AP_CRONO_TER!I36</f>
        <v/>
      </c>
      <c r="I34" s="31" t="str">
        <f>AP_CRONO_TER!J36</f>
        <v/>
      </c>
      <c r="J34" s="31" t="str">
        <f>AP_CRONO_TER!K36</f>
        <v/>
      </c>
      <c r="K34" s="31" t="str">
        <f>AP_CRONO_TER!L36</f>
        <v/>
      </c>
      <c r="L34" s="31" t="str">
        <f>AP_CRONO_TER!M36</f>
        <v/>
      </c>
      <c r="M34" s="31" t="str">
        <f>AP_CRONO_TER!N36</f>
        <v/>
      </c>
      <c r="N34" s="31" t="str">
        <f>AP_CRONO_TER!O36</f>
        <v/>
      </c>
      <c r="O34" s="31" t="str">
        <f>AP_CRONO_TER!P36</f>
        <v/>
      </c>
      <c r="P34" s="31" t="str">
        <f>AP_CRONO_TER!Q36</f>
        <v/>
      </c>
      <c r="Q34" s="31" t="str">
        <f>AP_CRONO_TER!R36</f>
        <v/>
      </c>
    </row>
    <row r="35" spans="3:17" x14ac:dyDescent="0.3">
      <c r="C35" s="36">
        <f>SUMIFS(ENCOMENDA!K:K,ENCOMENDA!A:A,B35,ENCOMENDA!L:L,D$1)</f>
        <v>0</v>
      </c>
      <c r="D35" s="31" t="str">
        <f>AP_CRONO_TER!E37</f>
        <v/>
      </c>
      <c r="F35" s="31" t="str">
        <f>AP_CRONO_TER!G37</f>
        <v/>
      </c>
      <c r="G35" s="31" t="str">
        <f>AP_CRONO_TER!H37</f>
        <v/>
      </c>
      <c r="H35" s="31" t="str">
        <f>AP_CRONO_TER!I37</f>
        <v/>
      </c>
      <c r="I35" s="31" t="str">
        <f>AP_CRONO_TER!J37</f>
        <v/>
      </c>
      <c r="J35" s="31" t="str">
        <f>AP_CRONO_TER!K37</f>
        <v/>
      </c>
      <c r="K35" s="31" t="str">
        <f>AP_CRONO_TER!L37</f>
        <v/>
      </c>
      <c r="L35" s="31" t="str">
        <f>AP_CRONO_TER!M37</f>
        <v/>
      </c>
      <c r="M35" s="31" t="str">
        <f>AP_CRONO_TER!N37</f>
        <v/>
      </c>
      <c r="N35" s="31" t="str">
        <f>AP_CRONO_TER!O37</f>
        <v/>
      </c>
      <c r="O35" s="31" t="str">
        <f>AP_CRONO_TER!P37</f>
        <v/>
      </c>
      <c r="P35" s="31" t="str">
        <f>AP_CRONO_TER!Q37</f>
        <v/>
      </c>
      <c r="Q35" s="31" t="str">
        <f>AP_CRONO_TER!R37</f>
        <v/>
      </c>
    </row>
    <row r="36" spans="3:17" x14ac:dyDescent="0.3">
      <c r="C36" s="36">
        <f>SUMIFS(ENCOMENDA!K:K,ENCOMENDA!A:A,B36,ENCOMENDA!L:L,D$1)</f>
        <v>0</v>
      </c>
      <c r="D36" s="31" t="str">
        <f>AP_CRONO_TER!E38</f>
        <v/>
      </c>
      <c r="F36" s="31" t="str">
        <f>AP_CRONO_TER!G38</f>
        <v/>
      </c>
      <c r="G36" s="31" t="str">
        <f>AP_CRONO_TER!H38</f>
        <v/>
      </c>
      <c r="H36" s="31" t="str">
        <f>AP_CRONO_TER!I38</f>
        <v/>
      </c>
      <c r="I36" s="31" t="str">
        <f>AP_CRONO_TER!J38</f>
        <v/>
      </c>
      <c r="J36" s="31" t="str">
        <f>AP_CRONO_TER!K38</f>
        <v/>
      </c>
      <c r="K36" s="31" t="str">
        <f>AP_CRONO_TER!L38</f>
        <v/>
      </c>
      <c r="L36" s="31" t="str">
        <f>AP_CRONO_TER!M38</f>
        <v/>
      </c>
      <c r="M36" s="31" t="str">
        <f>AP_CRONO_TER!N38</f>
        <v/>
      </c>
      <c r="N36" s="31" t="str">
        <f>AP_CRONO_TER!O38</f>
        <v/>
      </c>
      <c r="O36" s="31" t="str">
        <f>AP_CRONO_TER!P38</f>
        <v/>
      </c>
      <c r="P36" s="31" t="str">
        <f>AP_CRONO_TER!Q38</f>
        <v/>
      </c>
      <c r="Q36" s="31" t="str">
        <f>AP_CRONO_TER!R38</f>
        <v/>
      </c>
    </row>
    <row r="37" spans="3:17" x14ac:dyDescent="0.3">
      <c r="C37" s="36">
        <f>SUMIFS(ENCOMENDA!K:K,ENCOMENDA!A:A,B37,ENCOMENDA!L:L,D$1)</f>
        <v>0</v>
      </c>
      <c r="D37" s="31" t="str">
        <f>AP_CRONO_TER!E39</f>
        <v/>
      </c>
      <c r="F37" s="31" t="str">
        <f>AP_CRONO_TER!G39</f>
        <v/>
      </c>
      <c r="G37" s="31" t="str">
        <f>AP_CRONO_TER!H39</f>
        <v/>
      </c>
      <c r="H37" s="31" t="str">
        <f>AP_CRONO_TER!I39</f>
        <v/>
      </c>
      <c r="I37" s="31" t="str">
        <f>AP_CRONO_TER!J39</f>
        <v/>
      </c>
      <c r="J37" s="31" t="str">
        <f>AP_CRONO_TER!K39</f>
        <v/>
      </c>
      <c r="K37" s="31" t="str">
        <f>AP_CRONO_TER!L39</f>
        <v/>
      </c>
      <c r="L37" s="31" t="str">
        <f>AP_CRONO_TER!M39</f>
        <v/>
      </c>
      <c r="M37" s="31" t="str">
        <f>AP_CRONO_TER!N39</f>
        <v/>
      </c>
      <c r="N37" s="31" t="str">
        <f>AP_CRONO_TER!O39</f>
        <v/>
      </c>
      <c r="O37" s="31" t="str">
        <f>AP_CRONO_TER!P39</f>
        <v/>
      </c>
      <c r="P37" s="31" t="str">
        <f>AP_CRONO_TER!Q39</f>
        <v/>
      </c>
      <c r="Q37" s="31" t="str">
        <f>AP_CRONO_TER!R39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7 D8:D37">
    <cfRule type="cellIs" dxfId="24" priority="4" operator="lessThan">
      <formula>$T$8</formula>
    </cfRule>
  </conditionalFormatting>
  <conditionalFormatting sqref="F8:Q37 D8:D37">
    <cfRule type="cellIs" dxfId="23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TER" xr:uid="{1F842769-6E93-45A2-9B16-C0016EA5E1B8}"/>
  </hyperlink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8492-B626-4A6B-AE6C-A173D4535C9A}">
  <sheetPr codeName="Planilha8"/>
  <dimension ref="A1:U28"/>
  <sheetViews>
    <sheetView showGridLines="0" zoomScale="85" zoomScaleNormal="85" workbookViewId="0">
      <pane xSplit="3" ySplit="7" topLeftCell="D20" activePane="bottomRight" state="frozen"/>
      <selection pane="topRight" activeCell="D1" sqref="D1"/>
      <selection pane="bottomLeft" activeCell="A8" sqref="A8"/>
      <selection pane="bottomRight" activeCell="A29" sqref="A29:XFD32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92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93" t="s">
        <v>94</v>
      </c>
      <c r="G3" s="93"/>
    </row>
    <row r="7" spans="1:21" s="26" customFormat="1" ht="33" customHeight="1" x14ac:dyDescent="0.3">
      <c r="A7" s="27" t="s">
        <v>74</v>
      </c>
      <c r="B7" s="27" t="s">
        <v>75</v>
      </c>
      <c r="C7" s="27" t="s">
        <v>76</v>
      </c>
      <c r="D7" s="66" t="str">
        <f>AP_CRONO_SEG!E9</f>
        <v>PESAGEM</v>
      </c>
      <c r="E7" s="67" t="str">
        <f>AP_CRONO_SEG!F9</f>
        <v>INC_BATIMENTO</v>
      </c>
      <c r="F7" s="67"/>
      <c r="G7" s="66" t="str">
        <f>AP_CRONO_SEG!H9</f>
        <v>FERMENTAÇÃO 1</v>
      </c>
      <c r="H7" s="66" t="str">
        <f>AP_CRONO_SEG!I9</f>
        <v>DIVISÃO</v>
      </c>
      <c r="I7" s="66" t="str">
        <f>AP_CRONO_SEG!J9</f>
        <v>PRE-MOLDE</v>
      </c>
      <c r="J7" s="66" t="str">
        <f>AP_CRONO_SEG!K9</f>
        <v>DESCANSO 1</v>
      </c>
      <c r="K7" s="66" t="str">
        <f>AP_CRONO_SEG!L9</f>
        <v>MODELAGEM</v>
      </c>
      <c r="L7" s="66" t="str">
        <f>AP_CRONO_SEG!M9</f>
        <v>FERMENTAÇÃO2</v>
      </c>
      <c r="M7" s="66" t="str">
        <f>AP_CRONO_SEG!N9</f>
        <v>FORNEAMENTO</v>
      </c>
      <c r="N7" s="66" t="str">
        <f>AP_CRONO_SEG!O9</f>
        <v>RESFRIAMENTO</v>
      </c>
      <c r="O7" s="66" t="str">
        <f>AP_CRONO_SEG!P9</f>
        <v>DESMOLDE</v>
      </c>
      <c r="P7" s="66" t="str">
        <f>AP_CRONO_SEG!Q9</f>
        <v>INC_EMBALAGEM</v>
      </c>
      <c r="Q7" s="66" t="str">
        <f>AP_CRONO_SEG!R9</f>
        <v>FIM_EMBALAGEM</v>
      </c>
    </row>
    <row r="8" spans="1:21" s="26" customFormat="1" x14ac:dyDescent="0.3">
      <c r="A8" s="26">
        <v>1</v>
      </c>
      <c r="B8" t="s">
        <v>28</v>
      </c>
      <c r="C8" s="36">
        <f>SUMIFS(ENCOMENDA!K:K,ENCOMENDA!A:A,B8,ENCOMENDA!L:L,D$1)</f>
        <v>31.200000000000003</v>
      </c>
      <c r="D8" s="29">
        <f>AP_CRONO_qua!E10</f>
        <v>0.19305555555555556</v>
      </c>
      <c r="E8" s="49">
        <v>0.20833333333333334</v>
      </c>
      <c r="F8" s="29">
        <f>AP_CRONO_qua!G10</f>
        <v>0.22222222222222224</v>
      </c>
      <c r="G8" s="29">
        <f>AP_CRONO_qua!H10</f>
        <v>0.22222222222222224</v>
      </c>
      <c r="H8" s="29">
        <f>AP_CRONO_qua!I10</f>
        <v>0.22569444444444445</v>
      </c>
      <c r="I8" s="29">
        <f>AP_CRONO_qua!J10</f>
        <v>0.23402777777777778</v>
      </c>
      <c r="J8" s="29">
        <f>AP_CRONO_qua!K10</f>
        <v>0.24236111111111111</v>
      </c>
      <c r="K8" s="29">
        <f>AP_CRONO_qua!L10</f>
        <v>0.24583333333333332</v>
      </c>
      <c r="L8" s="29">
        <f>AP_CRONO_qua!M10</f>
        <v>0.27361111111111108</v>
      </c>
      <c r="M8" s="29">
        <f>AP_CRONO_qua!N10</f>
        <v>0.33958333333333329</v>
      </c>
      <c r="N8" s="29">
        <f>AP_CRONO_qua!O10</f>
        <v>0.36388888888888882</v>
      </c>
      <c r="O8" s="29">
        <f>AP_CRONO_qua!P10</f>
        <v>0.42986111111111103</v>
      </c>
      <c r="P8" s="29">
        <f>AP_CRONO_qua!Q10</f>
        <v>0.46249999999999991</v>
      </c>
      <c r="Q8" s="29">
        <f>AP_CRONO_qua!R10</f>
        <v>0.50763888888888875</v>
      </c>
      <c r="T8" s="30">
        <f>Relogio</f>
        <v>0.66748842592592583</v>
      </c>
      <c r="U8" s="29">
        <f>T8+S1</f>
        <v>0.66818287037037027</v>
      </c>
    </row>
    <row r="9" spans="1:21" s="26" customFormat="1" x14ac:dyDescent="0.3">
      <c r="A9" s="26">
        <v>2</v>
      </c>
      <c r="B9" t="s">
        <v>54</v>
      </c>
      <c r="C9" s="36">
        <f>SUMIFS(ENCOMENDA!K:K,ENCOMENDA!A:A,B9,ENCOMENDA!L:L,D$1)</f>
        <v>25.2</v>
      </c>
      <c r="D9" s="29">
        <f>AP_CRONO_qua!E11</f>
        <v>0.19861111111111113</v>
      </c>
      <c r="E9" s="49">
        <v>0.24652777777777779</v>
      </c>
      <c r="F9" s="29">
        <f>AP_CRONO_qua!G11</f>
        <v>0.26041666666666669</v>
      </c>
      <c r="G9" s="29">
        <f>AP_CRONO_qua!H11</f>
        <v>0.26041666666666669</v>
      </c>
      <c r="H9" s="29">
        <f>AP_CRONO_qua!I11</f>
        <v>0.2638888888888889</v>
      </c>
      <c r="I9" s="29">
        <f>AP_CRONO_qua!J11</f>
        <v>0.27222222222222225</v>
      </c>
      <c r="J9" s="29">
        <f>AP_CRONO_qua!K11</f>
        <v>0.28055555555555561</v>
      </c>
      <c r="K9" s="29">
        <f>AP_CRONO_qua!L11</f>
        <v>0.28402777777777782</v>
      </c>
      <c r="L9" s="29">
        <f>AP_CRONO_qua!M11</f>
        <v>0.31180555555555561</v>
      </c>
      <c r="M9" s="29">
        <f>AP_CRONO_qua!N11</f>
        <v>0.37777777777777782</v>
      </c>
      <c r="N9" s="29">
        <f>AP_CRONO_qua!O11</f>
        <v>0.40208333333333335</v>
      </c>
      <c r="O9" s="29">
        <f>AP_CRONO_qua!P11</f>
        <v>0.46805555555555556</v>
      </c>
      <c r="P9" s="29">
        <f>AP_CRONO_qua!Q11</f>
        <v>0.50069444444444444</v>
      </c>
      <c r="Q9" s="29">
        <f>AP_CRONO_qua!R11</f>
        <v>0.54583333333333328</v>
      </c>
      <c r="R9" s="29">
        <f t="shared" ref="R9:R28" si="0">IFERROR(D9-D8,"")</f>
        <v>5.5555555555555636E-3</v>
      </c>
      <c r="S9" s="29">
        <f>IF(E8=0,"",E9-E8)</f>
        <v>3.8194444444444448E-2</v>
      </c>
    </row>
    <row r="10" spans="1:21" s="26" customFormat="1" x14ac:dyDescent="0.3">
      <c r="A10" s="26">
        <v>3</v>
      </c>
      <c r="B10" t="s">
        <v>20</v>
      </c>
      <c r="C10" s="36">
        <f>SUMIFS(ENCOMENDA!K:K,ENCOMENDA!A:A,B10,ENCOMENDA!L:L,D$1)</f>
        <v>23.040000000000006</v>
      </c>
      <c r="D10" s="29">
        <f>AP_CRONO_qua!E12</f>
        <v>0.20416666666666669</v>
      </c>
      <c r="E10" s="49">
        <v>0.28194444444444444</v>
      </c>
      <c r="F10" s="29">
        <f>AP_CRONO_qua!G12</f>
        <v>0.29583333333333334</v>
      </c>
      <c r="G10" s="29">
        <f>AP_CRONO_qua!H12</f>
        <v>0.29583333333333334</v>
      </c>
      <c r="H10" s="29">
        <f>AP_CRONO_qua!I12</f>
        <v>0.29930555555555555</v>
      </c>
      <c r="I10" s="29">
        <f>AP_CRONO_qua!J12</f>
        <v>0.30763888888888891</v>
      </c>
      <c r="J10" s="29">
        <f>AP_CRONO_qua!K12</f>
        <v>0.31597222222222227</v>
      </c>
      <c r="K10" s="29">
        <f>AP_CRONO_qua!L12</f>
        <v>0.31944444444444448</v>
      </c>
      <c r="L10" s="29">
        <f>AP_CRONO_qua!M12</f>
        <v>0.34722222222222227</v>
      </c>
      <c r="M10" s="29">
        <f>AP_CRONO_qua!N12</f>
        <v>0.41319444444444448</v>
      </c>
      <c r="N10" s="29">
        <f>AP_CRONO_qua!O12</f>
        <v>0.4375</v>
      </c>
      <c r="O10" s="29">
        <f>AP_CRONO_qua!P12</f>
        <v>0.50347222222222221</v>
      </c>
      <c r="P10" s="29">
        <f>AP_CRONO_qua!Q12</f>
        <v>0.53611111111111109</v>
      </c>
      <c r="Q10" s="29">
        <f>AP_CRONO_qua!R12</f>
        <v>0.58124999999999993</v>
      </c>
      <c r="R10" s="29">
        <f t="shared" si="0"/>
        <v>5.5555555555555636E-3</v>
      </c>
      <c r="S10" s="29">
        <f t="shared" ref="S10:S28" si="1">IF(E9=0,"",E10-E9)</f>
        <v>3.5416666666666652E-2</v>
      </c>
    </row>
    <row r="11" spans="1:21" s="26" customFormat="1" x14ac:dyDescent="0.3">
      <c r="A11" s="26">
        <v>3</v>
      </c>
      <c r="B11" t="s">
        <v>51</v>
      </c>
      <c r="C11" s="36">
        <f>SUMIFS(ENCOMENDA!K:K,ENCOMENDA!A:A,B11,ENCOMENDA!L:L,D$1)</f>
        <v>7.9200000000000008</v>
      </c>
      <c r="D11" s="29">
        <f>AP_CRONO_qua!E13</f>
        <v>0.20972222222222225</v>
      </c>
      <c r="E11" s="49">
        <v>0.28194444444444444</v>
      </c>
      <c r="F11" s="29">
        <f>AP_CRONO_qua!G13</f>
        <v>0.29583333333333334</v>
      </c>
      <c r="G11" s="29">
        <f>AP_CRONO_qua!H13</f>
        <v>0.29583333333333334</v>
      </c>
      <c r="H11" s="29">
        <f>AP_CRONO_qua!I13</f>
        <v>0.29930555555555555</v>
      </c>
      <c r="I11" s="29">
        <f>AP_CRONO_qua!J13</f>
        <v>0.30763888888888891</v>
      </c>
      <c r="J11" s="29">
        <f>AP_CRONO_qua!K13</f>
        <v>0.31597222222222227</v>
      </c>
      <c r="K11" s="29">
        <f>AP_CRONO_qua!L13</f>
        <v>0.31944444444444448</v>
      </c>
      <c r="L11" s="29">
        <f>AP_CRONO_qua!M13</f>
        <v>0.34722222222222227</v>
      </c>
      <c r="M11" s="29">
        <f>AP_CRONO_qua!N13</f>
        <v>0.41319444444444448</v>
      </c>
      <c r="N11" s="29">
        <f>AP_CRONO_qua!O13</f>
        <v>0.4375</v>
      </c>
      <c r="O11" s="29">
        <f>AP_CRONO_qua!P13</f>
        <v>0.50347222222222221</v>
      </c>
      <c r="P11" s="29">
        <f>AP_CRONO_qua!Q13</f>
        <v>0.53611111111111109</v>
      </c>
      <c r="Q11" s="29">
        <f>AP_CRONO_qua!R13</f>
        <v>0.58124999999999993</v>
      </c>
      <c r="R11" s="29">
        <f t="shared" si="0"/>
        <v>5.5555555555555636E-3</v>
      </c>
      <c r="S11" s="29">
        <f t="shared" si="1"/>
        <v>0</v>
      </c>
    </row>
    <row r="12" spans="1:21" s="26" customFormat="1" x14ac:dyDescent="0.3">
      <c r="A12" s="26">
        <v>4</v>
      </c>
      <c r="B12" t="s">
        <v>21</v>
      </c>
      <c r="C12" s="36">
        <f>SUMIFS(ENCOMENDA!K:K,ENCOMENDA!A:A,B12,ENCOMENDA!L:L,D$1)</f>
        <v>32.400000000000006</v>
      </c>
      <c r="D12" s="29">
        <f>AP_CRONO_qua!E14</f>
        <v>0.21527777777777782</v>
      </c>
      <c r="E12" s="49">
        <v>0.3215277777777778</v>
      </c>
      <c r="F12" s="29">
        <f>AP_CRONO_qua!G14</f>
        <v>0.3354166666666667</v>
      </c>
      <c r="G12" s="29">
        <f>AP_CRONO_qua!H14</f>
        <v>0.3354166666666667</v>
      </c>
      <c r="H12" s="29">
        <f>AP_CRONO_qua!I14</f>
        <v>0.33888888888888891</v>
      </c>
      <c r="I12" s="29">
        <f>AP_CRONO_qua!J14</f>
        <v>0.34722222222222227</v>
      </c>
      <c r="J12" s="29">
        <f>AP_CRONO_qua!K14</f>
        <v>0.35555555555555562</v>
      </c>
      <c r="K12" s="29">
        <f>AP_CRONO_qua!L14</f>
        <v>0.35902777777777783</v>
      </c>
      <c r="L12" s="29">
        <f>AP_CRONO_qua!M14</f>
        <v>0.38680555555555562</v>
      </c>
      <c r="M12" s="29">
        <f>AP_CRONO_qua!N14</f>
        <v>0.45277777777777783</v>
      </c>
      <c r="N12" s="29">
        <f>AP_CRONO_qua!O14</f>
        <v>0.47708333333333341</v>
      </c>
      <c r="O12" s="29">
        <f>AP_CRONO_qua!P14</f>
        <v>0.54305555555555562</v>
      </c>
      <c r="P12" s="29">
        <f>AP_CRONO_qua!Q14</f>
        <v>0.57569444444444451</v>
      </c>
      <c r="Q12" s="29">
        <f>AP_CRONO_qua!R14</f>
        <v>0.62083333333333335</v>
      </c>
      <c r="R12" s="29">
        <f t="shared" si="0"/>
        <v>5.5555555555555636E-3</v>
      </c>
      <c r="S12" s="29">
        <f t="shared" si="1"/>
        <v>3.9583333333333359E-2</v>
      </c>
    </row>
    <row r="13" spans="1:21" s="26" customFormat="1" x14ac:dyDescent="0.3">
      <c r="A13" s="26">
        <v>4</v>
      </c>
      <c r="B13" t="s">
        <v>57</v>
      </c>
      <c r="C13" s="36">
        <f>SUMIFS(ENCOMENDA!K:K,ENCOMENDA!A:A,B13,ENCOMENDA!L:L,D$1)</f>
        <v>1.2600000000000002</v>
      </c>
      <c r="D13" s="29">
        <f>AP_CRONO_qua!E15</f>
        <v>0.22083333333333338</v>
      </c>
      <c r="E13" s="49">
        <v>0.3215277777777778</v>
      </c>
      <c r="F13" s="29">
        <f>AP_CRONO_qua!G15</f>
        <v>0.3354166666666667</v>
      </c>
      <c r="G13" s="29">
        <f>AP_CRONO_qua!H15</f>
        <v>0.3354166666666667</v>
      </c>
      <c r="H13" s="29">
        <f>AP_CRONO_qua!I15</f>
        <v>0.33888888888888891</v>
      </c>
      <c r="I13" s="29">
        <f>AP_CRONO_qua!J15</f>
        <v>0.34722222222222227</v>
      </c>
      <c r="J13" s="29">
        <f>AP_CRONO_qua!K15</f>
        <v>0.35555555555555562</v>
      </c>
      <c r="K13" s="29">
        <f>AP_CRONO_qua!L15</f>
        <v>0.35902777777777783</v>
      </c>
      <c r="L13" s="29">
        <f>AP_CRONO_qua!M15</f>
        <v>0.38680555555555562</v>
      </c>
      <c r="M13" s="29">
        <f>AP_CRONO_qua!N15</f>
        <v>0.45277777777777783</v>
      </c>
      <c r="N13" s="29">
        <f>AP_CRONO_qua!O15</f>
        <v>0.47708333333333341</v>
      </c>
      <c r="O13" s="29">
        <f>AP_CRONO_qua!P15</f>
        <v>0.54305555555555562</v>
      </c>
      <c r="P13" s="29">
        <f>AP_CRONO_qua!Q15</f>
        <v>0.57569444444444451</v>
      </c>
      <c r="Q13" s="29">
        <f>AP_CRONO_qua!R15</f>
        <v>0.62083333333333335</v>
      </c>
      <c r="R13" s="29">
        <f t="shared" si="0"/>
        <v>5.5555555555555636E-3</v>
      </c>
      <c r="S13" s="29">
        <f t="shared" si="1"/>
        <v>0</v>
      </c>
    </row>
    <row r="14" spans="1:21" s="26" customFormat="1" x14ac:dyDescent="0.3">
      <c r="A14" s="26">
        <v>4</v>
      </c>
      <c r="B14" t="s">
        <v>61</v>
      </c>
      <c r="C14" s="36">
        <f>SUMIFS(ENCOMENDA!K:K,ENCOMENDA!A:A,B14,ENCOMENDA!L:L,D$1)</f>
        <v>4.2</v>
      </c>
      <c r="D14" s="29">
        <f>AP_CRONO_qua!E16</f>
        <v>0.22638888888888895</v>
      </c>
      <c r="E14" s="49">
        <v>0.3215277777777778</v>
      </c>
      <c r="F14" s="29">
        <f>AP_CRONO_qua!G16</f>
        <v>0.3354166666666667</v>
      </c>
      <c r="G14" s="29">
        <f>AP_CRONO_qua!H16</f>
        <v>0.3354166666666667</v>
      </c>
      <c r="H14" s="29">
        <f>AP_CRONO_qua!I16</f>
        <v>0.33888888888888891</v>
      </c>
      <c r="I14" s="29">
        <f>AP_CRONO_qua!J16</f>
        <v>0.34722222222222227</v>
      </c>
      <c r="J14" s="29">
        <f>AP_CRONO_qua!K16</f>
        <v>0.35555555555555562</v>
      </c>
      <c r="K14" s="29">
        <f>AP_CRONO_qua!L16</f>
        <v>0.35902777777777783</v>
      </c>
      <c r="L14" s="29">
        <f>AP_CRONO_qua!M16</f>
        <v>0.38680555555555562</v>
      </c>
      <c r="M14" s="29">
        <f>AP_CRONO_qua!N16</f>
        <v>0.45277777777777783</v>
      </c>
      <c r="N14" s="29">
        <f>AP_CRONO_qua!O16</f>
        <v>0.47708333333333341</v>
      </c>
      <c r="O14" s="29">
        <f>AP_CRONO_qua!P16</f>
        <v>0.54305555555555562</v>
      </c>
      <c r="P14" s="29">
        <f>AP_CRONO_qua!Q16</f>
        <v>0.57569444444444451</v>
      </c>
      <c r="Q14" s="29">
        <f>AP_CRONO_qua!R16</f>
        <v>0.62083333333333335</v>
      </c>
      <c r="R14" s="29">
        <f t="shared" si="0"/>
        <v>5.5555555555555636E-3</v>
      </c>
      <c r="S14" s="29">
        <f t="shared" si="1"/>
        <v>0</v>
      </c>
    </row>
    <row r="15" spans="1:21" x14ac:dyDescent="0.3">
      <c r="A15" s="26">
        <v>4</v>
      </c>
      <c r="B15" t="s">
        <v>62</v>
      </c>
      <c r="C15" s="36">
        <f>SUMIFS(ENCOMENDA!K:K,ENCOMENDA!A:A,B15,ENCOMENDA!L:L,D$1)</f>
        <v>1.2600000000000002</v>
      </c>
      <c r="D15" s="29">
        <f>AP_CRONO_qua!E17</f>
        <v>0.23194444444444451</v>
      </c>
      <c r="E15" s="49">
        <v>0.3215277777777778</v>
      </c>
      <c r="F15" s="29">
        <f>AP_CRONO_qua!G17</f>
        <v>0.3354166666666667</v>
      </c>
      <c r="G15" s="29">
        <f>AP_CRONO_qua!H17</f>
        <v>0.3354166666666667</v>
      </c>
      <c r="H15" s="29">
        <f>AP_CRONO_qua!I17</f>
        <v>0.33888888888888891</v>
      </c>
      <c r="I15" s="29">
        <f>AP_CRONO_qua!J17</f>
        <v>0.34722222222222227</v>
      </c>
      <c r="J15" s="29">
        <f>AP_CRONO_qua!K17</f>
        <v>0.35555555555555562</v>
      </c>
      <c r="K15" s="29">
        <f>AP_CRONO_qua!L17</f>
        <v>0.35902777777777783</v>
      </c>
      <c r="L15" s="29">
        <f>AP_CRONO_qua!M17</f>
        <v>0.38680555555555562</v>
      </c>
      <c r="M15" s="29">
        <f>AP_CRONO_qua!N17</f>
        <v>0.45277777777777783</v>
      </c>
      <c r="N15" s="29">
        <f>AP_CRONO_qua!O17</f>
        <v>0.47708333333333341</v>
      </c>
      <c r="O15" s="29">
        <f>AP_CRONO_qua!P17</f>
        <v>0.54305555555555562</v>
      </c>
      <c r="P15" s="29">
        <f>AP_CRONO_qua!Q17</f>
        <v>0.57569444444444451</v>
      </c>
      <c r="Q15" s="29">
        <f>AP_CRONO_qua!R17</f>
        <v>0.62083333333333335</v>
      </c>
      <c r="R15" s="29">
        <f t="shared" si="0"/>
        <v>5.5555555555555636E-3</v>
      </c>
      <c r="S15" s="29">
        <f t="shared" si="1"/>
        <v>0</v>
      </c>
    </row>
    <row r="16" spans="1:21" x14ac:dyDescent="0.3">
      <c r="A16" s="26">
        <v>4</v>
      </c>
      <c r="B16" t="s">
        <v>22</v>
      </c>
      <c r="C16" s="36">
        <f>SUMIFS(ENCOMENDA!K:K,ENCOMENDA!A:A,B16,ENCOMENDA!L:L,D$1)</f>
        <v>1.6800000000000002</v>
      </c>
      <c r="D16" s="29">
        <f>AP_CRONO_qua!E18</f>
        <v>0.23750000000000007</v>
      </c>
      <c r="E16" s="49">
        <v>0.3215277777777778</v>
      </c>
      <c r="F16" s="29">
        <f>AP_CRONO_qua!G18</f>
        <v>0.3354166666666667</v>
      </c>
      <c r="G16" s="29">
        <f>AP_CRONO_qua!H18</f>
        <v>0.3354166666666667</v>
      </c>
      <c r="H16" s="29">
        <f>AP_CRONO_qua!I18</f>
        <v>0.33888888888888891</v>
      </c>
      <c r="I16" s="29">
        <f>AP_CRONO_qua!J18</f>
        <v>0.34722222222222227</v>
      </c>
      <c r="J16" s="29">
        <f>AP_CRONO_qua!K18</f>
        <v>0.35555555555555562</v>
      </c>
      <c r="K16" s="29">
        <f>AP_CRONO_qua!L18</f>
        <v>0.35902777777777783</v>
      </c>
      <c r="L16" s="29">
        <f>AP_CRONO_qua!M18</f>
        <v>0.38680555555555562</v>
      </c>
      <c r="M16" s="29">
        <f>AP_CRONO_qua!N18</f>
        <v>0.45277777777777783</v>
      </c>
      <c r="N16" s="29">
        <f>AP_CRONO_qua!O18</f>
        <v>0.47708333333333341</v>
      </c>
      <c r="O16" s="29">
        <f>AP_CRONO_qua!P18</f>
        <v>0.54305555555555562</v>
      </c>
      <c r="P16" s="29">
        <f>AP_CRONO_qua!Q18</f>
        <v>0.57569444444444451</v>
      </c>
      <c r="Q16" s="29">
        <f>AP_CRONO_qua!R18</f>
        <v>0.62083333333333335</v>
      </c>
      <c r="R16" s="29">
        <f t="shared" si="0"/>
        <v>5.5555555555555636E-3</v>
      </c>
      <c r="S16" s="29">
        <f t="shared" si="1"/>
        <v>0</v>
      </c>
    </row>
    <row r="17" spans="1:19" x14ac:dyDescent="0.3">
      <c r="A17" s="26">
        <v>4</v>
      </c>
      <c r="B17" t="s">
        <v>35</v>
      </c>
      <c r="C17" s="36">
        <f>SUMIFS(ENCOMENDA!K:K,ENCOMENDA!A:A,B17,ENCOMENDA!L:L,D$1)</f>
        <v>0.96</v>
      </c>
      <c r="D17" s="29">
        <f>AP_CRONO_qua!E19</f>
        <v>0.24305555555555564</v>
      </c>
      <c r="E17" s="49">
        <v>0.3215277777777778</v>
      </c>
      <c r="F17" s="29">
        <f>AP_CRONO_qua!G19</f>
        <v>0.3354166666666667</v>
      </c>
      <c r="G17" s="29">
        <f>AP_CRONO_qua!H19</f>
        <v>0.3354166666666667</v>
      </c>
      <c r="H17" s="29">
        <f>AP_CRONO_qua!I19</f>
        <v>0.33888888888888891</v>
      </c>
      <c r="I17" s="29">
        <f>AP_CRONO_qua!J19</f>
        <v>0.34722222222222227</v>
      </c>
      <c r="J17" s="29">
        <f>AP_CRONO_qua!K19</f>
        <v>0.35555555555555562</v>
      </c>
      <c r="K17" s="29">
        <f>AP_CRONO_qua!L19</f>
        <v>0.35902777777777783</v>
      </c>
      <c r="L17" s="29">
        <f>AP_CRONO_qua!M19</f>
        <v>0.38680555555555562</v>
      </c>
      <c r="M17" s="29">
        <f>AP_CRONO_qua!N19</f>
        <v>0.45277777777777783</v>
      </c>
      <c r="N17" s="29">
        <f>AP_CRONO_qua!O19</f>
        <v>0.47708333333333341</v>
      </c>
      <c r="O17" s="29">
        <f>AP_CRONO_qua!P19</f>
        <v>0.54305555555555562</v>
      </c>
      <c r="P17" s="29">
        <f>AP_CRONO_qua!Q19</f>
        <v>0.57569444444444451</v>
      </c>
      <c r="Q17" s="29">
        <f>AP_CRONO_qua!R19</f>
        <v>0.62083333333333335</v>
      </c>
      <c r="R17" s="29">
        <f t="shared" si="0"/>
        <v>5.5555555555555636E-3</v>
      </c>
      <c r="S17" s="29">
        <f t="shared" si="1"/>
        <v>0</v>
      </c>
    </row>
    <row r="18" spans="1:19" x14ac:dyDescent="0.3">
      <c r="A18" s="26">
        <v>5</v>
      </c>
      <c r="B18" t="s">
        <v>21</v>
      </c>
      <c r="C18" s="36">
        <f>SUMIFS(ENCOMENDA!K:K,ENCOMENDA!A:A,B18,ENCOMENDA!L:L,D$1)</f>
        <v>32.400000000000006</v>
      </c>
      <c r="D18" s="29">
        <f>AP_CRONO_qua!E20</f>
        <v>0.2486111111111112</v>
      </c>
      <c r="E18" s="49">
        <v>0.37152777777777773</v>
      </c>
      <c r="F18" s="29">
        <f>AP_CRONO_qua!G20</f>
        <v>0.38541666666666663</v>
      </c>
      <c r="G18" s="29">
        <f>AP_CRONO_qua!H20</f>
        <v>0.38541666666666663</v>
      </c>
      <c r="H18" s="29">
        <f>AP_CRONO_qua!I20</f>
        <v>0.38888888888888884</v>
      </c>
      <c r="I18" s="29">
        <f>AP_CRONO_qua!J20</f>
        <v>0.3972222222222222</v>
      </c>
      <c r="J18" s="29">
        <f>AP_CRONO_qua!K20</f>
        <v>0.40555555555555556</v>
      </c>
      <c r="K18" s="29">
        <f>AP_CRONO_qua!L20</f>
        <v>0.40902777777777777</v>
      </c>
      <c r="L18" s="29">
        <f>AP_CRONO_qua!M20</f>
        <v>0.43680555555555556</v>
      </c>
      <c r="M18" s="29">
        <f>AP_CRONO_qua!N20</f>
        <v>0.50277777777777777</v>
      </c>
      <c r="N18" s="29">
        <f>AP_CRONO_qua!O20</f>
        <v>0.52708333333333335</v>
      </c>
      <c r="O18" s="29">
        <f>AP_CRONO_qua!P20</f>
        <v>0.59305555555555556</v>
      </c>
      <c r="P18" s="29">
        <f>AP_CRONO_qua!Q20</f>
        <v>0.62569444444444444</v>
      </c>
      <c r="Q18" s="29">
        <f>AP_CRONO_qua!R20</f>
        <v>0.67083333333333328</v>
      </c>
      <c r="R18" s="29">
        <f t="shared" si="0"/>
        <v>5.5555555555555636E-3</v>
      </c>
      <c r="S18" s="29">
        <f t="shared" si="1"/>
        <v>4.9999999999999933E-2</v>
      </c>
    </row>
    <row r="19" spans="1:19" x14ac:dyDescent="0.3">
      <c r="A19" s="26">
        <v>6</v>
      </c>
      <c r="B19" t="s">
        <v>25</v>
      </c>
      <c r="C19" s="36">
        <f>SUMIFS(ENCOMENDA!K:K,ENCOMENDA!A:A,B19,ENCOMENDA!L:L,D$1)</f>
        <v>2.7600000000000002</v>
      </c>
      <c r="D19" s="29">
        <f>AP_CRONO_qua!E21</f>
        <v>0.25416666666666676</v>
      </c>
      <c r="E19" s="49">
        <v>0.4201388888888889</v>
      </c>
      <c r="F19" s="29">
        <f>AP_CRONO_qua!G21</f>
        <v>0.43402777777777779</v>
      </c>
      <c r="G19" s="29">
        <f>AP_CRONO_qua!H21</f>
        <v>0.43402777777777779</v>
      </c>
      <c r="H19" s="29">
        <f>AP_CRONO_qua!I21</f>
        <v>0.4375</v>
      </c>
      <c r="I19" s="29">
        <f>AP_CRONO_qua!J21</f>
        <v>0.44583333333333336</v>
      </c>
      <c r="J19" s="29">
        <f>AP_CRONO_qua!K21</f>
        <v>0.45416666666666672</v>
      </c>
      <c r="K19" s="29">
        <f>AP_CRONO_qua!L21</f>
        <v>0.45763888888888893</v>
      </c>
      <c r="L19" s="29">
        <f>AP_CRONO_qua!M21</f>
        <v>0.48541666666666672</v>
      </c>
      <c r="M19" s="29">
        <f>AP_CRONO_qua!N21</f>
        <v>0.55138888888888893</v>
      </c>
      <c r="N19" s="29">
        <f>AP_CRONO_qua!O21</f>
        <v>0.57569444444444451</v>
      </c>
      <c r="O19" s="29">
        <f>AP_CRONO_qua!P21</f>
        <v>0.64166666666666672</v>
      </c>
      <c r="P19" s="29">
        <f>AP_CRONO_qua!Q21</f>
        <v>0.6743055555555556</v>
      </c>
      <c r="Q19" s="29">
        <f>AP_CRONO_qua!R21</f>
        <v>0.71944444444444444</v>
      </c>
      <c r="R19" s="29">
        <f t="shared" si="0"/>
        <v>5.5555555555555636E-3</v>
      </c>
      <c r="S19" s="29">
        <f t="shared" si="1"/>
        <v>4.861111111111116E-2</v>
      </c>
    </row>
    <row r="20" spans="1:19" x14ac:dyDescent="0.3">
      <c r="A20" s="26">
        <v>6</v>
      </c>
      <c r="B20" t="s">
        <v>33</v>
      </c>
      <c r="C20" s="36">
        <f>SUMIFS(ENCOMENDA!K:K,ENCOMENDA!A:A,B20,ENCOMENDA!L:L,D$1)</f>
        <v>0</v>
      </c>
      <c r="D20" s="29">
        <f>AP_CRONO_qua!E22</f>
        <v>0.2597222222222223</v>
      </c>
      <c r="E20" s="49">
        <v>0.4201388888888889</v>
      </c>
      <c r="F20" s="29">
        <f>AP_CRONO_qua!G22</f>
        <v>0.43402777777777779</v>
      </c>
      <c r="G20" s="29">
        <f>AP_CRONO_qua!H22</f>
        <v>0.43402777777777779</v>
      </c>
      <c r="H20" s="29">
        <f>AP_CRONO_qua!I22</f>
        <v>0.4375</v>
      </c>
      <c r="I20" s="29">
        <f>AP_CRONO_qua!J22</f>
        <v>0.44583333333333336</v>
      </c>
      <c r="J20" s="29">
        <f>AP_CRONO_qua!K22</f>
        <v>0.45416666666666672</v>
      </c>
      <c r="K20" s="29">
        <f>AP_CRONO_qua!L22</f>
        <v>0.45763888888888893</v>
      </c>
      <c r="L20" s="29">
        <f>AP_CRONO_qua!M22</f>
        <v>0.48541666666666672</v>
      </c>
      <c r="M20" s="29">
        <f>AP_CRONO_qua!N22</f>
        <v>0.55138888888888893</v>
      </c>
      <c r="N20" s="29">
        <f>AP_CRONO_qua!O22</f>
        <v>0.57569444444444451</v>
      </c>
      <c r="O20" s="29">
        <f>AP_CRONO_qua!P22</f>
        <v>0.64166666666666672</v>
      </c>
      <c r="P20" s="29">
        <f>AP_CRONO_qua!Q22</f>
        <v>0.6743055555555556</v>
      </c>
      <c r="Q20" s="29">
        <f>AP_CRONO_qua!R22</f>
        <v>0.71944444444444444</v>
      </c>
      <c r="R20" s="29">
        <f t="shared" si="0"/>
        <v>5.5555555555555358E-3</v>
      </c>
      <c r="S20" s="29">
        <f t="shared" si="1"/>
        <v>0</v>
      </c>
    </row>
    <row r="21" spans="1:19" x14ac:dyDescent="0.3">
      <c r="A21" s="26"/>
      <c r="C21" s="36">
        <f>SUMIFS(ENCOMENDA!K:K,ENCOMENDA!A:A,B21,ENCOMENDA!L:L,D$1)</f>
        <v>0</v>
      </c>
      <c r="D21" s="29" t="str">
        <f>AP_CRONO_qua!E23</f>
        <v/>
      </c>
      <c r="E21" s="49"/>
      <c r="F21" s="29" t="str">
        <f>AP_CRONO_qua!G23</f>
        <v/>
      </c>
      <c r="G21" s="29" t="str">
        <f>AP_CRONO_qua!H23</f>
        <v/>
      </c>
      <c r="H21" s="29" t="str">
        <f>AP_CRONO_qua!I23</f>
        <v/>
      </c>
      <c r="I21" s="29" t="str">
        <f>AP_CRONO_qua!J23</f>
        <v/>
      </c>
      <c r="J21" s="29" t="str">
        <f>AP_CRONO_qua!K23</f>
        <v/>
      </c>
      <c r="K21" s="29" t="str">
        <f>AP_CRONO_qua!L23</f>
        <v/>
      </c>
      <c r="L21" s="29" t="str">
        <f>AP_CRONO_qua!M23</f>
        <v/>
      </c>
      <c r="M21" s="29" t="str">
        <f>AP_CRONO_qua!N23</f>
        <v/>
      </c>
      <c r="N21" s="29" t="str">
        <f>AP_CRONO_qua!O23</f>
        <v/>
      </c>
      <c r="O21" s="29" t="str">
        <f>AP_CRONO_qua!P23</f>
        <v/>
      </c>
      <c r="P21" s="29" t="str">
        <f>AP_CRONO_qua!Q23</f>
        <v/>
      </c>
      <c r="Q21" s="29" t="str">
        <f>AP_CRONO_qua!R23</f>
        <v/>
      </c>
      <c r="R21" s="29" t="str">
        <f t="shared" si="0"/>
        <v/>
      </c>
      <c r="S21" s="29">
        <f t="shared" si="1"/>
        <v>-0.4201388888888889</v>
      </c>
    </row>
    <row r="22" spans="1:19" x14ac:dyDescent="0.3">
      <c r="A22" s="26"/>
      <c r="C22" s="36">
        <f>SUMIFS(ENCOMENDA!K:K,ENCOMENDA!A:A,B22,ENCOMENDA!L:L,D$1)</f>
        <v>0</v>
      </c>
      <c r="D22" s="29" t="str">
        <f>AP_CRONO_qua!E24</f>
        <v/>
      </c>
      <c r="E22" s="49"/>
      <c r="F22" s="29" t="str">
        <f>AP_CRONO_qua!G24</f>
        <v/>
      </c>
      <c r="G22" s="29" t="str">
        <f>AP_CRONO_qua!H24</f>
        <v/>
      </c>
      <c r="H22" s="29" t="str">
        <f>AP_CRONO_qua!I24</f>
        <v/>
      </c>
      <c r="I22" s="29" t="str">
        <f>AP_CRONO_qua!J24</f>
        <v/>
      </c>
      <c r="J22" s="29" t="str">
        <f>AP_CRONO_qua!K24</f>
        <v/>
      </c>
      <c r="K22" s="29" t="str">
        <f>AP_CRONO_qua!L24</f>
        <v/>
      </c>
      <c r="L22" s="29" t="str">
        <f>AP_CRONO_qua!M24</f>
        <v/>
      </c>
      <c r="M22" s="29" t="str">
        <f>AP_CRONO_qua!N24</f>
        <v/>
      </c>
      <c r="N22" s="29" t="str">
        <f>AP_CRONO_qua!O24</f>
        <v/>
      </c>
      <c r="O22" s="29" t="str">
        <f>AP_CRONO_qua!P24</f>
        <v/>
      </c>
      <c r="P22" s="29" t="str">
        <f>AP_CRONO_qua!Q24</f>
        <v/>
      </c>
      <c r="Q22" s="29" t="str">
        <f>AP_CRONO_qua!R24</f>
        <v/>
      </c>
      <c r="R22" s="29" t="str">
        <f t="shared" si="0"/>
        <v/>
      </c>
      <c r="S22" s="29" t="str">
        <f t="shared" si="1"/>
        <v/>
      </c>
    </row>
    <row r="23" spans="1:19" x14ac:dyDescent="0.3">
      <c r="A23" s="26"/>
      <c r="C23" s="36">
        <f>SUMIFS(ENCOMENDA!K:K,ENCOMENDA!A:A,B23,ENCOMENDA!L:L,D$1)</f>
        <v>0</v>
      </c>
      <c r="D23" s="29" t="str">
        <f>AP_CRONO_qua!E25</f>
        <v/>
      </c>
      <c r="E23" s="49"/>
      <c r="F23" s="29" t="str">
        <f>AP_CRONO_qua!G25</f>
        <v/>
      </c>
      <c r="G23" s="29" t="str">
        <f>AP_CRONO_qua!H25</f>
        <v/>
      </c>
      <c r="H23" s="29" t="str">
        <f>AP_CRONO_qua!I25</f>
        <v/>
      </c>
      <c r="I23" s="29" t="str">
        <f>AP_CRONO_qua!J25</f>
        <v/>
      </c>
      <c r="J23" s="29" t="str">
        <f>AP_CRONO_qua!K25</f>
        <v/>
      </c>
      <c r="K23" s="29" t="str">
        <f>AP_CRONO_qua!L25</f>
        <v/>
      </c>
      <c r="L23" s="29" t="str">
        <f>AP_CRONO_qua!M25</f>
        <v/>
      </c>
      <c r="M23" s="29" t="str">
        <f>AP_CRONO_qua!N25</f>
        <v/>
      </c>
      <c r="N23" s="29" t="str">
        <f>AP_CRONO_qua!O25</f>
        <v/>
      </c>
      <c r="O23" s="29" t="str">
        <f>AP_CRONO_qua!P25</f>
        <v/>
      </c>
      <c r="P23" s="29" t="str">
        <f>AP_CRONO_qua!Q25</f>
        <v/>
      </c>
      <c r="Q23" s="29" t="str">
        <f>AP_CRONO_qua!R25</f>
        <v/>
      </c>
      <c r="R23" s="29" t="str">
        <f t="shared" si="0"/>
        <v/>
      </c>
      <c r="S23" s="29" t="str">
        <f t="shared" si="1"/>
        <v/>
      </c>
    </row>
    <row r="24" spans="1:19" x14ac:dyDescent="0.3">
      <c r="A24" s="26"/>
      <c r="C24" s="36">
        <f>SUMIFS(ENCOMENDA!K:K,ENCOMENDA!A:A,B24,ENCOMENDA!L:L,D$1)</f>
        <v>0</v>
      </c>
      <c r="D24" s="29" t="str">
        <f>AP_CRONO_qua!E26</f>
        <v/>
      </c>
      <c r="E24" s="49"/>
      <c r="F24" s="29" t="str">
        <f>AP_CRONO_qua!G26</f>
        <v/>
      </c>
      <c r="G24" s="29" t="str">
        <f>AP_CRONO_qua!H26</f>
        <v/>
      </c>
      <c r="H24" s="29" t="str">
        <f>AP_CRONO_qua!I26</f>
        <v/>
      </c>
      <c r="I24" s="29" t="str">
        <f>AP_CRONO_qua!J26</f>
        <v/>
      </c>
      <c r="J24" s="29" t="str">
        <f>AP_CRONO_qua!K26</f>
        <v/>
      </c>
      <c r="K24" s="29" t="str">
        <f>AP_CRONO_qua!L26</f>
        <v/>
      </c>
      <c r="L24" s="29" t="str">
        <f>AP_CRONO_qua!M26</f>
        <v/>
      </c>
      <c r="M24" s="29" t="str">
        <f>AP_CRONO_qua!N26</f>
        <v/>
      </c>
      <c r="N24" s="29" t="str">
        <f>AP_CRONO_qua!O26</f>
        <v/>
      </c>
      <c r="O24" s="29" t="str">
        <f>AP_CRONO_qua!P26</f>
        <v/>
      </c>
      <c r="P24" s="29" t="str">
        <f>AP_CRONO_qua!Q26</f>
        <v/>
      </c>
      <c r="Q24" s="29" t="str">
        <f>AP_CRONO_qua!R26</f>
        <v/>
      </c>
      <c r="R24" s="29" t="str">
        <f t="shared" si="0"/>
        <v/>
      </c>
      <c r="S24" s="29" t="str">
        <f t="shared" si="1"/>
        <v/>
      </c>
    </row>
    <row r="25" spans="1:19" x14ac:dyDescent="0.3">
      <c r="A25" s="26"/>
      <c r="C25" s="36">
        <f>SUMIFS(ENCOMENDA!K:K,ENCOMENDA!A:A,B25,ENCOMENDA!L:L,D$1)</f>
        <v>0</v>
      </c>
      <c r="D25" s="29" t="str">
        <f>AP_CRONO_qua!E27</f>
        <v/>
      </c>
      <c r="E25" s="49"/>
      <c r="F25" s="29" t="str">
        <f>AP_CRONO_qua!G27</f>
        <v/>
      </c>
      <c r="G25" s="29" t="str">
        <f>AP_CRONO_qua!H27</f>
        <v/>
      </c>
      <c r="H25" s="29" t="str">
        <f>AP_CRONO_qua!I27</f>
        <v/>
      </c>
      <c r="I25" s="29" t="str">
        <f>AP_CRONO_qua!J27</f>
        <v/>
      </c>
      <c r="J25" s="29" t="str">
        <f>AP_CRONO_qua!K27</f>
        <v/>
      </c>
      <c r="K25" s="29" t="str">
        <f>AP_CRONO_qua!L27</f>
        <v/>
      </c>
      <c r="L25" s="29" t="str">
        <f>AP_CRONO_qua!M27</f>
        <v/>
      </c>
      <c r="M25" s="29" t="str">
        <f>AP_CRONO_qua!N27</f>
        <v/>
      </c>
      <c r="N25" s="29" t="str">
        <f>AP_CRONO_qua!O27</f>
        <v/>
      </c>
      <c r="O25" s="29" t="str">
        <f>AP_CRONO_qua!P27</f>
        <v/>
      </c>
      <c r="P25" s="29" t="str">
        <f>AP_CRONO_qua!Q27</f>
        <v/>
      </c>
      <c r="Q25" s="29" t="str">
        <f>AP_CRONO_qua!R27</f>
        <v/>
      </c>
      <c r="R25" s="29" t="str">
        <f t="shared" si="0"/>
        <v/>
      </c>
      <c r="S25" s="29" t="str">
        <f t="shared" si="1"/>
        <v/>
      </c>
    </row>
    <row r="26" spans="1:19" x14ac:dyDescent="0.3">
      <c r="A26" s="26"/>
      <c r="C26" s="36">
        <f>SUMIFS(ENCOMENDA!K:K,ENCOMENDA!A:A,B26,ENCOMENDA!L:L,D$1)</f>
        <v>0</v>
      </c>
      <c r="D26" s="29" t="str">
        <f>AP_CRONO_qua!E28</f>
        <v/>
      </c>
      <c r="E26" s="49"/>
      <c r="F26" s="29" t="str">
        <f>AP_CRONO_qua!G28</f>
        <v/>
      </c>
      <c r="G26" s="29" t="str">
        <f>AP_CRONO_qua!H28</f>
        <v/>
      </c>
      <c r="H26" s="29" t="str">
        <f>AP_CRONO_qua!I28</f>
        <v/>
      </c>
      <c r="I26" s="29" t="str">
        <f>AP_CRONO_qua!J28</f>
        <v/>
      </c>
      <c r="J26" s="29" t="str">
        <f>AP_CRONO_qua!K28</f>
        <v/>
      </c>
      <c r="K26" s="29" t="str">
        <f>AP_CRONO_qua!L28</f>
        <v/>
      </c>
      <c r="L26" s="29" t="str">
        <f>AP_CRONO_qua!M28</f>
        <v/>
      </c>
      <c r="M26" s="29" t="str">
        <f>AP_CRONO_qua!N28</f>
        <v/>
      </c>
      <c r="N26" s="29" t="str">
        <f>AP_CRONO_qua!O28</f>
        <v/>
      </c>
      <c r="O26" s="29" t="str">
        <f>AP_CRONO_qua!P28</f>
        <v/>
      </c>
      <c r="P26" s="29" t="str">
        <f>AP_CRONO_qua!Q28</f>
        <v/>
      </c>
      <c r="Q26" s="29" t="str">
        <f>AP_CRONO_qua!R28</f>
        <v/>
      </c>
      <c r="R26" s="29" t="str">
        <f t="shared" si="0"/>
        <v/>
      </c>
      <c r="S26" s="29" t="str">
        <f t="shared" si="1"/>
        <v/>
      </c>
    </row>
    <row r="27" spans="1:19" x14ac:dyDescent="0.3">
      <c r="C27" s="36">
        <f>SUMIFS(ENCOMENDA!K:K,ENCOMENDA!A:A,B27,ENCOMENDA!L:L,D$1)</f>
        <v>0</v>
      </c>
      <c r="D27" s="29" t="str">
        <f>AP_CRONO_qua!E29</f>
        <v/>
      </c>
      <c r="E27" s="49"/>
      <c r="F27" s="29" t="str">
        <f>AP_CRONO_qua!G29</f>
        <v/>
      </c>
      <c r="G27" s="29" t="str">
        <f>AP_CRONO_qua!H29</f>
        <v/>
      </c>
      <c r="H27" s="29" t="str">
        <f>AP_CRONO_qua!I29</f>
        <v/>
      </c>
      <c r="I27" s="29" t="str">
        <f>AP_CRONO_qua!J29</f>
        <v/>
      </c>
      <c r="J27" s="29" t="str">
        <f>AP_CRONO_qua!K29</f>
        <v/>
      </c>
      <c r="K27" s="29" t="str">
        <f>AP_CRONO_qua!L29</f>
        <v/>
      </c>
      <c r="L27" s="29" t="str">
        <f>AP_CRONO_qua!M29</f>
        <v/>
      </c>
      <c r="M27" s="29" t="str">
        <f>AP_CRONO_qua!N29</f>
        <v/>
      </c>
      <c r="N27" s="29" t="str">
        <f>AP_CRONO_qua!O29</f>
        <v/>
      </c>
      <c r="O27" s="29" t="str">
        <f>AP_CRONO_qua!P29</f>
        <v/>
      </c>
      <c r="P27" s="29" t="str">
        <f>AP_CRONO_qua!Q29</f>
        <v/>
      </c>
      <c r="Q27" s="29" t="str">
        <f>AP_CRONO_qua!R29</f>
        <v/>
      </c>
      <c r="R27" s="29" t="str">
        <f t="shared" si="0"/>
        <v/>
      </c>
      <c r="S27" s="29" t="str">
        <f t="shared" si="1"/>
        <v/>
      </c>
    </row>
    <row r="28" spans="1:19" x14ac:dyDescent="0.3">
      <c r="C28" s="36">
        <f>SUMIFS(ENCOMENDA!K:K,ENCOMENDA!A:A,B28,ENCOMENDA!L:L,D$1)</f>
        <v>0</v>
      </c>
      <c r="D28" s="29" t="str">
        <f>AP_CRONO_qua!E30</f>
        <v/>
      </c>
      <c r="E28" s="49"/>
      <c r="F28" s="29" t="str">
        <f>AP_CRONO_qua!G30</f>
        <v/>
      </c>
      <c r="G28" s="29" t="str">
        <f>AP_CRONO_qua!H30</f>
        <v/>
      </c>
      <c r="H28" s="29" t="str">
        <f>AP_CRONO_qua!I30</f>
        <v/>
      </c>
      <c r="I28" s="29" t="str">
        <f>AP_CRONO_qua!J30</f>
        <v/>
      </c>
      <c r="J28" s="29" t="str">
        <f>AP_CRONO_qua!K30</f>
        <v/>
      </c>
      <c r="K28" s="29" t="str">
        <f>AP_CRONO_qua!L30</f>
        <v/>
      </c>
      <c r="L28" s="29" t="str">
        <f>AP_CRONO_qua!M30</f>
        <v/>
      </c>
      <c r="M28" s="29" t="str">
        <f>AP_CRONO_qua!N30</f>
        <v/>
      </c>
      <c r="N28" s="29" t="str">
        <f>AP_CRONO_qua!O30</f>
        <v/>
      </c>
      <c r="O28" s="29" t="str">
        <f>AP_CRONO_qua!P30</f>
        <v/>
      </c>
      <c r="P28" s="29" t="str">
        <f>AP_CRONO_qua!Q30</f>
        <v/>
      </c>
      <c r="Q28" s="29" t="str">
        <f>AP_CRONO_qua!R30</f>
        <v/>
      </c>
      <c r="R28" s="29" t="str">
        <f t="shared" si="0"/>
        <v/>
      </c>
      <c r="S28" s="29" t="str">
        <f t="shared" si="1"/>
        <v/>
      </c>
    </row>
  </sheetData>
  <autoFilter ref="A7:Q7" xr:uid="{6D6CBCE8-2285-4CAB-8F9F-71DDD9B4BE14}">
    <filterColumn colId="4" showButton="0"/>
    <sortState ref="A8:H26">
      <sortCondition ref="H7"/>
    </sortState>
  </autoFilter>
  <mergeCells count="1">
    <mergeCell ref="F3:G3"/>
  </mergeCells>
  <conditionalFormatting sqref="D8:D28 F8:Q28">
    <cfRule type="cellIs" dxfId="22" priority="13" operator="lessThan">
      <formula>$T$8</formula>
    </cfRule>
  </conditionalFormatting>
  <conditionalFormatting sqref="D8:D28 F8:Q28">
    <cfRule type="cellIs" dxfId="21" priority="14" operator="greaterThan">
      <formula>0.375694444444444</formula>
    </cfRule>
    <cfRule type="colorScale" priority="15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A" xr:uid="{6F610801-2819-4955-849A-86D5DC4ED96E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151A-77B1-459D-90EA-36253C9BE002}">
  <sheetPr codeName="Planilha9"/>
  <dimension ref="A1:U32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D1" s="39" t="s">
        <v>93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93" t="s">
        <v>87</v>
      </c>
      <c r="G3" s="93"/>
    </row>
    <row r="7" spans="1:21" s="26" customFormat="1" ht="33" customHeight="1" x14ac:dyDescent="0.3">
      <c r="A7" s="27" t="s">
        <v>74</v>
      </c>
      <c r="B7" s="27" t="s">
        <v>75</v>
      </c>
      <c r="C7" s="27" t="s">
        <v>76</v>
      </c>
      <c r="D7" s="32" t="str">
        <f>AP_CRONO_SEG!E9</f>
        <v>PESAGEM</v>
      </c>
      <c r="E7" s="67" t="str">
        <f>AP_CRONO_SEG!F9</f>
        <v>INC_BATIMENTO</v>
      </c>
      <c r="F7" s="6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>
        <v>1</v>
      </c>
      <c r="B8" t="s">
        <v>28</v>
      </c>
      <c r="C8" s="36">
        <f>SUMIFS(ENCOMENDA!K:K,ENCOMENDA!A:A,B8,ENCOMENDA!L:L,D$1)</f>
        <v>13.100000000000001</v>
      </c>
      <c r="D8" s="29">
        <f>AP_CRONO_Qui!E10</f>
        <v>0.19305555555555556</v>
      </c>
      <c r="E8" s="49">
        <v>0.21180555555555555</v>
      </c>
      <c r="F8" s="29">
        <f>AP_CRONO_Qui!G10</f>
        <v>0.22569444444444445</v>
      </c>
      <c r="G8" s="29">
        <f>AP_CRONO_Qui!H10</f>
        <v>0.22569444444444445</v>
      </c>
      <c r="H8" s="29">
        <f>AP_CRONO_Qui!I10</f>
        <v>0.22916666666666666</v>
      </c>
      <c r="I8" s="29">
        <f>AP_CRONO_Qui!J10</f>
        <v>0.23749999999999999</v>
      </c>
      <c r="J8" s="29">
        <f>AP_CRONO_Qui!K10</f>
        <v>0.24583333333333332</v>
      </c>
      <c r="K8" s="29">
        <f>AP_CRONO_Qui!L10</f>
        <v>0.24930555555555553</v>
      </c>
      <c r="L8" s="29">
        <f>AP_CRONO_Qui!M10</f>
        <v>0.27708333333333329</v>
      </c>
      <c r="M8" s="29">
        <f>AP_CRONO_Qui!N10</f>
        <v>0.3430555555555555</v>
      </c>
      <c r="N8" s="29">
        <f>AP_CRONO_Qui!O10</f>
        <v>0.36736111111111103</v>
      </c>
      <c r="O8" s="29">
        <f>AP_CRONO_Qui!P10</f>
        <v>0.43333333333333324</v>
      </c>
      <c r="P8" s="29">
        <f>AP_CRONO_Qui!Q10</f>
        <v>0.46597222222222212</v>
      </c>
      <c r="Q8" s="29">
        <f>AP_CRONO_Qui!R10</f>
        <v>0.51111111111111096</v>
      </c>
      <c r="T8" s="30">
        <f>Relogio</f>
        <v>0.66748842592592583</v>
      </c>
      <c r="U8" s="29">
        <f>T8+S1</f>
        <v>0.66818287037037027</v>
      </c>
    </row>
    <row r="9" spans="1:21" s="26" customFormat="1" x14ac:dyDescent="0.3">
      <c r="A9">
        <v>1</v>
      </c>
      <c r="B9" t="s">
        <v>29</v>
      </c>
      <c r="C9" s="36">
        <f>SUMIFS(ENCOMENDA!K:K,ENCOMENDA!A:A,B9,ENCOMENDA!L:L,D$1)</f>
        <v>14.8</v>
      </c>
      <c r="D9" s="29">
        <f>AP_CRONO_Qui!E11</f>
        <v>0.19861111111111113</v>
      </c>
      <c r="E9" s="49">
        <v>0.21875</v>
      </c>
      <c r="F9" s="29">
        <f>AP_CRONO_Qui!G11</f>
        <v>0.2326388888888889</v>
      </c>
      <c r="G9" s="29">
        <f>AP_CRONO_Qui!H11</f>
        <v>0.2326388888888889</v>
      </c>
      <c r="H9" s="29">
        <f>AP_CRONO_Qui!I11</f>
        <v>0.2361111111111111</v>
      </c>
      <c r="I9" s="29">
        <f>AP_CRONO_Qui!J11</f>
        <v>0.28125</v>
      </c>
      <c r="J9" s="29">
        <f>AP_CRONO_Qui!K11</f>
        <v>0.30208333333333331</v>
      </c>
      <c r="K9" s="29">
        <f>AP_CRONO_Qui!L11</f>
        <v>0.33333333333333331</v>
      </c>
      <c r="L9" s="29">
        <f>AP_CRONO_Qui!M11</f>
        <v>0.35416666666666663</v>
      </c>
      <c r="M9" s="29">
        <f>AP_CRONO_Qui!N11</f>
        <v>0.39930555555555552</v>
      </c>
      <c r="N9" s="29">
        <f>AP_CRONO_Qui!O11</f>
        <v>0.43055555555555552</v>
      </c>
      <c r="O9" s="29">
        <f>AP_CRONO_Qui!P11</f>
        <v>0.49652777777777773</v>
      </c>
      <c r="P9" s="29">
        <f>AP_CRONO_Qui!Q11</f>
        <v>0.49999999999999994</v>
      </c>
      <c r="Q9" s="29">
        <f>AP_CRONO_Qui!R11</f>
        <v>0.54513888888888884</v>
      </c>
      <c r="R9" s="29">
        <f t="shared" ref="R9:R32" si="0">IFERROR(D9-D8,"")</f>
        <v>5.5555555555555636E-3</v>
      </c>
      <c r="S9" s="29">
        <f>IF(E8=0,"",E9-E8)</f>
        <v>6.9444444444444475E-3</v>
      </c>
    </row>
    <row r="10" spans="1:21" s="26" customFormat="1" x14ac:dyDescent="0.3">
      <c r="A10">
        <v>2</v>
      </c>
      <c r="B10" t="s">
        <v>23</v>
      </c>
      <c r="C10" s="36">
        <f>SUMIFS(ENCOMENDA!K:K,ENCOMENDA!A:A,B10,ENCOMENDA!L:L,D$1)</f>
        <v>8.5499999999999989</v>
      </c>
      <c r="D10" s="29">
        <f>AP_CRONO_Qui!E12</f>
        <v>0.20416666666666669</v>
      </c>
      <c r="E10" s="49">
        <v>0.25694444444444448</v>
      </c>
      <c r="F10" s="29">
        <f>AP_CRONO_Qui!G12</f>
        <v>0.27083333333333337</v>
      </c>
      <c r="G10" s="29">
        <f>AP_CRONO_Qui!H12</f>
        <v>0.27083333333333337</v>
      </c>
      <c r="H10" s="29">
        <f>AP_CRONO_Qui!I12</f>
        <v>0.27430555555555558</v>
      </c>
      <c r="I10" s="29">
        <f>AP_CRONO_Qui!J12</f>
        <v>0.31944444444444448</v>
      </c>
      <c r="J10" s="29">
        <f>AP_CRONO_Qui!K12</f>
        <v>0.34027777777777779</v>
      </c>
      <c r="K10" s="29">
        <f>AP_CRONO_Qui!L12</f>
        <v>0.37152777777777779</v>
      </c>
      <c r="L10" s="29">
        <f>AP_CRONO_Qui!M12</f>
        <v>0.3923611111111111</v>
      </c>
      <c r="M10" s="29">
        <f>AP_CRONO_Qui!N12</f>
        <v>0.4375</v>
      </c>
      <c r="N10" s="29">
        <f>AP_CRONO_Qui!O12</f>
        <v>0.46875</v>
      </c>
      <c r="O10" s="29">
        <f>AP_CRONO_Qui!P12</f>
        <v>0.53472222222222221</v>
      </c>
      <c r="P10" s="29">
        <f>AP_CRONO_Qui!Q12</f>
        <v>0.53819444444444442</v>
      </c>
      <c r="Q10" s="29">
        <f>AP_CRONO_Qui!R12</f>
        <v>0.58333333333333326</v>
      </c>
      <c r="R10" s="29">
        <f t="shared" si="0"/>
        <v>5.5555555555555636E-3</v>
      </c>
      <c r="S10" s="29">
        <f t="shared" ref="S10:S32" si="1">IF(E9=0,"",E10-E9)</f>
        <v>3.8194444444444475E-2</v>
      </c>
    </row>
    <row r="11" spans="1:21" s="26" customFormat="1" x14ac:dyDescent="0.3">
      <c r="A11">
        <v>2</v>
      </c>
      <c r="B11" t="s">
        <v>24</v>
      </c>
      <c r="C11" s="36">
        <f>SUMIFS(ENCOMENDA!K:K,ENCOMENDA!A:A,B11,ENCOMENDA!L:L,D$1)</f>
        <v>21.5</v>
      </c>
      <c r="D11" s="29">
        <f>AP_CRONO_Qui!E13</f>
        <v>0.20972222222222225</v>
      </c>
      <c r="E11" s="49">
        <v>0.25763888888888892</v>
      </c>
      <c r="F11" s="29">
        <f>AP_CRONO_Qui!G13</f>
        <v>0.27152777777777781</v>
      </c>
      <c r="G11" s="29">
        <f>AP_CRONO_Qui!H13</f>
        <v>0.27152777777777781</v>
      </c>
      <c r="H11" s="29">
        <f>AP_CRONO_Qui!I13</f>
        <v>0.27500000000000002</v>
      </c>
      <c r="I11" s="29">
        <f>AP_CRONO_Qui!J13</f>
        <v>0.32013888888888892</v>
      </c>
      <c r="J11" s="29">
        <f>AP_CRONO_Qui!K13</f>
        <v>0.34097222222222223</v>
      </c>
      <c r="K11" s="29">
        <f>AP_CRONO_Qui!L13</f>
        <v>0.37222222222222223</v>
      </c>
      <c r="L11" s="29">
        <f>AP_CRONO_Qui!M13</f>
        <v>0.39305555555555555</v>
      </c>
      <c r="M11" s="29">
        <f>AP_CRONO_Qui!N13</f>
        <v>0.43819444444444444</v>
      </c>
      <c r="N11" s="29">
        <f>AP_CRONO_Qui!O13</f>
        <v>0.46944444444444444</v>
      </c>
      <c r="O11" s="29">
        <f>AP_CRONO_Qui!P13</f>
        <v>0.53541666666666665</v>
      </c>
      <c r="P11" s="29">
        <f>AP_CRONO_Qui!Q13</f>
        <v>0.53888888888888886</v>
      </c>
      <c r="Q11" s="29">
        <f>AP_CRONO_Qui!R13</f>
        <v>0.5840277777777777</v>
      </c>
      <c r="R11" s="29">
        <f t="shared" si="0"/>
        <v>5.5555555555555636E-3</v>
      </c>
      <c r="S11" s="29">
        <f t="shared" si="1"/>
        <v>6.9444444444444198E-4</v>
      </c>
    </row>
    <row r="12" spans="1:21" s="26" customFormat="1" x14ac:dyDescent="0.3">
      <c r="A12">
        <v>3</v>
      </c>
      <c r="B12" t="s">
        <v>56</v>
      </c>
      <c r="C12" s="36">
        <f>SUMIFS(ENCOMENDA!K:K,ENCOMENDA!A:A,B12,ENCOMENDA!L:L,D$1)</f>
        <v>0.6</v>
      </c>
      <c r="D12" s="29">
        <f>AP_CRONO_Qui!E14</f>
        <v>0.21527777777777782</v>
      </c>
      <c r="E12" s="49">
        <v>0.28819444444444448</v>
      </c>
      <c r="F12" s="29">
        <f>AP_CRONO_Qui!G14</f>
        <v>0.30208333333333337</v>
      </c>
      <c r="G12" s="29">
        <f>AP_CRONO_Qui!H14</f>
        <v>0.30208333333333337</v>
      </c>
      <c r="H12" s="29">
        <f>AP_CRONO_Qui!I14</f>
        <v>0.30555555555555558</v>
      </c>
      <c r="I12" s="29">
        <f>AP_CRONO_Qui!J14</f>
        <v>0.35069444444444448</v>
      </c>
      <c r="J12" s="29">
        <f>AP_CRONO_Qui!K14</f>
        <v>0.37152777777777779</v>
      </c>
      <c r="K12" s="29">
        <f>AP_CRONO_Qui!L14</f>
        <v>0.40277777777777779</v>
      </c>
      <c r="L12" s="29">
        <f>AP_CRONO_Qui!M14</f>
        <v>0.4236111111111111</v>
      </c>
      <c r="M12" s="29">
        <f>AP_CRONO_Qui!N14</f>
        <v>0.46875</v>
      </c>
      <c r="N12" s="29">
        <f>AP_CRONO_Qui!O14</f>
        <v>0.5</v>
      </c>
      <c r="O12" s="29">
        <f>AP_CRONO_Qui!P14</f>
        <v>0.56597222222222221</v>
      </c>
      <c r="P12" s="29">
        <f>AP_CRONO_Qui!Q14</f>
        <v>0.56944444444444442</v>
      </c>
      <c r="Q12" s="29">
        <f>AP_CRONO_Qui!R14</f>
        <v>0.61458333333333326</v>
      </c>
      <c r="R12" s="29">
        <f t="shared" si="0"/>
        <v>5.5555555555555636E-3</v>
      </c>
      <c r="S12" s="29">
        <f t="shared" si="1"/>
        <v>3.0555555555555558E-2</v>
      </c>
    </row>
    <row r="13" spans="1:21" s="26" customFormat="1" x14ac:dyDescent="0.3">
      <c r="A13">
        <v>3</v>
      </c>
      <c r="B13" t="s">
        <v>114</v>
      </c>
      <c r="C13" s="36">
        <f>SUMIFS(ENCOMENDA!K:K,ENCOMENDA!A:A,B13,ENCOMENDA!L:L,D$1)</f>
        <v>6.5</v>
      </c>
      <c r="D13" s="29">
        <f>AP_CRONO_Qui!E15</f>
        <v>0.22083333333333338</v>
      </c>
      <c r="E13" s="49">
        <v>0.29722222222222222</v>
      </c>
      <c r="F13" s="29">
        <f>AP_CRONO_Qui!G15</f>
        <v>0.31111111111111112</v>
      </c>
      <c r="G13" s="29">
        <f>AP_CRONO_Qui!H15</f>
        <v>0.31111111111111112</v>
      </c>
      <c r="H13" s="29">
        <f>AP_CRONO_Qui!I15</f>
        <v>0.31458333333333333</v>
      </c>
      <c r="I13" s="29">
        <f>AP_CRONO_Qui!J15</f>
        <v>0.32291666666666669</v>
      </c>
      <c r="J13" s="29">
        <f>AP_CRONO_Qui!K15</f>
        <v>0.33125000000000004</v>
      </c>
      <c r="K13" s="29">
        <f>AP_CRONO_Qui!L15</f>
        <v>0.33472222222222225</v>
      </c>
      <c r="L13" s="29">
        <f>AP_CRONO_Qui!M15</f>
        <v>0.36250000000000004</v>
      </c>
      <c r="M13" s="29">
        <f>AP_CRONO_Qui!N15</f>
        <v>0.42847222222222225</v>
      </c>
      <c r="N13" s="29">
        <f>AP_CRONO_Qui!O15</f>
        <v>0.45277777777777783</v>
      </c>
      <c r="O13" s="29">
        <f>AP_CRONO_Qui!P15</f>
        <v>0.51875000000000004</v>
      </c>
      <c r="P13" s="29">
        <f>AP_CRONO_Qui!Q15</f>
        <v>0.55138888888888893</v>
      </c>
      <c r="Q13" s="29">
        <f>AP_CRONO_Qui!R15</f>
        <v>0.59652777777777777</v>
      </c>
      <c r="R13" s="29">
        <f t="shared" si="0"/>
        <v>5.5555555555555636E-3</v>
      </c>
      <c r="S13" s="29">
        <f t="shared" si="1"/>
        <v>9.0277777777777457E-3</v>
      </c>
    </row>
    <row r="14" spans="1:21" s="26" customFormat="1" x14ac:dyDescent="0.3">
      <c r="A14">
        <v>4</v>
      </c>
      <c r="B14" t="s">
        <v>20</v>
      </c>
      <c r="C14" s="36">
        <f>SUMIFS(ENCOMENDA!K:K,ENCOMENDA!A:A,B14,ENCOMENDA!L:L,D$1)</f>
        <v>29.78</v>
      </c>
      <c r="D14" s="29">
        <f>AP_CRONO_Qui!E16</f>
        <v>0.22638888888888895</v>
      </c>
      <c r="E14" s="49">
        <v>0.30902777777777779</v>
      </c>
      <c r="F14" s="29">
        <f>AP_CRONO_Qui!G16</f>
        <v>0.32291666666666669</v>
      </c>
      <c r="G14" s="29">
        <f>AP_CRONO_Qui!H16</f>
        <v>0.32291666666666669</v>
      </c>
      <c r="H14" s="29">
        <f>AP_CRONO_Qui!I16</f>
        <v>0.3263888888888889</v>
      </c>
      <c r="I14" s="29">
        <f>AP_CRONO_Qui!J16</f>
        <v>0.33472222222222225</v>
      </c>
      <c r="J14" s="29">
        <f>AP_CRONO_Qui!K16</f>
        <v>0.34305555555555561</v>
      </c>
      <c r="K14" s="29">
        <f>AP_CRONO_Qui!L16</f>
        <v>0.34652777777777782</v>
      </c>
      <c r="L14" s="29">
        <f>AP_CRONO_Qui!M16</f>
        <v>0.37430555555555561</v>
      </c>
      <c r="M14" s="29">
        <f>AP_CRONO_Qui!N16</f>
        <v>0.44027777777777782</v>
      </c>
      <c r="N14" s="29">
        <f>AP_CRONO_Qui!O16</f>
        <v>0.46458333333333335</v>
      </c>
      <c r="O14" s="29">
        <f>AP_CRONO_Qui!P16</f>
        <v>0.53055555555555556</v>
      </c>
      <c r="P14" s="29">
        <f>AP_CRONO_Qui!Q16</f>
        <v>0.56319444444444444</v>
      </c>
      <c r="Q14" s="29">
        <f>AP_CRONO_Qui!R16</f>
        <v>0.60833333333333328</v>
      </c>
      <c r="R14" s="29">
        <f t="shared" si="0"/>
        <v>5.5555555555555636E-3</v>
      </c>
      <c r="S14" s="29">
        <f t="shared" si="1"/>
        <v>1.1805555555555569E-2</v>
      </c>
    </row>
    <row r="15" spans="1:21" x14ac:dyDescent="0.3">
      <c r="A15">
        <v>5</v>
      </c>
      <c r="B15" t="s">
        <v>63</v>
      </c>
      <c r="C15" s="36">
        <f>SUMIFS(ENCOMENDA!K:K,ENCOMENDA!A:A,B15,ENCOMENDA!L:L,D$1)</f>
        <v>0.8</v>
      </c>
      <c r="D15" s="29">
        <f>AP_CRONO_Qui!E17</f>
        <v>0.23194444444444451</v>
      </c>
      <c r="E15" s="49">
        <v>0.3298611111111111</v>
      </c>
      <c r="F15" s="29">
        <f>AP_CRONO_Qui!G17</f>
        <v>0.34375</v>
      </c>
      <c r="G15" s="29">
        <f>AP_CRONO_Qui!H17</f>
        <v>0.34375</v>
      </c>
      <c r="H15" s="29">
        <f>AP_CRONO_Qui!I17</f>
        <v>0.34722222222222221</v>
      </c>
      <c r="I15" s="29">
        <f>AP_CRONO_Qui!J17</f>
        <v>0.3923611111111111</v>
      </c>
      <c r="J15" s="29">
        <f>AP_CRONO_Qui!K17</f>
        <v>0.41319444444444442</v>
      </c>
      <c r="K15" s="29">
        <f>AP_CRONO_Qui!L17</f>
        <v>0.44444444444444442</v>
      </c>
      <c r="L15" s="29">
        <f>AP_CRONO_Qui!M17</f>
        <v>0.46527777777777773</v>
      </c>
      <c r="M15" s="29">
        <f>AP_CRONO_Qui!N17</f>
        <v>0.51041666666666663</v>
      </c>
      <c r="N15" s="29">
        <f>AP_CRONO_Qui!O17</f>
        <v>0.54166666666666663</v>
      </c>
      <c r="O15" s="29">
        <f>AP_CRONO_Qui!P17</f>
        <v>0.60763888888888884</v>
      </c>
      <c r="P15" s="29">
        <f>AP_CRONO_Qui!Q17</f>
        <v>0.61111111111111105</v>
      </c>
      <c r="Q15" s="29">
        <f>AP_CRONO_Qui!R17</f>
        <v>0.65624999999999989</v>
      </c>
      <c r="R15" s="29">
        <f t="shared" si="0"/>
        <v>5.5555555555555636E-3</v>
      </c>
      <c r="S15" s="29">
        <f t="shared" si="1"/>
        <v>2.0833333333333315E-2</v>
      </c>
    </row>
    <row r="16" spans="1:21" x14ac:dyDescent="0.3">
      <c r="A16">
        <v>6</v>
      </c>
      <c r="B16" t="s">
        <v>25</v>
      </c>
      <c r="C16" s="36">
        <f>SUMIFS(ENCOMENDA!K:K,ENCOMENDA!A:A,B16,ENCOMENDA!L:L,D$1)</f>
        <v>8.6999999999999993</v>
      </c>
      <c r="D16" s="29">
        <f>AP_CRONO_Qui!E18</f>
        <v>0.23750000000000007</v>
      </c>
      <c r="E16" s="49">
        <v>0.33749999999999997</v>
      </c>
      <c r="F16" s="29">
        <f>AP_CRONO_Qui!G18</f>
        <v>0.35138888888888886</v>
      </c>
      <c r="G16" s="29">
        <f>AP_CRONO_Qui!H18</f>
        <v>0.35138888888888886</v>
      </c>
      <c r="H16" s="29">
        <f>AP_CRONO_Qui!I18</f>
        <v>0.35486111111111107</v>
      </c>
      <c r="I16" s="29">
        <f>AP_CRONO_Qui!J18</f>
        <v>0.36319444444444443</v>
      </c>
      <c r="J16" s="29">
        <f>AP_CRONO_Qui!K18</f>
        <v>0.37152777777777779</v>
      </c>
      <c r="K16" s="29">
        <f>AP_CRONO_Qui!L18</f>
        <v>0.375</v>
      </c>
      <c r="L16" s="29">
        <f>AP_CRONO_Qui!M18</f>
        <v>0.40277777777777779</v>
      </c>
      <c r="M16" s="29">
        <f>AP_CRONO_Qui!N18</f>
        <v>0.46875</v>
      </c>
      <c r="N16" s="29">
        <f>AP_CRONO_Qui!O18</f>
        <v>0.49305555555555558</v>
      </c>
      <c r="O16" s="29">
        <f>AP_CRONO_Qui!P18</f>
        <v>0.55902777777777779</v>
      </c>
      <c r="P16" s="29">
        <f>AP_CRONO_Qui!Q18</f>
        <v>0.59166666666666667</v>
      </c>
      <c r="Q16" s="29">
        <f>AP_CRONO_Qui!R18</f>
        <v>0.63680555555555551</v>
      </c>
      <c r="R16" s="29">
        <f t="shared" si="0"/>
        <v>5.5555555555555636E-3</v>
      </c>
      <c r="S16" s="29">
        <f t="shared" si="1"/>
        <v>7.6388888888888618E-3</v>
      </c>
    </row>
    <row r="17" spans="1:19" x14ac:dyDescent="0.3">
      <c r="A17">
        <v>8</v>
      </c>
      <c r="B17" t="s">
        <v>49</v>
      </c>
      <c r="C17" s="36">
        <f>SUMIFS(ENCOMENDA!K:K,ENCOMENDA!A:A,B17,ENCOMENDA!L:L,D$1)</f>
        <v>0.84000000000000008</v>
      </c>
      <c r="D17" s="29">
        <f>AP_CRONO_Qui!E19</f>
        <v>0.24305555555555564</v>
      </c>
      <c r="E17" s="49">
        <v>0.36180555555555555</v>
      </c>
      <c r="F17" s="29">
        <f>AP_CRONO_Qui!G19</f>
        <v>0.37569444444444444</v>
      </c>
      <c r="G17" s="29">
        <f>AP_CRONO_Qui!H19</f>
        <v>0.37569444444444444</v>
      </c>
      <c r="H17" s="29">
        <f>AP_CRONO_Qui!I19</f>
        <v>0.37916666666666665</v>
      </c>
      <c r="I17" s="29">
        <f>AP_CRONO_Qui!J19</f>
        <v>0.38750000000000001</v>
      </c>
      <c r="J17" s="29">
        <f>AP_CRONO_Qui!K19</f>
        <v>0.39583333333333337</v>
      </c>
      <c r="K17" s="29">
        <f>AP_CRONO_Qui!L19</f>
        <v>0.39930555555555558</v>
      </c>
      <c r="L17" s="29">
        <f>AP_CRONO_Qui!M19</f>
        <v>0.42708333333333337</v>
      </c>
      <c r="M17" s="29">
        <f>AP_CRONO_Qui!N19</f>
        <v>0.49305555555555558</v>
      </c>
      <c r="N17" s="29">
        <f>AP_CRONO_Qui!O19</f>
        <v>0.51736111111111116</v>
      </c>
      <c r="O17" s="29">
        <f>AP_CRONO_Qui!P19</f>
        <v>0.58333333333333337</v>
      </c>
      <c r="P17" s="29">
        <f>AP_CRONO_Qui!Q19</f>
        <v>0.61597222222222225</v>
      </c>
      <c r="Q17" s="29">
        <f>AP_CRONO_Qui!R19</f>
        <v>0.66111111111111109</v>
      </c>
      <c r="R17" s="29">
        <f t="shared" si="0"/>
        <v>5.5555555555555636E-3</v>
      </c>
      <c r="S17" s="29">
        <f t="shared" si="1"/>
        <v>2.430555555555558E-2</v>
      </c>
    </row>
    <row r="18" spans="1:19" x14ac:dyDescent="0.3">
      <c r="A18">
        <v>9</v>
      </c>
      <c r="B18" t="s">
        <v>33</v>
      </c>
      <c r="C18" s="36">
        <f>SUMIFS(ENCOMENDA!K:K,ENCOMENDA!A:A,B18,ENCOMENDA!L:L,D$1)</f>
        <v>18.000000000000004</v>
      </c>
      <c r="D18" s="29">
        <f>AP_CRONO_Qui!E20</f>
        <v>0.2486111111111112</v>
      </c>
      <c r="E18" s="49">
        <v>0.37847222222222227</v>
      </c>
      <c r="F18" s="29">
        <f>AP_CRONO_Qui!G20</f>
        <v>0.39236111111111116</v>
      </c>
      <c r="G18" s="29">
        <f>AP_CRONO_Qui!H20</f>
        <v>0.39236111111111116</v>
      </c>
      <c r="H18" s="29">
        <f>AP_CRONO_Qui!I20</f>
        <v>0.39583333333333337</v>
      </c>
      <c r="I18" s="29">
        <f>AP_CRONO_Qui!J20</f>
        <v>0.40416666666666673</v>
      </c>
      <c r="J18" s="29">
        <f>AP_CRONO_Qui!K20</f>
        <v>0.41250000000000009</v>
      </c>
      <c r="K18" s="29">
        <f>AP_CRONO_Qui!L20</f>
        <v>0.4159722222222223</v>
      </c>
      <c r="L18" s="29">
        <f>AP_CRONO_Qui!M20</f>
        <v>0.44375000000000009</v>
      </c>
      <c r="M18" s="29">
        <f>AP_CRONO_Qui!N20</f>
        <v>0.5097222222222223</v>
      </c>
      <c r="N18" s="29">
        <f>AP_CRONO_Qui!O20</f>
        <v>0.53402777777777788</v>
      </c>
      <c r="O18" s="29">
        <f>AP_CRONO_Qui!P20</f>
        <v>0.60000000000000009</v>
      </c>
      <c r="P18" s="29">
        <f>AP_CRONO_Qui!Q20</f>
        <v>0.63263888888888897</v>
      </c>
      <c r="Q18" s="29">
        <f>AP_CRONO_Qui!R20</f>
        <v>0.67777777777777781</v>
      </c>
      <c r="R18" s="29">
        <f t="shared" si="0"/>
        <v>5.5555555555555636E-3</v>
      </c>
      <c r="S18" s="29">
        <f t="shared" si="1"/>
        <v>1.6666666666666718E-2</v>
      </c>
    </row>
    <row r="19" spans="1:19" x14ac:dyDescent="0.3">
      <c r="A19">
        <v>10</v>
      </c>
      <c r="B19" t="s">
        <v>27</v>
      </c>
      <c r="C19" s="36">
        <f>SUMIFS(ENCOMENDA!K:K,ENCOMENDA!A:A,B19,ENCOMENDA!L:L,D$1)</f>
        <v>4.5</v>
      </c>
      <c r="D19" s="29">
        <f>AP_CRONO_Qui!E21</f>
        <v>0.25416666666666676</v>
      </c>
      <c r="E19" s="49">
        <v>0.39305555555555555</v>
      </c>
      <c r="F19" s="29">
        <f>AP_CRONO_Qui!G21</f>
        <v>0.40694444444444444</v>
      </c>
      <c r="G19" s="29">
        <f>AP_CRONO_Qui!H21</f>
        <v>0.40694444444444444</v>
      </c>
      <c r="H19" s="29">
        <f>AP_CRONO_Qui!I21</f>
        <v>0.41041666666666665</v>
      </c>
      <c r="I19" s="29">
        <f>AP_CRONO_Qui!J21</f>
        <v>0.41875000000000001</v>
      </c>
      <c r="J19" s="29">
        <f>AP_CRONO_Qui!K21</f>
        <v>0.42708333333333337</v>
      </c>
      <c r="K19" s="29">
        <f>AP_CRONO_Qui!L21</f>
        <v>0.43055555555555558</v>
      </c>
      <c r="L19" s="29">
        <f>AP_CRONO_Qui!M21</f>
        <v>0.45833333333333337</v>
      </c>
      <c r="M19" s="29">
        <f>AP_CRONO_Qui!N21</f>
        <v>0.52430555555555558</v>
      </c>
      <c r="N19" s="29">
        <f>AP_CRONO_Qui!O21</f>
        <v>0.54861111111111116</v>
      </c>
      <c r="O19" s="29">
        <f>AP_CRONO_Qui!P21</f>
        <v>0.61458333333333337</v>
      </c>
      <c r="P19" s="29">
        <f>AP_CRONO_Qui!Q21</f>
        <v>0.64722222222222225</v>
      </c>
      <c r="Q19" s="29">
        <f>AP_CRONO_Qui!R21</f>
        <v>0.69236111111111109</v>
      </c>
      <c r="R19" s="29">
        <f t="shared" si="0"/>
        <v>5.5555555555555636E-3</v>
      </c>
      <c r="S19" s="29">
        <f t="shared" si="1"/>
        <v>1.4583333333333282E-2</v>
      </c>
    </row>
    <row r="20" spans="1:19" x14ac:dyDescent="0.3">
      <c r="A20">
        <v>10</v>
      </c>
      <c r="B20" t="s">
        <v>22</v>
      </c>
      <c r="C20" s="36">
        <f>SUMIFS(ENCOMENDA!K:K,ENCOMENDA!A:A,B20,ENCOMENDA!L:L,D$1)</f>
        <v>3.6000000000000005</v>
      </c>
      <c r="D20" s="29">
        <f>AP_CRONO_Qui!E22</f>
        <v>0.2597222222222223</v>
      </c>
      <c r="E20" s="49">
        <v>0.39305555555555555</v>
      </c>
      <c r="F20" s="29">
        <f>AP_CRONO_Qui!G22</f>
        <v>0.40694444444444444</v>
      </c>
      <c r="G20" s="29">
        <f>AP_CRONO_Qui!H22</f>
        <v>0.40694444444444444</v>
      </c>
      <c r="H20" s="29">
        <f>AP_CRONO_Qui!I22</f>
        <v>0.41041666666666665</v>
      </c>
      <c r="I20" s="29">
        <f>AP_CRONO_Qui!J22</f>
        <v>0.41875000000000001</v>
      </c>
      <c r="J20" s="29">
        <f>AP_CRONO_Qui!K22</f>
        <v>0.42708333333333337</v>
      </c>
      <c r="K20" s="29">
        <f>AP_CRONO_Qui!L22</f>
        <v>0.43055555555555558</v>
      </c>
      <c r="L20" s="29">
        <f>AP_CRONO_Qui!M22</f>
        <v>0.45833333333333337</v>
      </c>
      <c r="M20" s="29">
        <f>AP_CRONO_Qui!N22</f>
        <v>0.52430555555555558</v>
      </c>
      <c r="N20" s="29">
        <f>AP_CRONO_Qui!O22</f>
        <v>0.54861111111111116</v>
      </c>
      <c r="O20" s="29">
        <f>AP_CRONO_Qui!P22</f>
        <v>0.61458333333333337</v>
      </c>
      <c r="P20" s="29">
        <f>AP_CRONO_Qui!Q22</f>
        <v>0.64722222222222225</v>
      </c>
      <c r="Q20" s="29">
        <f>AP_CRONO_Qui!R22</f>
        <v>0.69236111111111109</v>
      </c>
      <c r="R20" s="29">
        <f t="shared" si="0"/>
        <v>5.5555555555555358E-3</v>
      </c>
      <c r="S20" s="29">
        <f t="shared" si="1"/>
        <v>0</v>
      </c>
    </row>
    <row r="21" spans="1:19" x14ac:dyDescent="0.3">
      <c r="A21">
        <v>10</v>
      </c>
      <c r="B21" t="s">
        <v>26</v>
      </c>
      <c r="C21" s="36">
        <f>SUMIFS(ENCOMENDA!K:K,ENCOMENDA!A:A,B21,ENCOMENDA!L:L,D$1)</f>
        <v>5.46</v>
      </c>
      <c r="D21" s="29">
        <f>AP_CRONO_Qui!E23</f>
        <v>0.26527777777777783</v>
      </c>
      <c r="E21" s="49">
        <v>0.39305555555555555</v>
      </c>
      <c r="F21" s="29">
        <f>AP_CRONO_Qui!G23</f>
        <v>0.40694444444444444</v>
      </c>
      <c r="G21" s="29">
        <f>AP_CRONO_Qui!H23</f>
        <v>0.40694444444444444</v>
      </c>
      <c r="H21" s="29">
        <f>AP_CRONO_Qui!I23</f>
        <v>0.41041666666666665</v>
      </c>
      <c r="I21" s="29">
        <f>AP_CRONO_Qui!J23</f>
        <v>0.45555555555555555</v>
      </c>
      <c r="J21" s="29">
        <f>AP_CRONO_Qui!K23</f>
        <v>0.47638888888888886</v>
      </c>
      <c r="K21" s="29">
        <f>AP_CRONO_Qui!L23</f>
        <v>0.50763888888888886</v>
      </c>
      <c r="L21" s="29">
        <f>AP_CRONO_Qui!M23</f>
        <v>0.52847222222222223</v>
      </c>
      <c r="M21" s="29">
        <f>AP_CRONO_Qui!N23</f>
        <v>0.57361111111111107</v>
      </c>
      <c r="N21" s="29">
        <f>AP_CRONO_Qui!O23</f>
        <v>0.60486111111111107</v>
      </c>
      <c r="O21" s="29">
        <f>AP_CRONO_Qui!P23</f>
        <v>0.67083333333333328</v>
      </c>
      <c r="P21" s="29">
        <f>AP_CRONO_Qui!Q23</f>
        <v>0.67430555555555549</v>
      </c>
      <c r="Q21" s="29">
        <f>AP_CRONO_Qui!R23</f>
        <v>0.71944444444444433</v>
      </c>
      <c r="R21" s="29">
        <f t="shared" si="0"/>
        <v>5.5555555555555358E-3</v>
      </c>
      <c r="S21" s="29">
        <f t="shared" si="1"/>
        <v>0</v>
      </c>
    </row>
    <row r="22" spans="1:19" x14ac:dyDescent="0.3">
      <c r="A22">
        <v>11</v>
      </c>
      <c r="B22" t="s">
        <v>32</v>
      </c>
      <c r="C22" s="36">
        <v>3</v>
      </c>
      <c r="D22" s="29">
        <f>AP_CRONO_Qui!E24</f>
        <v>0.27083333333333337</v>
      </c>
      <c r="E22" s="49">
        <v>0.40972222222222227</v>
      </c>
      <c r="F22" s="29">
        <f>AP_CRONO_Qui!G24</f>
        <v>0.42361111111111116</v>
      </c>
      <c r="G22" s="29">
        <f>AP_CRONO_Qui!H24</f>
        <v>0.42361111111111116</v>
      </c>
      <c r="H22" s="29">
        <f>AP_CRONO_Qui!I24</f>
        <v>0.42708333333333337</v>
      </c>
      <c r="I22" s="29">
        <f>AP_CRONO_Qui!J24</f>
        <v>0.43541666666666673</v>
      </c>
      <c r="J22" s="29">
        <f>AP_CRONO_Qui!K24</f>
        <v>0.44375000000000009</v>
      </c>
      <c r="K22" s="29">
        <f>AP_CRONO_Qui!L24</f>
        <v>0.4472222222222223</v>
      </c>
      <c r="L22" s="29">
        <f>AP_CRONO_Qui!M24</f>
        <v>0.47500000000000009</v>
      </c>
      <c r="M22" s="29">
        <f>AP_CRONO_Qui!N24</f>
        <v>0.5409722222222223</v>
      </c>
      <c r="N22" s="29">
        <f>AP_CRONO_Qui!O24</f>
        <v>0.56527777777777788</v>
      </c>
      <c r="O22" s="29">
        <f>AP_CRONO_Qui!P24</f>
        <v>0.63125000000000009</v>
      </c>
      <c r="P22" s="29">
        <f>AP_CRONO_Qui!Q24</f>
        <v>0.66388888888888897</v>
      </c>
      <c r="Q22" s="29">
        <f>AP_CRONO_Qui!R24</f>
        <v>0.70902777777777781</v>
      </c>
      <c r="R22" s="29">
        <f t="shared" si="0"/>
        <v>5.5555555555555358E-3</v>
      </c>
      <c r="S22" s="29">
        <f t="shared" si="1"/>
        <v>1.6666666666666718E-2</v>
      </c>
    </row>
    <row r="23" spans="1:19" x14ac:dyDescent="0.3">
      <c r="A23">
        <v>12</v>
      </c>
      <c r="B23" t="s">
        <v>60</v>
      </c>
      <c r="C23" s="36">
        <f>SUMIFS(ENCOMENDA!K:K,ENCOMENDA!A:A,B23,ENCOMENDA!L:L,D$1)</f>
        <v>2.4000000000000004</v>
      </c>
      <c r="D23" s="29">
        <f>AP_CRONO_Qui!E25</f>
        <v>0.27638888888888891</v>
      </c>
      <c r="E23" s="49">
        <v>0.4236111111111111</v>
      </c>
      <c r="F23" s="29">
        <f>AP_CRONO_Qui!G25</f>
        <v>0.4375</v>
      </c>
      <c r="G23" s="29">
        <f>AP_CRONO_Qui!H25</f>
        <v>0.4375</v>
      </c>
      <c r="H23" s="29">
        <f>AP_CRONO_Qui!I25</f>
        <v>0.44097222222222221</v>
      </c>
      <c r="I23" s="29">
        <f>AP_CRONO_Qui!J25</f>
        <v>0.44930555555555557</v>
      </c>
      <c r="J23" s="29">
        <f>AP_CRONO_Qui!K25</f>
        <v>0.45763888888888893</v>
      </c>
      <c r="K23" s="29">
        <f>AP_CRONO_Qui!L25</f>
        <v>0.46111111111111114</v>
      </c>
      <c r="L23" s="29">
        <f>AP_CRONO_Qui!M25</f>
        <v>0.48888888888888893</v>
      </c>
      <c r="M23" s="29">
        <f>AP_CRONO_Qui!N25</f>
        <v>0.55486111111111114</v>
      </c>
      <c r="N23" s="29">
        <f>AP_CRONO_Qui!O25</f>
        <v>0.57916666666666672</v>
      </c>
      <c r="O23" s="29">
        <f>AP_CRONO_Qui!P25</f>
        <v>0.64513888888888893</v>
      </c>
      <c r="P23" s="29">
        <f>AP_CRONO_Qui!Q25</f>
        <v>0.67777777777777781</v>
      </c>
      <c r="Q23" s="29">
        <f>AP_CRONO_Qui!R25</f>
        <v>0.72291666666666665</v>
      </c>
      <c r="R23" s="29">
        <f t="shared" si="0"/>
        <v>5.5555555555555358E-3</v>
      </c>
      <c r="S23" s="29">
        <f t="shared" si="1"/>
        <v>1.388888888888884E-2</v>
      </c>
    </row>
    <row r="24" spans="1:19" x14ac:dyDescent="0.3">
      <c r="A24">
        <v>12</v>
      </c>
      <c r="B24" t="s">
        <v>21</v>
      </c>
      <c r="C24" s="36">
        <f>SUMIFS(ENCOMENDA!K:K,ENCOMENDA!A:A,B24,ENCOMENDA!L:L,D$1)</f>
        <v>116.88000000000004</v>
      </c>
      <c r="D24" s="29">
        <f>AP_CRONO_Qui!E26</f>
        <v>0.28194444444444444</v>
      </c>
      <c r="E24" s="49">
        <v>0.4236111111111111</v>
      </c>
      <c r="F24" s="29">
        <f>AP_CRONO_Qui!G26</f>
        <v>0.4375</v>
      </c>
      <c r="G24" s="29">
        <f>AP_CRONO_Qui!H26</f>
        <v>0.4375</v>
      </c>
      <c r="H24" s="29">
        <f>AP_CRONO_Qui!I26</f>
        <v>0.44097222222222221</v>
      </c>
      <c r="I24" s="29">
        <f>AP_CRONO_Qui!J26</f>
        <v>0.44930555555555557</v>
      </c>
      <c r="J24" s="29">
        <f>AP_CRONO_Qui!K26</f>
        <v>0.45763888888888893</v>
      </c>
      <c r="K24" s="29">
        <f>AP_CRONO_Qui!L26</f>
        <v>0.46111111111111114</v>
      </c>
      <c r="L24" s="29">
        <f>AP_CRONO_Qui!M26</f>
        <v>0.48888888888888893</v>
      </c>
      <c r="M24" s="29">
        <f>AP_CRONO_Qui!N26</f>
        <v>0.55486111111111114</v>
      </c>
      <c r="N24" s="29">
        <f>AP_CRONO_Qui!O26</f>
        <v>0.57916666666666672</v>
      </c>
      <c r="O24" s="29">
        <f>AP_CRONO_Qui!P26</f>
        <v>0.64513888888888893</v>
      </c>
      <c r="P24" s="29">
        <f>AP_CRONO_Qui!Q26</f>
        <v>0.67777777777777781</v>
      </c>
      <c r="Q24" s="29">
        <f>AP_CRONO_Qui!R26</f>
        <v>0.72291666666666665</v>
      </c>
      <c r="R24" s="29">
        <f t="shared" si="0"/>
        <v>5.5555555555555358E-3</v>
      </c>
      <c r="S24" s="29">
        <f t="shared" si="1"/>
        <v>0</v>
      </c>
    </row>
    <row r="25" spans="1:19" x14ac:dyDescent="0.3">
      <c r="A25">
        <v>12</v>
      </c>
      <c r="B25" t="s">
        <v>50</v>
      </c>
      <c r="C25" s="36">
        <f>C23-SUM(C26:C28)</f>
        <v>-114.48000000000003</v>
      </c>
      <c r="D25" s="29">
        <f>AP_CRONO_Qui!E27</f>
        <v>0.28749999999999998</v>
      </c>
      <c r="E25" s="49">
        <v>0.4236111111111111</v>
      </c>
      <c r="F25" s="31" t="str">
        <f>AP_CRONO_Qui!G29</f>
        <v/>
      </c>
      <c r="G25" s="31" t="str">
        <f>AP_CRONO_Qui!H29</f>
        <v/>
      </c>
      <c r="H25" s="31" t="str">
        <f>AP_CRONO_Qui!I29</f>
        <v/>
      </c>
      <c r="I25" s="31" t="str">
        <f>AP_CRONO_Qui!J29</f>
        <v/>
      </c>
      <c r="J25" s="31" t="str">
        <f>AP_CRONO_Qui!K29</f>
        <v/>
      </c>
      <c r="K25" s="31" t="str">
        <f>AP_CRONO_Qui!L29</f>
        <v/>
      </c>
      <c r="L25" s="31" t="str">
        <f>AP_CRONO_Qui!M29</f>
        <v/>
      </c>
      <c r="M25" s="31" t="str">
        <f>AP_CRONO_Qui!N29</f>
        <v/>
      </c>
      <c r="N25" s="31" t="str">
        <f>AP_CRONO_Qui!O29</f>
        <v/>
      </c>
      <c r="O25" s="31" t="str">
        <f>AP_CRONO_Qui!P29</f>
        <v/>
      </c>
      <c r="P25" s="31" t="str">
        <f>AP_CRONO_Qui!Q29</f>
        <v/>
      </c>
      <c r="Q25" s="31" t="str">
        <f>AP_CRONO_Qui!R29</f>
        <v/>
      </c>
      <c r="R25" s="29">
        <f t="shared" si="0"/>
        <v>5.5555555555555358E-3</v>
      </c>
      <c r="S25" s="29">
        <f t="shared" si="1"/>
        <v>0</v>
      </c>
    </row>
    <row r="26" spans="1:19" x14ac:dyDescent="0.3">
      <c r="A26">
        <v>12</v>
      </c>
      <c r="B26" t="s">
        <v>21</v>
      </c>
      <c r="C26" s="36">
        <f>SUMIFS(ENCOMENDA!K:K,ENCOMENDA!A:A,B26,ENCOMENDA!L:L,D$1)</f>
        <v>116.88000000000004</v>
      </c>
      <c r="D26" s="29">
        <f>AP_CRONO_Qui!E28</f>
        <v>0.29305555555555551</v>
      </c>
      <c r="E26" s="49">
        <v>0.49652777777777773</v>
      </c>
      <c r="F26" s="31" t="str">
        <f>AP_CRONO_Qui!G30</f>
        <v/>
      </c>
      <c r="G26" s="31" t="str">
        <f>AP_CRONO_Qui!H30</f>
        <v/>
      </c>
      <c r="H26" s="31" t="str">
        <f>AP_CRONO_Qui!I30</f>
        <v/>
      </c>
      <c r="I26" s="31" t="str">
        <f>AP_CRONO_Qui!J30</f>
        <v/>
      </c>
      <c r="J26" s="31" t="str">
        <f>AP_CRONO_Qui!K30</f>
        <v/>
      </c>
      <c r="K26" s="31" t="str">
        <f>AP_CRONO_Qui!L30</f>
        <v/>
      </c>
      <c r="L26" s="31" t="str">
        <f>AP_CRONO_Qui!M30</f>
        <v/>
      </c>
      <c r="M26" s="31" t="str">
        <f>AP_CRONO_Qui!N30</f>
        <v/>
      </c>
      <c r="N26" s="31" t="str">
        <f>AP_CRONO_Qui!O30</f>
        <v/>
      </c>
      <c r="O26" s="31" t="str">
        <f>AP_CRONO_Qui!P30</f>
        <v/>
      </c>
      <c r="P26" s="31" t="str">
        <f>AP_CRONO_Qui!Q30</f>
        <v/>
      </c>
      <c r="Q26" s="31" t="str">
        <f>AP_CRONO_Qui!R30</f>
        <v/>
      </c>
      <c r="R26" s="29">
        <f t="shared" si="0"/>
        <v>5.5555555555555358E-3</v>
      </c>
      <c r="S26" s="29">
        <f t="shared" si="1"/>
        <v>7.291666666666663E-2</v>
      </c>
    </row>
    <row r="27" spans="1:19" x14ac:dyDescent="0.3">
      <c r="R27" s="29">
        <f t="shared" si="0"/>
        <v>-0.29305555555555551</v>
      </c>
      <c r="S27" s="29">
        <f t="shared" si="1"/>
        <v>-0.49652777777777773</v>
      </c>
    </row>
    <row r="28" spans="1:19" x14ac:dyDescent="0.3">
      <c r="R28" s="29">
        <f t="shared" si="0"/>
        <v>0</v>
      </c>
      <c r="S28" s="29" t="str">
        <f t="shared" si="1"/>
        <v/>
      </c>
    </row>
    <row r="29" spans="1:19" x14ac:dyDescent="0.3">
      <c r="R29" s="29">
        <f t="shared" si="0"/>
        <v>0</v>
      </c>
      <c r="S29" s="29" t="str">
        <f t="shared" si="1"/>
        <v/>
      </c>
    </row>
    <row r="30" spans="1:19" x14ac:dyDescent="0.3">
      <c r="R30" s="29">
        <f t="shared" si="0"/>
        <v>0</v>
      </c>
      <c r="S30" s="29" t="str">
        <f t="shared" si="1"/>
        <v/>
      </c>
    </row>
    <row r="31" spans="1:19" x14ac:dyDescent="0.3">
      <c r="R31" s="29">
        <f t="shared" si="0"/>
        <v>0</v>
      </c>
      <c r="S31" s="29" t="str">
        <f t="shared" si="1"/>
        <v/>
      </c>
    </row>
    <row r="32" spans="1:19" x14ac:dyDescent="0.3">
      <c r="R32" s="29">
        <f t="shared" si="0"/>
        <v>0</v>
      </c>
      <c r="S32" s="29" t="str">
        <f t="shared" si="1"/>
        <v/>
      </c>
    </row>
  </sheetData>
  <autoFilter ref="A7:Q27" xr:uid="{6D6CBCE8-2285-4CAB-8F9F-71DDD9B4BE14}">
    <filterColumn colId="4" showButton="0"/>
    <sortState ref="A8:H26">
      <sortCondition ref="H7:H27"/>
    </sortState>
  </autoFilter>
  <mergeCells count="1">
    <mergeCell ref="F3:G3"/>
  </mergeCells>
  <conditionalFormatting sqref="D8:D26 F8:Q26">
    <cfRule type="cellIs" dxfId="20" priority="17" operator="lessThan">
      <formula>$T$8</formula>
    </cfRule>
  </conditionalFormatting>
  <conditionalFormatting sqref="D8:D26 F8:Q26">
    <cfRule type="cellIs" dxfId="19" priority="18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B27:B30">
    <cfRule type="duplicateValues" dxfId="18" priority="13"/>
  </conditionalFormatting>
  <hyperlinks>
    <hyperlink ref="D1" location="ANALISE!A1" display="QUI" xr:uid="{1532D931-D92E-4AD2-84CE-F551A58089FD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ABF5-B908-4463-A5A3-939BA4398057}">
  <sheetPr codeName="Planilha5"/>
  <dimension ref="A1:T35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I28" sqref="I28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0" s="38" customFormat="1" x14ac:dyDescent="0.3">
      <c r="D1" s="39" t="s">
        <v>83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29"/>
      <c r="R1" s="42">
        <v>1.3888888888888888E-2</v>
      </c>
      <c r="S1" s="42">
        <v>6.9444444444444447E-4</v>
      </c>
    </row>
    <row r="3" spans="1:20" ht="28.8" x14ac:dyDescent="0.55000000000000004">
      <c r="F3" s="93" t="s">
        <v>88</v>
      </c>
      <c r="G3" s="93"/>
    </row>
    <row r="7" spans="1:20" s="26" customFormat="1" ht="33" customHeight="1" x14ac:dyDescent="0.3">
      <c r="A7" s="27" t="s">
        <v>74</v>
      </c>
      <c r="B7" s="27" t="s">
        <v>75</v>
      </c>
      <c r="C7" s="27" t="s">
        <v>76</v>
      </c>
      <c r="D7" s="28" t="str">
        <f>AP_CRONO_SEG!E9</f>
        <v>PESAGEM</v>
      </c>
      <c r="E7" s="92" t="str">
        <f>AP_CRONO_SEG!F9</f>
        <v>INC_BATIMENTO</v>
      </c>
      <c r="F7" s="92"/>
      <c r="G7" s="28" t="str">
        <f>AP_CRONO_SEG!H9</f>
        <v>FERMENTAÇÃO 1</v>
      </c>
      <c r="H7" s="28" t="str">
        <f>AP_CRONO_SEG!I9</f>
        <v>DIVISÃO</v>
      </c>
      <c r="I7" s="28" t="str">
        <f>AP_CRONO_SEG!J9</f>
        <v>PRE-MOLDE</v>
      </c>
      <c r="J7" s="28" t="str">
        <f>AP_CRONO_SEG!K9</f>
        <v>DESCANSO 1</v>
      </c>
      <c r="K7" s="28" t="str">
        <f>AP_CRONO_SEG!L9</f>
        <v>MODELAGEM</v>
      </c>
      <c r="L7" s="28" t="str">
        <f>AP_CRONO_SEG!M9</f>
        <v>FERMENTAÇÃO2</v>
      </c>
      <c r="M7" s="28" t="str">
        <f>AP_CRONO_SEG!N9</f>
        <v>FORNEAMENTO</v>
      </c>
      <c r="N7" s="28" t="str">
        <f>AP_CRONO_SEG!O9</f>
        <v>RESFRIAMENTO</v>
      </c>
      <c r="O7" s="28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0" s="26" customFormat="1" x14ac:dyDescent="0.3">
      <c r="A8">
        <v>1</v>
      </c>
      <c r="B8" t="s">
        <v>28</v>
      </c>
      <c r="C8" s="36">
        <f>SUMIFS(ENCOMENDA!K:K,ENCOMENDA!A:A,B8,ENCOMENDA!L:L,D$1)</f>
        <v>20.3</v>
      </c>
      <c r="D8" s="29">
        <f>AP_CRONO_Sex!E10</f>
        <v>0.19305555555555556</v>
      </c>
      <c r="E8" s="1">
        <v>0.21180555555555555</v>
      </c>
      <c r="F8" s="29">
        <f>AP_CRONO_Sex!G10</f>
        <v>0.22569444444444445</v>
      </c>
      <c r="G8" s="29">
        <f>AP_CRONO_Sex!H10</f>
        <v>0.22569444444444445</v>
      </c>
      <c r="H8" s="29">
        <f>AP_CRONO_Sex!I10</f>
        <v>0.22916666666666666</v>
      </c>
      <c r="I8" s="29">
        <f>AP_CRONO_Sex!J10</f>
        <v>0.23749999999999999</v>
      </c>
      <c r="J8" s="29">
        <f>AP_CRONO_Sex!K10</f>
        <v>0.24583333333333332</v>
      </c>
      <c r="K8" s="29">
        <f>AP_CRONO_Sex!L10</f>
        <v>0.24930555555555553</v>
      </c>
      <c r="L8" s="29">
        <f>AP_CRONO_Sex!M10</f>
        <v>0.27708333333333329</v>
      </c>
      <c r="M8" s="29">
        <f>AP_CRONO_Sex!N10</f>
        <v>0.3430555555555555</v>
      </c>
      <c r="N8" s="29">
        <f>AP_CRONO_Sex!O10</f>
        <v>0.36736111111111103</v>
      </c>
      <c r="O8" s="29">
        <f>AP_CRONO_Sex!P10</f>
        <v>0.43333333333333324</v>
      </c>
      <c r="P8" s="29">
        <f>AP_CRONO_Sex!Q10</f>
        <v>0.46597222222222212</v>
      </c>
      <c r="Q8" s="29">
        <f>AP_CRONO_Sex!R10</f>
        <v>0.51111111111111096</v>
      </c>
      <c r="T8" s="30">
        <f>Relogio</f>
        <v>0.66748842592592583</v>
      </c>
    </row>
    <row r="9" spans="1:20" s="26" customFormat="1" x14ac:dyDescent="0.3">
      <c r="A9">
        <v>2</v>
      </c>
      <c r="B9" t="s">
        <v>20</v>
      </c>
      <c r="C9" s="36">
        <f>SUMIFS(ENCOMENDA!K:K,ENCOMENDA!A:A,B9,ENCOMENDA!L:L,D$1)</f>
        <v>37.880000000000003</v>
      </c>
      <c r="D9" s="29">
        <f>AP_CRONO_Sex!E11</f>
        <v>0.19861111111111113</v>
      </c>
      <c r="E9" s="1">
        <v>0.22222222222222221</v>
      </c>
      <c r="F9" s="29">
        <f>AP_CRONO_Sex!G11</f>
        <v>0.2361111111111111</v>
      </c>
      <c r="G9" s="29">
        <f>AP_CRONO_Sex!H11</f>
        <v>0.2361111111111111</v>
      </c>
      <c r="H9" s="29">
        <f>AP_CRONO_Sex!I11</f>
        <v>0.23958333333333331</v>
      </c>
      <c r="I9" s="29">
        <f>AP_CRONO_Sex!J11</f>
        <v>0.24791666666666665</v>
      </c>
      <c r="J9" s="29">
        <f>AP_CRONO_Sex!K11</f>
        <v>0.25624999999999998</v>
      </c>
      <c r="K9" s="29">
        <f>AP_CRONO_Sex!L11</f>
        <v>0.25972222222222219</v>
      </c>
      <c r="L9" s="29">
        <f>AP_CRONO_Sex!M11</f>
        <v>0.28749999999999998</v>
      </c>
      <c r="M9" s="29">
        <f>AP_CRONO_Sex!N11</f>
        <v>0.35347222222222219</v>
      </c>
      <c r="N9" s="29">
        <f>AP_CRONO_Sex!O11</f>
        <v>0.37777777777777777</v>
      </c>
      <c r="O9" s="29">
        <f>AP_CRONO_Sex!P11</f>
        <v>0.44374999999999998</v>
      </c>
      <c r="P9" s="29">
        <f>AP_CRONO_Sex!Q11</f>
        <v>0.47638888888888886</v>
      </c>
      <c r="Q9" s="29">
        <f>AP_CRONO_Sex!R11</f>
        <v>0.5215277777777777</v>
      </c>
      <c r="R9" s="29">
        <f t="shared" ref="R9:R32" si="0">IFERROR(D9-D8,"")</f>
        <v>5.5555555555555636E-3</v>
      </c>
      <c r="S9" s="29">
        <f>IF(E8=0,"",E9-E8)</f>
        <v>1.0416666666666657E-2</v>
      </c>
    </row>
    <row r="10" spans="1:20" s="26" customFormat="1" x14ac:dyDescent="0.3">
      <c r="A10">
        <v>3</v>
      </c>
      <c r="B10" t="s">
        <v>113</v>
      </c>
      <c r="C10" s="36">
        <f>SUMIFS(ENCOMENDA!K:K,ENCOMENDA!A:A,B10,ENCOMENDA!L:L,D$1)</f>
        <v>2.6</v>
      </c>
      <c r="D10" s="29">
        <f>AP_CRONO_Sex!E12</f>
        <v>0.20416666666666669</v>
      </c>
      <c r="E10" s="1">
        <v>0.2298611111111111</v>
      </c>
      <c r="F10" s="29">
        <f>AP_CRONO_Sex!G12</f>
        <v>0.24374999999999999</v>
      </c>
      <c r="G10" s="29">
        <f>AP_CRONO_Sex!H12</f>
        <v>0.24374999999999999</v>
      </c>
      <c r="H10" s="29">
        <f>AP_CRONO_Sex!I12</f>
        <v>0.2472222222222222</v>
      </c>
      <c r="I10" s="29">
        <f>AP_CRONO_Sex!J12</f>
        <v>0.29236111111111107</v>
      </c>
      <c r="J10" s="29">
        <f>AP_CRONO_Sex!K12</f>
        <v>0.31319444444444439</v>
      </c>
      <c r="K10" s="29">
        <f>AP_CRONO_Sex!L12</f>
        <v>0.34444444444444439</v>
      </c>
      <c r="L10" s="29">
        <f>AP_CRONO_Sex!M12</f>
        <v>0.3652777777777777</v>
      </c>
      <c r="M10" s="29">
        <f>AP_CRONO_Sex!N12</f>
        <v>0.4104166666666666</v>
      </c>
      <c r="N10" s="29">
        <f>AP_CRONO_Sex!O12</f>
        <v>0.4416666666666666</v>
      </c>
      <c r="O10" s="29">
        <f>AP_CRONO_Sex!P12</f>
        <v>0.50763888888888886</v>
      </c>
      <c r="P10" s="29">
        <f>AP_CRONO_Sex!Q12</f>
        <v>0.51111111111111107</v>
      </c>
      <c r="Q10" s="29">
        <f>AP_CRONO_Sex!R12</f>
        <v>0.55624999999999991</v>
      </c>
      <c r="R10" s="29">
        <f t="shared" si="0"/>
        <v>5.5555555555555636E-3</v>
      </c>
      <c r="S10" s="29">
        <f t="shared" ref="S10:S32" si="1">IF(E9=0,"",E10-E9)</f>
        <v>7.6388888888888895E-3</v>
      </c>
    </row>
    <row r="11" spans="1:20" s="26" customFormat="1" x14ac:dyDescent="0.3">
      <c r="A11">
        <v>3</v>
      </c>
      <c r="B11" t="s">
        <v>46</v>
      </c>
      <c r="C11" s="36">
        <f>SUMIFS(ENCOMENDA!K:K,ENCOMENDA!A:A,B11,ENCOMENDA!L:L,D$1)</f>
        <v>34.4</v>
      </c>
      <c r="D11" s="29">
        <f>AP_CRONO_Sex!E13</f>
        <v>0.20972222222222225</v>
      </c>
      <c r="E11" s="1">
        <v>0.23611111111111113</v>
      </c>
      <c r="F11" s="29">
        <f>AP_CRONO_Sex!G13</f>
        <v>0.25</v>
      </c>
      <c r="G11" s="29">
        <f>AP_CRONO_Sex!H13</f>
        <v>0.25</v>
      </c>
      <c r="H11" s="29">
        <f>AP_CRONO_Sex!I13</f>
        <v>0.25347222222222221</v>
      </c>
      <c r="I11" s="29">
        <f>AP_CRONO_Sex!J13</f>
        <v>0.2986111111111111</v>
      </c>
      <c r="J11" s="29">
        <f>AP_CRONO_Sex!K13</f>
        <v>0.31944444444444442</v>
      </c>
      <c r="K11" s="29">
        <f>AP_CRONO_Sex!L13</f>
        <v>0.35069444444444442</v>
      </c>
      <c r="L11" s="29">
        <f>AP_CRONO_Sex!M13</f>
        <v>0.37152777777777773</v>
      </c>
      <c r="M11" s="29">
        <f>AP_CRONO_Sex!N13</f>
        <v>0.41666666666666663</v>
      </c>
      <c r="N11" s="29">
        <f>AP_CRONO_Sex!O13</f>
        <v>0.44791666666666663</v>
      </c>
      <c r="O11" s="29">
        <f>AP_CRONO_Sex!P13</f>
        <v>0.51388888888888884</v>
      </c>
      <c r="P11" s="29">
        <f>AP_CRONO_Sex!Q13</f>
        <v>0.51736111111111105</v>
      </c>
      <c r="Q11" s="29">
        <f>AP_CRONO_Sex!R13</f>
        <v>0.56249999999999989</v>
      </c>
      <c r="R11" s="29">
        <f t="shared" si="0"/>
        <v>5.5555555555555636E-3</v>
      </c>
      <c r="S11" s="29">
        <f t="shared" si="1"/>
        <v>6.2500000000000333E-3</v>
      </c>
    </row>
    <row r="12" spans="1:20" s="26" customFormat="1" x14ac:dyDescent="0.3">
      <c r="A12">
        <v>3</v>
      </c>
      <c r="B12" t="s">
        <v>23</v>
      </c>
      <c r="C12" s="36">
        <f>SUMIFS(ENCOMENDA!K:K,ENCOMENDA!A:A,B12,ENCOMENDA!L:L,D$1)</f>
        <v>8.25</v>
      </c>
      <c r="D12" s="29">
        <f>AP_CRONO_Sex!E14</f>
        <v>0.21527777777777782</v>
      </c>
      <c r="E12" s="1">
        <v>0.23611111111111113</v>
      </c>
      <c r="F12" s="29">
        <f>AP_CRONO_Sex!G14</f>
        <v>0.25</v>
      </c>
      <c r="G12" s="29">
        <f>AP_CRONO_Sex!H14</f>
        <v>0.25</v>
      </c>
      <c r="H12" s="29">
        <f>AP_CRONO_Sex!I14</f>
        <v>0.25347222222222221</v>
      </c>
      <c r="I12" s="29">
        <f>AP_CRONO_Sex!J14</f>
        <v>0.2986111111111111</v>
      </c>
      <c r="J12" s="29">
        <f>AP_CRONO_Sex!K14</f>
        <v>0.31944444444444442</v>
      </c>
      <c r="K12" s="29">
        <f>AP_CRONO_Sex!L14</f>
        <v>0.35069444444444442</v>
      </c>
      <c r="L12" s="29">
        <f>AP_CRONO_Sex!M14</f>
        <v>0.37152777777777773</v>
      </c>
      <c r="M12" s="29">
        <f>AP_CRONO_Sex!N14</f>
        <v>0.41666666666666663</v>
      </c>
      <c r="N12" s="29">
        <f>AP_CRONO_Sex!O14</f>
        <v>0.44791666666666663</v>
      </c>
      <c r="O12" s="29">
        <f>AP_CRONO_Sex!P14</f>
        <v>0.51388888888888884</v>
      </c>
      <c r="P12" s="29">
        <f>AP_CRONO_Sex!Q14</f>
        <v>0.51736111111111105</v>
      </c>
      <c r="Q12" s="29">
        <f>AP_CRONO_Sex!R14</f>
        <v>0.56249999999999989</v>
      </c>
      <c r="R12" s="29">
        <f t="shared" si="0"/>
        <v>5.5555555555555636E-3</v>
      </c>
      <c r="S12" s="29">
        <f t="shared" si="1"/>
        <v>0</v>
      </c>
    </row>
    <row r="13" spans="1:20" s="26" customFormat="1" x14ac:dyDescent="0.3">
      <c r="A13">
        <v>4</v>
      </c>
      <c r="B13" t="s">
        <v>32</v>
      </c>
      <c r="C13" s="36">
        <f>SUMIFS(ENCOMENDA!K:K,ENCOMENDA!A:A,B13,ENCOMENDA!L:L,D$1)</f>
        <v>3.0000000000000004</v>
      </c>
      <c r="D13" s="29">
        <f>AP_CRONO_Sex!E15</f>
        <v>0.22083333333333338</v>
      </c>
      <c r="E13" s="1">
        <v>0.25555555555555559</v>
      </c>
      <c r="F13" s="29">
        <f>AP_CRONO_Sex!G15</f>
        <v>0.26944444444444449</v>
      </c>
      <c r="G13" s="29">
        <f>AP_CRONO_Sex!H15</f>
        <v>0.26944444444444449</v>
      </c>
      <c r="H13" s="29">
        <f>AP_CRONO_Sex!I15</f>
        <v>0.2729166666666667</v>
      </c>
      <c r="I13" s="29">
        <f>AP_CRONO_Sex!J15</f>
        <v>0.28125000000000006</v>
      </c>
      <c r="J13" s="29">
        <f>AP_CRONO_Sex!K15</f>
        <v>0.28958333333333341</v>
      </c>
      <c r="K13" s="29">
        <f>AP_CRONO_Sex!L15</f>
        <v>0.29305555555555562</v>
      </c>
      <c r="L13" s="29">
        <f>AP_CRONO_Sex!M15</f>
        <v>0.32083333333333341</v>
      </c>
      <c r="M13" s="29">
        <f>AP_CRONO_Sex!N15</f>
        <v>0.38680555555555562</v>
      </c>
      <c r="N13" s="29">
        <f>AP_CRONO_Sex!O15</f>
        <v>0.4111111111111112</v>
      </c>
      <c r="O13" s="29">
        <f>AP_CRONO_Sex!P15</f>
        <v>0.47708333333333341</v>
      </c>
      <c r="P13" s="29">
        <f>AP_CRONO_Sex!Q15</f>
        <v>0.5097222222222223</v>
      </c>
      <c r="Q13" s="29">
        <f>AP_CRONO_Sex!R15</f>
        <v>0.55486111111111114</v>
      </c>
      <c r="R13" s="29">
        <f t="shared" si="0"/>
        <v>5.5555555555555636E-3</v>
      </c>
      <c r="S13" s="29">
        <f t="shared" si="1"/>
        <v>1.9444444444444459E-2</v>
      </c>
    </row>
    <row r="14" spans="1:20" s="26" customFormat="1" x14ac:dyDescent="0.3">
      <c r="A14">
        <v>5</v>
      </c>
      <c r="B14" t="s">
        <v>33</v>
      </c>
      <c r="C14" s="36">
        <f>SUMIFS(ENCOMENDA!K:K,ENCOMENDA!A:A,B14,ENCOMENDA!L:L,D$1)</f>
        <v>21.000000000000004</v>
      </c>
      <c r="D14" s="29">
        <f>AP_CRONO_Sex!E16</f>
        <v>0.22638888888888895</v>
      </c>
      <c r="E14" s="1">
        <v>0.2673611111111111</v>
      </c>
      <c r="F14" s="29">
        <f>AP_CRONO_Sex!G16</f>
        <v>0.28125</v>
      </c>
      <c r="G14" s="29">
        <f>AP_CRONO_Sex!H16</f>
        <v>0.28125</v>
      </c>
      <c r="H14" s="29">
        <f>AP_CRONO_Sex!I16</f>
        <v>0.28472222222222221</v>
      </c>
      <c r="I14" s="29">
        <f>AP_CRONO_Sex!J16</f>
        <v>0.29305555555555557</v>
      </c>
      <c r="J14" s="29">
        <f>AP_CRONO_Sex!K16</f>
        <v>0.30138888888888893</v>
      </c>
      <c r="K14" s="29">
        <f>AP_CRONO_Sex!L16</f>
        <v>0.30486111111111114</v>
      </c>
      <c r="L14" s="29">
        <f>AP_CRONO_Sex!M16</f>
        <v>0.33263888888888893</v>
      </c>
      <c r="M14" s="29">
        <f>AP_CRONO_Sex!N16</f>
        <v>0.39861111111111114</v>
      </c>
      <c r="N14" s="29">
        <f>AP_CRONO_Sex!O16</f>
        <v>0.42291666666666672</v>
      </c>
      <c r="O14" s="29">
        <f>AP_CRONO_Sex!P16</f>
        <v>0.48888888888888893</v>
      </c>
      <c r="P14" s="29">
        <f>AP_CRONO_Sex!Q16</f>
        <v>0.52152777777777781</v>
      </c>
      <c r="Q14" s="29">
        <f>AP_CRONO_Sex!R16</f>
        <v>0.56666666666666665</v>
      </c>
      <c r="R14" s="29">
        <f t="shared" si="0"/>
        <v>5.5555555555555636E-3</v>
      </c>
      <c r="S14" s="29">
        <f t="shared" si="1"/>
        <v>1.1805555555555514E-2</v>
      </c>
    </row>
    <row r="15" spans="1:20" x14ac:dyDescent="0.3">
      <c r="A15">
        <v>6</v>
      </c>
      <c r="B15" t="s">
        <v>22</v>
      </c>
      <c r="C15" s="36">
        <f>SUMIFS(ENCOMENDA!K:K,ENCOMENDA!A:A,B15,ENCOMENDA!L:L,D$1)</f>
        <v>3.6000000000000005</v>
      </c>
      <c r="D15" s="29">
        <f>AP_CRONO_Sex!E17</f>
        <v>0.23194444444444451</v>
      </c>
      <c r="E15" s="1">
        <v>0.27569444444444446</v>
      </c>
      <c r="F15" s="29">
        <f>AP_CRONO_Sex!G17</f>
        <v>0.28958333333333336</v>
      </c>
      <c r="G15" s="29">
        <f>AP_CRONO_Sex!H17</f>
        <v>0.28958333333333336</v>
      </c>
      <c r="H15" s="29">
        <f>AP_CRONO_Sex!I17</f>
        <v>0.29305555555555557</v>
      </c>
      <c r="I15" s="29">
        <f>AP_CRONO_Sex!J17</f>
        <v>0.30138888888888893</v>
      </c>
      <c r="J15" s="29">
        <f>AP_CRONO_Sex!K17</f>
        <v>0.30972222222222229</v>
      </c>
      <c r="K15" s="29">
        <f>AP_CRONO_Sex!L17</f>
        <v>0.3131944444444445</v>
      </c>
      <c r="L15" s="29">
        <f>AP_CRONO_Sex!M17</f>
        <v>0.34097222222222229</v>
      </c>
      <c r="M15" s="29">
        <f>AP_CRONO_Sex!N17</f>
        <v>0.4069444444444445</v>
      </c>
      <c r="N15" s="29">
        <f>AP_CRONO_Sex!O17</f>
        <v>0.43125000000000002</v>
      </c>
      <c r="O15" s="29">
        <f>AP_CRONO_Sex!P17</f>
        <v>0.49722222222222223</v>
      </c>
      <c r="P15" s="29">
        <f>AP_CRONO_Sex!Q17</f>
        <v>0.52986111111111112</v>
      </c>
      <c r="Q15" s="29">
        <f>AP_CRONO_Sex!R17</f>
        <v>0.57499999999999996</v>
      </c>
      <c r="R15" s="29">
        <f t="shared" si="0"/>
        <v>5.5555555555555636E-3</v>
      </c>
      <c r="S15" s="29">
        <f t="shared" si="1"/>
        <v>8.3333333333333592E-3</v>
      </c>
    </row>
    <row r="16" spans="1:20" x14ac:dyDescent="0.3">
      <c r="A16">
        <v>7</v>
      </c>
      <c r="B16" t="s">
        <v>25</v>
      </c>
      <c r="C16" s="36">
        <f>SUMIFS(ENCOMENDA!K:K,ENCOMENDA!A:A,B16,ENCOMENDA!L:L,D$1)</f>
        <v>13.110000000000001</v>
      </c>
      <c r="D16" s="29">
        <f>AP_CRONO_Sex!E18</f>
        <v>0.23750000000000007</v>
      </c>
      <c r="E16" s="1">
        <v>0.30902777777777779</v>
      </c>
      <c r="F16" s="29">
        <f>AP_CRONO_Sex!G18</f>
        <v>0.32291666666666669</v>
      </c>
      <c r="G16" s="29">
        <f>AP_CRONO_Sex!H18</f>
        <v>0.32291666666666669</v>
      </c>
      <c r="H16" s="29">
        <f>AP_CRONO_Sex!I18</f>
        <v>0.3263888888888889</v>
      </c>
      <c r="I16" s="29">
        <f>AP_CRONO_Sex!J18</f>
        <v>0.33472222222222225</v>
      </c>
      <c r="J16" s="29">
        <f>AP_CRONO_Sex!K18</f>
        <v>0.34305555555555561</v>
      </c>
      <c r="K16" s="29">
        <f>AP_CRONO_Sex!L18</f>
        <v>0.34652777777777782</v>
      </c>
      <c r="L16" s="29">
        <f>AP_CRONO_Sex!M18</f>
        <v>0.37430555555555561</v>
      </c>
      <c r="M16" s="29">
        <f>AP_CRONO_Sex!N18</f>
        <v>0.44027777777777782</v>
      </c>
      <c r="N16" s="29">
        <f>AP_CRONO_Sex!O18</f>
        <v>0.46458333333333335</v>
      </c>
      <c r="O16" s="29">
        <f>AP_CRONO_Sex!P18</f>
        <v>0.53055555555555556</v>
      </c>
      <c r="P16" s="29">
        <f>AP_CRONO_Sex!Q18</f>
        <v>0.56319444444444444</v>
      </c>
      <c r="Q16" s="29">
        <f>AP_CRONO_Sex!R18</f>
        <v>0.60833333333333328</v>
      </c>
      <c r="R16" s="29">
        <f t="shared" si="0"/>
        <v>5.5555555555555636E-3</v>
      </c>
      <c r="S16" s="29">
        <f t="shared" si="1"/>
        <v>3.3333333333333326E-2</v>
      </c>
    </row>
    <row r="17" spans="1:19" x14ac:dyDescent="0.3">
      <c r="A17">
        <v>7</v>
      </c>
      <c r="B17" t="s">
        <v>21</v>
      </c>
      <c r="C17" s="36">
        <f>SUMIFS(ENCOMENDA!K:K,ENCOMENDA!A:A,B17,ENCOMENDA!L:L,D$1)</f>
        <v>184.62</v>
      </c>
      <c r="D17" s="29">
        <f>AP_CRONO_Sex!E19</f>
        <v>0.24305555555555564</v>
      </c>
      <c r="E17" s="1">
        <v>0.3298611111111111</v>
      </c>
      <c r="F17" s="29">
        <f>AP_CRONO_Sex!G19</f>
        <v>0.34375</v>
      </c>
      <c r="G17" s="29">
        <f>AP_CRONO_Sex!H19</f>
        <v>0.34375</v>
      </c>
      <c r="H17" s="29">
        <f>AP_CRONO_Sex!I19</f>
        <v>0.34722222222222221</v>
      </c>
      <c r="I17" s="29">
        <f>AP_CRONO_Sex!J19</f>
        <v>0.35555555555555557</v>
      </c>
      <c r="J17" s="29">
        <f>AP_CRONO_Sex!K19</f>
        <v>0.36388888888888893</v>
      </c>
      <c r="K17" s="29">
        <f>AP_CRONO_Sex!L19</f>
        <v>0.36736111111111114</v>
      </c>
      <c r="L17" s="29">
        <f>AP_CRONO_Sex!M19</f>
        <v>0.39513888888888893</v>
      </c>
      <c r="M17" s="29">
        <f>AP_CRONO_Sex!N19</f>
        <v>0.46111111111111114</v>
      </c>
      <c r="N17" s="29">
        <f>AP_CRONO_Sex!O19</f>
        <v>0.48541666666666672</v>
      </c>
      <c r="O17" s="29">
        <f>AP_CRONO_Sex!P19</f>
        <v>0.55138888888888893</v>
      </c>
      <c r="P17" s="29">
        <f>AP_CRONO_Sex!Q19</f>
        <v>0.58402777777777781</v>
      </c>
      <c r="Q17" s="29">
        <f>AP_CRONO_Sex!R19</f>
        <v>0.62916666666666665</v>
      </c>
      <c r="R17" s="29">
        <f t="shared" si="0"/>
        <v>5.5555555555555636E-3</v>
      </c>
      <c r="S17" s="29">
        <f t="shared" si="1"/>
        <v>2.0833333333333315E-2</v>
      </c>
    </row>
    <row r="18" spans="1:19" x14ac:dyDescent="0.3">
      <c r="A18">
        <v>7</v>
      </c>
      <c r="B18" t="s">
        <v>50</v>
      </c>
      <c r="C18" s="36">
        <f>SUMIFS(ENCOMENDA!K:K,ENCOMENDA!A:A,B18,ENCOMENDA!L:L,D$1)</f>
        <v>3.44</v>
      </c>
      <c r="D18" s="29">
        <f>AP_CRONO_Sex!E20</f>
        <v>0.2486111111111112</v>
      </c>
      <c r="E18" s="1">
        <v>0.3298611111111111</v>
      </c>
      <c r="F18" s="29">
        <f>AP_CRONO_Sex!G20</f>
        <v>0.34375</v>
      </c>
      <c r="G18" s="29">
        <f>AP_CRONO_Sex!H20</f>
        <v>0.34375</v>
      </c>
      <c r="H18" s="29">
        <f>AP_CRONO_Sex!I20</f>
        <v>0.34722222222222221</v>
      </c>
      <c r="I18" s="29">
        <f>AP_CRONO_Sex!J20</f>
        <v>0.35555555555555557</v>
      </c>
      <c r="J18" s="29">
        <f>AP_CRONO_Sex!K20</f>
        <v>0.36388888888888893</v>
      </c>
      <c r="K18" s="29">
        <f>AP_CRONO_Sex!L20</f>
        <v>0.36736111111111114</v>
      </c>
      <c r="L18" s="29">
        <f>AP_CRONO_Sex!M20</f>
        <v>0.39513888888888893</v>
      </c>
      <c r="M18" s="29">
        <f>AP_CRONO_Sex!N20</f>
        <v>0.46111111111111114</v>
      </c>
      <c r="N18" s="29">
        <f>AP_CRONO_Sex!O20</f>
        <v>0.48541666666666672</v>
      </c>
      <c r="O18" s="29">
        <f>AP_CRONO_Sex!P20</f>
        <v>0.55138888888888893</v>
      </c>
      <c r="P18" s="29">
        <f>AP_CRONO_Sex!Q20</f>
        <v>0.58402777777777781</v>
      </c>
      <c r="Q18" s="29">
        <f>AP_CRONO_Sex!R20</f>
        <v>0.62916666666666665</v>
      </c>
      <c r="R18" s="29">
        <f t="shared" si="0"/>
        <v>5.5555555555555636E-3</v>
      </c>
      <c r="S18" s="29">
        <f t="shared" si="1"/>
        <v>0</v>
      </c>
    </row>
    <row r="19" spans="1:19" x14ac:dyDescent="0.3">
      <c r="A19">
        <v>7</v>
      </c>
      <c r="B19" t="s">
        <v>35</v>
      </c>
      <c r="C19" s="36">
        <f>SUMIFS(ENCOMENDA!K:K,ENCOMENDA!A:A,B19,ENCOMENDA!L:L,D$1)</f>
        <v>10.440000000000001</v>
      </c>
      <c r="D19" s="29">
        <f>AP_CRONO_Sex!E21</f>
        <v>0.25416666666666676</v>
      </c>
      <c r="E19" s="1">
        <v>0.3298611111111111</v>
      </c>
      <c r="F19" s="29">
        <f>AP_CRONO_Sex!G21</f>
        <v>0.34375</v>
      </c>
      <c r="G19" s="29">
        <f>AP_CRONO_Sex!H21</f>
        <v>0.34375</v>
      </c>
      <c r="H19" s="29">
        <f>AP_CRONO_Sex!I21</f>
        <v>0.34722222222222221</v>
      </c>
      <c r="I19" s="29">
        <f>AP_CRONO_Sex!J21</f>
        <v>0.35555555555555557</v>
      </c>
      <c r="J19" s="29">
        <f>AP_CRONO_Sex!K21</f>
        <v>0.36388888888888893</v>
      </c>
      <c r="K19" s="29">
        <f>AP_CRONO_Sex!L21</f>
        <v>0.36736111111111114</v>
      </c>
      <c r="L19" s="29">
        <f>AP_CRONO_Sex!M21</f>
        <v>0.39513888888888893</v>
      </c>
      <c r="M19" s="29">
        <f>AP_CRONO_Sex!N21</f>
        <v>0.46111111111111114</v>
      </c>
      <c r="N19" s="29">
        <f>AP_CRONO_Sex!O21</f>
        <v>0.48541666666666672</v>
      </c>
      <c r="O19" s="29">
        <f>AP_CRONO_Sex!P21</f>
        <v>0.55138888888888893</v>
      </c>
      <c r="P19" s="29">
        <f>AP_CRONO_Sex!Q21</f>
        <v>0.58402777777777781</v>
      </c>
      <c r="Q19" s="29">
        <f>AP_CRONO_Sex!R21</f>
        <v>0.62916666666666665</v>
      </c>
      <c r="R19" s="29">
        <f t="shared" si="0"/>
        <v>5.5555555555555636E-3</v>
      </c>
      <c r="S19" s="29">
        <f t="shared" si="1"/>
        <v>0</v>
      </c>
    </row>
    <row r="20" spans="1:19" x14ac:dyDescent="0.3">
      <c r="A20">
        <v>8</v>
      </c>
      <c r="B20" t="s">
        <v>21</v>
      </c>
      <c r="C20" s="36">
        <f>SUMIFS(ENCOMENDA!K:K,ENCOMENDA!A:A,B20,ENCOMENDA!L:L,D$1)</f>
        <v>184.62</v>
      </c>
      <c r="D20" s="29">
        <f>AP_CRONO_Sex!E22</f>
        <v>0.2597222222222223</v>
      </c>
      <c r="E20" s="1">
        <v>0.38472222222222219</v>
      </c>
      <c r="F20" s="29">
        <f>AP_CRONO_Sex!G22</f>
        <v>0.39861111111111108</v>
      </c>
      <c r="G20" s="29">
        <f>AP_CRONO_Sex!H22</f>
        <v>0.39861111111111108</v>
      </c>
      <c r="H20" s="29">
        <f>AP_CRONO_Sex!I22</f>
        <v>0.40208333333333329</v>
      </c>
      <c r="I20" s="29">
        <f>AP_CRONO_Sex!J22</f>
        <v>0.41041666666666665</v>
      </c>
      <c r="J20" s="29">
        <f>AP_CRONO_Sex!K22</f>
        <v>0.41875000000000001</v>
      </c>
      <c r="K20" s="29">
        <f>AP_CRONO_Sex!L22</f>
        <v>0.42222222222222222</v>
      </c>
      <c r="L20" s="29">
        <f>AP_CRONO_Sex!M22</f>
        <v>0.45</v>
      </c>
      <c r="M20" s="29">
        <f>AP_CRONO_Sex!N22</f>
        <v>0.51597222222222228</v>
      </c>
      <c r="N20" s="29">
        <f>AP_CRONO_Sex!O22</f>
        <v>0.54027777777777786</v>
      </c>
      <c r="O20" s="29">
        <f>AP_CRONO_Sex!P22</f>
        <v>0.60625000000000007</v>
      </c>
      <c r="P20" s="29">
        <f>AP_CRONO_Sex!Q22</f>
        <v>0.63888888888888895</v>
      </c>
      <c r="Q20" s="29">
        <f>AP_CRONO_Sex!R22</f>
        <v>0.68402777777777779</v>
      </c>
      <c r="R20" s="29">
        <f t="shared" si="0"/>
        <v>5.5555555555555358E-3</v>
      </c>
      <c r="S20" s="29">
        <f t="shared" si="1"/>
        <v>5.4861111111111083E-2</v>
      </c>
    </row>
    <row r="21" spans="1:19" x14ac:dyDescent="0.3">
      <c r="A21">
        <v>9</v>
      </c>
      <c r="B21" t="s">
        <v>118</v>
      </c>
      <c r="C21" s="36">
        <f>SUMIFS(ENCOMENDA!K:K,ENCOMENDA!A:A,B21,ENCOMENDA!L:L,D$1)</f>
        <v>2.2400000000000002</v>
      </c>
      <c r="D21" s="29">
        <f>AP_CRONO_Sex!E23</f>
        <v>0.26527777777777783</v>
      </c>
      <c r="E21" s="1">
        <v>0.40277777777777773</v>
      </c>
      <c r="F21" s="29">
        <f>AP_CRONO_Sex!G23</f>
        <v>0.41666666666666663</v>
      </c>
      <c r="G21" s="29">
        <f>AP_CRONO_Sex!H23</f>
        <v>0.41666666666666663</v>
      </c>
      <c r="H21" s="29">
        <f>AP_CRONO_Sex!I23</f>
        <v>0.42013888888888884</v>
      </c>
      <c r="I21" s="29">
        <f>AP_CRONO_Sex!J23</f>
        <v>0.4284722222222222</v>
      </c>
      <c r="J21" s="29">
        <f>AP_CRONO_Sex!K23</f>
        <v>0.43680555555555556</v>
      </c>
      <c r="K21" s="29">
        <f>AP_CRONO_Sex!L23</f>
        <v>0.44027777777777777</v>
      </c>
      <c r="L21" s="29">
        <f>AP_CRONO_Sex!M23</f>
        <v>0.46805555555555556</v>
      </c>
      <c r="M21" s="29">
        <f>AP_CRONO_Sex!N23</f>
        <v>0.53402777777777777</v>
      </c>
      <c r="N21" s="29">
        <f>AP_CRONO_Sex!O23</f>
        <v>0.55833333333333335</v>
      </c>
      <c r="O21" s="29">
        <f>AP_CRONO_Sex!P23</f>
        <v>0.62430555555555556</v>
      </c>
      <c r="P21" s="29">
        <f>AP_CRONO_Sex!Q23</f>
        <v>0.65694444444444444</v>
      </c>
      <c r="Q21" s="29">
        <f>AP_CRONO_Sex!R23</f>
        <v>0.70208333333333328</v>
      </c>
      <c r="R21" s="29">
        <f t="shared" si="0"/>
        <v>5.5555555555555358E-3</v>
      </c>
      <c r="S21" s="29">
        <f t="shared" si="1"/>
        <v>1.8055555555555547E-2</v>
      </c>
    </row>
    <row r="22" spans="1:19" x14ac:dyDescent="0.3">
      <c r="C22" s="36">
        <f>SUMIFS(ENCOMENDA!K:K,ENCOMENDA!A:A,B22,ENCOMENDA!L:L,D$1)</f>
        <v>0</v>
      </c>
      <c r="D22" s="29" t="str">
        <f>AP_CRONO_Sex!E27</f>
        <v/>
      </c>
      <c r="E22" s="1"/>
      <c r="F22" s="29" t="str">
        <f>AP_CRONO_Sex!G27</f>
        <v/>
      </c>
      <c r="G22" s="29" t="str">
        <f>AP_CRONO_Sex!H27</f>
        <v/>
      </c>
      <c r="H22" s="29" t="str">
        <f>AP_CRONO_Sex!I27</f>
        <v/>
      </c>
      <c r="I22" s="29" t="str">
        <f>AP_CRONO_Sex!J27</f>
        <v/>
      </c>
      <c r="J22" s="29" t="str">
        <f>AP_CRONO_Sex!K27</f>
        <v/>
      </c>
      <c r="K22" s="29" t="str">
        <f>AP_CRONO_Sex!L27</f>
        <v/>
      </c>
      <c r="L22" s="29" t="str">
        <f>AP_CRONO_Sex!M27</f>
        <v/>
      </c>
      <c r="M22" s="31" t="str">
        <f>AP_CRONO_Sex!N27</f>
        <v/>
      </c>
      <c r="N22" s="29" t="str">
        <f>AP_CRONO_Sex!O27</f>
        <v/>
      </c>
      <c r="O22" s="29" t="str">
        <f>AP_CRONO_Sex!P27</f>
        <v/>
      </c>
      <c r="P22" s="29" t="str">
        <f>AP_CRONO_Sex!Q27</f>
        <v/>
      </c>
      <c r="Q22" s="29" t="str">
        <f>AP_CRONO_Sex!R27</f>
        <v/>
      </c>
      <c r="R22" s="29" t="str">
        <f t="shared" si="0"/>
        <v/>
      </c>
      <c r="S22" s="29">
        <f t="shared" si="1"/>
        <v>-0.40277777777777773</v>
      </c>
    </row>
    <row r="23" spans="1:19" x14ac:dyDescent="0.3">
      <c r="C23" s="36">
        <f>SUMIFS(ENCOMENDA!K:K,ENCOMENDA!A:A,B23,ENCOMENDA!L:L,D$1)</f>
        <v>0</v>
      </c>
      <c r="D23" s="29" t="str">
        <f>AP_CRONO_Sex!E28</f>
        <v/>
      </c>
      <c r="E23" s="1"/>
      <c r="F23" s="29" t="str">
        <f>AP_CRONO_Sex!G28</f>
        <v/>
      </c>
      <c r="G23" s="29" t="str">
        <f>AP_CRONO_Sex!H28</f>
        <v/>
      </c>
      <c r="H23" s="29" t="str">
        <f>AP_CRONO_Sex!I28</f>
        <v/>
      </c>
      <c r="I23" s="29" t="str">
        <f>AP_CRONO_Sex!J28</f>
        <v/>
      </c>
      <c r="J23" s="29" t="str">
        <f>AP_CRONO_Sex!K28</f>
        <v/>
      </c>
      <c r="K23" s="29" t="str">
        <f>AP_CRONO_Sex!L28</f>
        <v/>
      </c>
      <c r="L23" s="29" t="str">
        <f>AP_CRONO_Sex!M28</f>
        <v/>
      </c>
      <c r="M23" s="31" t="str">
        <f>AP_CRONO_Sex!N28</f>
        <v/>
      </c>
      <c r="N23" s="29" t="str">
        <f>AP_CRONO_Sex!O28</f>
        <v/>
      </c>
      <c r="O23" s="29" t="str">
        <f>AP_CRONO_Sex!P28</f>
        <v/>
      </c>
      <c r="P23" s="29" t="str">
        <f>AP_CRONO_Sex!Q28</f>
        <v/>
      </c>
      <c r="Q23" s="29" t="str">
        <f>AP_CRONO_Sex!R28</f>
        <v/>
      </c>
      <c r="R23" s="29" t="str">
        <f t="shared" si="0"/>
        <v/>
      </c>
      <c r="S23" s="29" t="str">
        <f t="shared" si="1"/>
        <v/>
      </c>
    </row>
    <row r="24" spans="1:19" x14ac:dyDescent="0.3">
      <c r="C24" s="36">
        <f>SUMIFS(ENCOMENDA!K:K,ENCOMENDA!A:A,B24,ENCOMENDA!L:L,D$1)</f>
        <v>0</v>
      </c>
      <c r="D24" s="29" t="str">
        <f>AP_CRONO_Sex!E29</f>
        <v/>
      </c>
      <c r="E24" s="1"/>
      <c r="F24" s="29" t="str">
        <f>AP_CRONO_Sex!G29</f>
        <v/>
      </c>
      <c r="G24" s="29" t="str">
        <f>AP_CRONO_Sex!H29</f>
        <v/>
      </c>
      <c r="H24" s="29" t="str">
        <f>AP_CRONO_Sex!I29</f>
        <v/>
      </c>
      <c r="I24" s="29" t="str">
        <f>AP_CRONO_Sex!J29</f>
        <v/>
      </c>
      <c r="J24" s="29" t="str">
        <f>AP_CRONO_Sex!K29</f>
        <v/>
      </c>
      <c r="K24" s="29" t="str">
        <f>AP_CRONO_Sex!L29</f>
        <v/>
      </c>
      <c r="L24" s="29" t="str">
        <f>AP_CRONO_Sex!M29</f>
        <v/>
      </c>
      <c r="M24" s="31" t="str">
        <f>AP_CRONO_Sex!N29</f>
        <v/>
      </c>
      <c r="N24" s="29" t="str">
        <f>AP_CRONO_Sex!O29</f>
        <v/>
      </c>
      <c r="O24" s="29" t="str">
        <f>AP_CRONO_Sex!P29</f>
        <v/>
      </c>
      <c r="P24" s="29" t="str">
        <f>AP_CRONO_Sex!Q29</f>
        <v/>
      </c>
      <c r="Q24" s="29" t="str">
        <f>AP_CRONO_Sex!R29</f>
        <v/>
      </c>
      <c r="R24" s="29" t="str">
        <f t="shared" si="0"/>
        <v/>
      </c>
      <c r="S24" s="29" t="str">
        <f t="shared" si="1"/>
        <v/>
      </c>
    </row>
    <row r="25" spans="1:19" x14ac:dyDescent="0.3">
      <c r="C25" s="36">
        <f>SUMIFS(ENCOMENDA!K:K,ENCOMENDA!A:A,B25,ENCOMENDA!L:L,D$1)</f>
        <v>0</v>
      </c>
      <c r="D25" s="29" t="str">
        <f>AP_CRONO_Sex!E30</f>
        <v/>
      </c>
      <c r="E25" s="1"/>
      <c r="F25" s="29" t="str">
        <f>AP_CRONO_Sex!G30</f>
        <v/>
      </c>
      <c r="G25" s="29" t="str">
        <f>AP_CRONO_Sex!H30</f>
        <v/>
      </c>
      <c r="H25" s="29" t="str">
        <f>AP_CRONO_Sex!I30</f>
        <v/>
      </c>
      <c r="I25" s="29" t="str">
        <f>AP_CRONO_Sex!J30</f>
        <v/>
      </c>
      <c r="J25" s="29" t="str">
        <f>AP_CRONO_Sex!K30</f>
        <v/>
      </c>
      <c r="K25" s="29" t="str">
        <f>AP_CRONO_Sex!L30</f>
        <v/>
      </c>
      <c r="L25" s="29" t="str">
        <f>AP_CRONO_Sex!M30</f>
        <v/>
      </c>
      <c r="M25" s="31" t="str">
        <f>AP_CRONO_Sex!N30</f>
        <v/>
      </c>
      <c r="N25" s="29" t="str">
        <f>AP_CRONO_Sex!O30</f>
        <v/>
      </c>
      <c r="O25" s="29" t="str">
        <f>AP_CRONO_Sex!P30</f>
        <v/>
      </c>
      <c r="P25" s="29" t="str">
        <f>AP_CRONO_Sex!Q30</f>
        <v/>
      </c>
      <c r="Q25" s="29" t="str">
        <f>AP_CRONO_Sex!R30</f>
        <v/>
      </c>
      <c r="R25" s="29" t="str">
        <f t="shared" si="0"/>
        <v/>
      </c>
      <c r="S25" s="29" t="str">
        <f t="shared" si="1"/>
        <v/>
      </c>
    </row>
    <row r="26" spans="1:19" x14ac:dyDescent="0.3">
      <c r="C26" s="36">
        <f>SUMIFS(ENCOMENDA!K:K,ENCOMENDA!A:A,B26,ENCOMENDA!L:L,D$1)</f>
        <v>0</v>
      </c>
      <c r="D26" s="29" t="str">
        <f>AP_CRONO_Sex!E31</f>
        <v/>
      </c>
      <c r="E26" s="1"/>
      <c r="F26" s="29" t="str">
        <f>AP_CRONO_Sex!G31</f>
        <v/>
      </c>
      <c r="G26" s="29" t="str">
        <f>AP_CRONO_Sex!H31</f>
        <v/>
      </c>
      <c r="H26" s="29" t="str">
        <f>AP_CRONO_Sex!I31</f>
        <v/>
      </c>
      <c r="I26" s="29" t="str">
        <f>AP_CRONO_Sex!J31</f>
        <v/>
      </c>
      <c r="J26" s="29" t="str">
        <f>AP_CRONO_Sex!K31</f>
        <v/>
      </c>
      <c r="K26" s="29" t="str">
        <f>AP_CRONO_Sex!L31</f>
        <v/>
      </c>
      <c r="L26" s="29" t="str">
        <f>AP_CRONO_Sex!M31</f>
        <v/>
      </c>
      <c r="M26" s="31" t="str">
        <f>AP_CRONO_Sex!N31</f>
        <v/>
      </c>
      <c r="N26" s="29" t="str">
        <f>AP_CRONO_Sex!O31</f>
        <v/>
      </c>
      <c r="O26" s="29" t="str">
        <f>AP_CRONO_Sex!P31</f>
        <v/>
      </c>
      <c r="P26" s="29" t="str">
        <f>AP_CRONO_Sex!Q31</f>
        <v/>
      </c>
      <c r="Q26" s="29" t="str">
        <f>AP_CRONO_Sex!R31</f>
        <v/>
      </c>
      <c r="R26" s="29" t="str">
        <f t="shared" si="0"/>
        <v/>
      </c>
      <c r="S26" s="29" t="str">
        <f t="shared" si="1"/>
        <v/>
      </c>
    </row>
    <row r="27" spans="1:19" x14ac:dyDescent="0.3">
      <c r="C27" s="36">
        <f>SUMIFS(ENCOMENDA!K:K,ENCOMENDA!A:A,B27,ENCOMENDA!L:L,D$1)</f>
        <v>0</v>
      </c>
      <c r="D27" s="29" t="str">
        <f>AP_CRONO_Sex!E32</f>
        <v/>
      </c>
      <c r="E27" s="1"/>
      <c r="F27" s="29" t="str">
        <f>AP_CRONO_Sex!G32</f>
        <v/>
      </c>
      <c r="G27" s="29" t="str">
        <f>AP_CRONO_Sex!H32</f>
        <v/>
      </c>
      <c r="H27" s="29" t="str">
        <f>AP_CRONO_Sex!I32</f>
        <v/>
      </c>
      <c r="I27" s="29" t="str">
        <f>AP_CRONO_Sex!J32</f>
        <v/>
      </c>
      <c r="J27" s="29" t="str">
        <f>AP_CRONO_Sex!K32</f>
        <v/>
      </c>
      <c r="K27" s="29" t="str">
        <f>AP_CRONO_Sex!L32</f>
        <v/>
      </c>
      <c r="L27" s="29" t="str">
        <f>AP_CRONO_Sex!M32</f>
        <v/>
      </c>
      <c r="M27" s="31" t="str">
        <f>AP_CRONO_Sex!N32</f>
        <v/>
      </c>
      <c r="N27" s="29" t="str">
        <f>AP_CRONO_Sex!O32</f>
        <v/>
      </c>
      <c r="O27" s="29" t="str">
        <f>AP_CRONO_Sex!P32</f>
        <v/>
      </c>
      <c r="P27" s="29" t="str">
        <f>AP_CRONO_Sex!Q32</f>
        <v/>
      </c>
      <c r="Q27" s="29" t="str">
        <f>AP_CRONO_Sex!R32</f>
        <v/>
      </c>
      <c r="R27" s="29" t="str">
        <f t="shared" si="0"/>
        <v/>
      </c>
      <c r="S27" s="29" t="str">
        <f t="shared" si="1"/>
        <v/>
      </c>
    </row>
    <row r="28" spans="1:19" x14ac:dyDescent="0.3">
      <c r="C28" s="36">
        <f>SUMIFS(ENCOMENDA!K:K,ENCOMENDA!A:A,B28,ENCOMENDA!L:L,D$1)</f>
        <v>0</v>
      </c>
      <c r="D28" s="29" t="str">
        <f>AP_CRONO_Sex!E33</f>
        <v/>
      </c>
      <c r="E28" s="1"/>
      <c r="F28" s="29" t="str">
        <f>AP_CRONO_Sex!G33</f>
        <v/>
      </c>
      <c r="G28" s="29" t="str">
        <f>AP_CRONO_Sex!H33</f>
        <v/>
      </c>
      <c r="H28" s="29" t="str">
        <f>AP_CRONO_Sex!I33</f>
        <v/>
      </c>
      <c r="I28" s="29" t="str">
        <f>AP_CRONO_Sex!J33</f>
        <v/>
      </c>
      <c r="J28" s="29" t="str">
        <f>AP_CRONO_Sex!K33</f>
        <v/>
      </c>
      <c r="K28" s="29" t="str">
        <f>AP_CRONO_Sex!L33</f>
        <v/>
      </c>
      <c r="L28" s="29" t="str">
        <f>AP_CRONO_Sex!M33</f>
        <v/>
      </c>
      <c r="M28" s="31" t="str">
        <f>AP_CRONO_Sex!N33</f>
        <v/>
      </c>
      <c r="N28" s="29" t="str">
        <f>AP_CRONO_Sex!O33</f>
        <v/>
      </c>
      <c r="O28" s="29" t="str">
        <f>AP_CRONO_Sex!P33</f>
        <v/>
      </c>
      <c r="P28" s="29" t="str">
        <f>AP_CRONO_Sex!Q33</f>
        <v/>
      </c>
      <c r="Q28" s="29" t="str">
        <f>AP_CRONO_Sex!R33</f>
        <v/>
      </c>
      <c r="R28" s="29" t="str">
        <f t="shared" si="0"/>
        <v/>
      </c>
      <c r="S28" s="29" t="str">
        <f t="shared" si="1"/>
        <v/>
      </c>
    </row>
    <row r="29" spans="1:19" x14ac:dyDescent="0.3">
      <c r="C29" s="36">
        <f>SUMIFS(ENCOMENDA!K:K,ENCOMENDA!A:A,B29,ENCOMENDA!L:L,D$1)</f>
        <v>0</v>
      </c>
      <c r="D29" s="29" t="str">
        <f>AP_CRONO_Sex!E34</f>
        <v/>
      </c>
      <c r="E29" s="1"/>
      <c r="F29" s="29" t="str">
        <f>AP_CRONO_Sex!G34</f>
        <v/>
      </c>
      <c r="G29" s="29" t="str">
        <f>AP_CRONO_Sex!H34</f>
        <v/>
      </c>
      <c r="H29" s="29" t="str">
        <f>AP_CRONO_Sex!I34</f>
        <v/>
      </c>
      <c r="I29" s="29" t="str">
        <f>AP_CRONO_Sex!J34</f>
        <v/>
      </c>
      <c r="J29" s="29" t="str">
        <f>AP_CRONO_Sex!K34</f>
        <v/>
      </c>
      <c r="K29" s="29" t="str">
        <f>AP_CRONO_Sex!L34</f>
        <v/>
      </c>
      <c r="L29" s="29" t="str">
        <f>AP_CRONO_Sex!M34</f>
        <v/>
      </c>
      <c r="M29" s="31" t="str">
        <f>AP_CRONO_Sex!N34</f>
        <v/>
      </c>
      <c r="N29" s="29" t="str">
        <f>AP_CRONO_Sex!O34</f>
        <v/>
      </c>
      <c r="O29" s="29" t="str">
        <f>AP_CRONO_Sex!P34</f>
        <v/>
      </c>
      <c r="P29" s="29" t="str">
        <f>AP_CRONO_Sex!Q34</f>
        <v/>
      </c>
      <c r="Q29" s="29" t="str">
        <f>AP_CRONO_Sex!R34</f>
        <v/>
      </c>
      <c r="R29" s="29" t="str">
        <f t="shared" si="0"/>
        <v/>
      </c>
      <c r="S29" s="29" t="str">
        <f t="shared" si="1"/>
        <v/>
      </c>
    </row>
    <row r="30" spans="1:19" x14ac:dyDescent="0.3">
      <c r="C30" s="36">
        <f>SUMIFS(ENCOMENDA!K:K,ENCOMENDA!A:A,B30,ENCOMENDA!L:L,D$1)</f>
        <v>0</v>
      </c>
      <c r="D30" s="29" t="str">
        <f>AP_CRONO_Sex!E35</f>
        <v/>
      </c>
      <c r="E30" s="1"/>
      <c r="F30" s="29" t="str">
        <f>AP_CRONO_Sex!G35</f>
        <v/>
      </c>
      <c r="G30" s="29" t="str">
        <f>AP_CRONO_Sex!H35</f>
        <v/>
      </c>
      <c r="H30" s="29" t="str">
        <f>AP_CRONO_Sex!I35</f>
        <v/>
      </c>
      <c r="I30" s="29" t="str">
        <f>AP_CRONO_Sex!J35</f>
        <v/>
      </c>
      <c r="J30" s="29" t="str">
        <f>AP_CRONO_Sex!K35</f>
        <v/>
      </c>
      <c r="K30" s="29" t="str">
        <f>AP_CRONO_Sex!L35</f>
        <v/>
      </c>
      <c r="L30" s="29" t="str">
        <f>AP_CRONO_Sex!M35</f>
        <v/>
      </c>
      <c r="M30" s="31" t="str">
        <f>AP_CRONO_Sex!N35</f>
        <v/>
      </c>
      <c r="N30" s="29" t="str">
        <f>AP_CRONO_Sex!O35</f>
        <v/>
      </c>
      <c r="O30" s="29" t="str">
        <f>AP_CRONO_Sex!P35</f>
        <v/>
      </c>
      <c r="P30" s="29" t="str">
        <f>AP_CRONO_Sex!Q35</f>
        <v/>
      </c>
      <c r="Q30" s="29" t="str">
        <f>AP_CRONO_Sex!R35</f>
        <v/>
      </c>
      <c r="R30" s="29" t="str">
        <f t="shared" si="0"/>
        <v/>
      </c>
      <c r="S30" s="29" t="str">
        <f t="shared" si="1"/>
        <v/>
      </c>
    </row>
    <row r="31" spans="1:19" x14ac:dyDescent="0.3">
      <c r="C31" s="36">
        <f>SUMIFS(ENCOMENDA!K:K,ENCOMENDA!A:A,B31,ENCOMENDA!L:L,D$1)</f>
        <v>0</v>
      </c>
      <c r="D31" s="29" t="str">
        <f>AP_CRONO_Sex!E36</f>
        <v/>
      </c>
      <c r="E31" s="1"/>
      <c r="F31" s="31" t="str">
        <f>AP_CRONO_Sex!G33</f>
        <v/>
      </c>
      <c r="G31" s="31" t="str">
        <f>AP_CRONO_Sex!H33</f>
        <v/>
      </c>
      <c r="H31" s="31" t="str">
        <f>AP_CRONO_Sex!I33</f>
        <v/>
      </c>
      <c r="I31" s="31" t="str">
        <f>AP_CRONO_Sex!J33</f>
        <v/>
      </c>
      <c r="J31" s="31" t="str">
        <f>AP_CRONO_Sex!K33</f>
        <v/>
      </c>
      <c r="K31" s="31" t="str">
        <f>AP_CRONO_Sex!L33</f>
        <v/>
      </c>
      <c r="L31" s="31" t="str">
        <f>AP_CRONO_Sex!M33</f>
        <v/>
      </c>
      <c r="M31" s="31" t="str">
        <f>AP_CRONO_Sex!N33</f>
        <v/>
      </c>
      <c r="N31" s="31" t="str">
        <f>AP_CRONO_Sex!O33</f>
        <v/>
      </c>
      <c r="O31" s="31" t="str">
        <f>AP_CRONO_Sex!P33</f>
        <v/>
      </c>
      <c r="P31" s="31" t="str">
        <f>AP_CRONO_Sex!Q33</f>
        <v/>
      </c>
      <c r="Q31" s="31" t="str">
        <f>AP_CRONO_Sex!R33</f>
        <v/>
      </c>
      <c r="R31" s="29" t="str">
        <f t="shared" si="0"/>
        <v/>
      </c>
      <c r="S31" s="29" t="str">
        <f t="shared" si="1"/>
        <v/>
      </c>
    </row>
    <row r="32" spans="1:19" x14ac:dyDescent="0.3">
      <c r="C32" s="36">
        <f>SUMIFS(ENCOMENDA!K:K,ENCOMENDA!A:A,B32,ENCOMENDA!L:L,D$1)</f>
        <v>0</v>
      </c>
      <c r="D32" s="29" t="str">
        <f>AP_CRONO_Sex!E37</f>
        <v/>
      </c>
      <c r="E32" s="1"/>
      <c r="F32" s="31" t="str">
        <f>AP_CRONO_Sex!G34</f>
        <v/>
      </c>
      <c r="G32" s="31" t="str">
        <f>AP_CRONO_Sex!H34</f>
        <v/>
      </c>
      <c r="H32" s="31" t="str">
        <f>AP_CRONO_Sex!I34</f>
        <v/>
      </c>
      <c r="I32" s="31" t="str">
        <f>AP_CRONO_Sex!J34</f>
        <v/>
      </c>
      <c r="J32" s="31" t="str">
        <f>AP_CRONO_Sex!K34</f>
        <v/>
      </c>
      <c r="K32" s="31" t="str">
        <f>AP_CRONO_Sex!L34</f>
        <v/>
      </c>
      <c r="L32" s="31" t="str">
        <f>AP_CRONO_Sex!M34</f>
        <v/>
      </c>
      <c r="M32" s="31" t="str">
        <f>AP_CRONO_Sex!N34</f>
        <v/>
      </c>
      <c r="N32" s="31" t="str">
        <f>AP_CRONO_Sex!O34</f>
        <v/>
      </c>
      <c r="O32" s="31" t="str">
        <f>AP_CRONO_Sex!P34</f>
        <v/>
      </c>
      <c r="P32" s="31" t="str">
        <f>AP_CRONO_Sex!Q34</f>
        <v/>
      </c>
      <c r="Q32" s="31" t="str">
        <f>AP_CRONO_Sex!R34</f>
        <v/>
      </c>
      <c r="R32" s="29" t="str">
        <f t="shared" si="0"/>
        <v/>
      </c>
      <c r="S32" s="29" t="str">
        <f t="shared" si="1"/>
        <v/>
      </c>
    </row>
    <row r="33" spans="3:17" x14ac:dyDescent="0.3">
      <c r="C33" s="36">
        <f>SUMIFS(ENCOMENDA!K:K,ENCOMENDA!A:A,B33,ENCOMENDA!L:L,D$1)</f>
        <v>0</v>
      </c>
      <c r="D33" s="29" t="str">
        <f>AP_CRONO_Sex!E38</f>
        <v/>
      </c>
      <c r="E33" s="1"/>
      <c r="F33" s="31" t="str">
        <f>AP_CRONO_Sex!G35</f>
        <v/>
      </c>
      <c r="G33" s="31" t="str">
        <f>AP_CRONO_Sex!H35</f>
        <v/>
      </c>
      <c r="H33" s="31" t="str">
        <f>AP_CRONO_Sex!I35</f>
        <v/>
      </c>
      <c r="I33" s="31" t="str">
        <f>AP_CRONO_Sex!J35</f>
        <v/>
      </c>
      <c r="J33" s="31" t="str">
        <f>AP_CRONO_Sex!K35</f>
        <v/>
      </c>
      <c r="K33" s="31" t="str">
        <f>AP_CRONO_Sex!L35</f>
        <v/>
      </c>
      <c r="L33" s="31" t="str">
        <f>AP_CRONO_Sex!M35</f>
        <v/>
      </c>
      <c r="M33" s="31" t="str">
        <f>AP_CRONO_Sex!N35</f>
        <v/>
      </c>
      <c r="N33" s="31" t="str">
        <f>AP_CRONO_Sex!O35</f>
        <v/>
      </c>
      <c r="O33" s="31" t="str">
        <f>AP_CRONO_Sex!P35</f>
        <v/>
      </c>
      <c r="P33" s="31" t="str">
        <f>AP_CRONO_Sex!Q35</f>
        <v/>
      </c>
      <c r="Q33" s="31" t="str">
        <f>AP_CRONO_Sex!R35</f>
        <v/>
      </c>
    </row>
    <row r="34" spans="3:17" x14ac:dyDescent="0.3">
      <c r="C34" s="36">
        <f>SUMIFS(ENCOMENDA!K:K,ENCOMENDA!A:A,B34,ENCOMENDA!L:L,D$1)</f>
        <v>0</v>
      </c>
    </row>
    <row r="35" spans="3:17" x14ac:dyDescent="0.3">
      <c r="C35" s="36">
        <f>SUMIFS(ENCOMENDA!K:K,ENCOMENDA!A:A,B35,ENCOMENDA!L:L,D$1)</f>
        <v>0</v>
      </c>
    </row>
  </sheetData>
  <autoFilter ref="A7:Q30" xr:uid="{6D6CBCE8-2285-4CAB-8F9F-71DDD9B4BE14}">
    <filterColumn colId="4" showButton="0"/>
    <sortState ref="A8:Q33">
      <sortCondition ref="Q7:Q30"/>
    </sortState>
  </autoFilter>
  <mergeCells count="2">
    <mergeCell ref="E7:F7"/>
    <mergeCell ref="F3:G3"/>
  </mergeCells>
  <conditionalFormatting sqref="D8:D33 F8:Q33">
    <cfRule type="cellIs" dxfId="17" priority="1" operator="lessThan">
      <formula>$T$8</formula>
    </cfRule>
  </conditionalFormatting>
  <conditionalFormatting sqref="D8:D33 F8:Q33">
    <cfRule type="cellIs" dxfId="16" priority="2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BFE-EB42-430F-8026-1FDF43A8629B}">
  <sheetPr codeName="Planilha10"/>
  <dimension ref="A1:U32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A1" s="38" t="s">
        <v>117</v>
      </c>
      <c r="D1" s="39" t="s">
        <v>106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93" t="s">
        <v>89</v>
      </c>
      <c r="G3" s="93"/>
    </row>
    <row r="7" spans="1:21" s="26" customFormat="1" ht="33" customHeight="1" x14ac:dyDescent="0.3">
      <c r="A7" s="27" t="s">
        <v>74</v>
      </c>
      <c r="B7" s="27" t="s">
        <v>75</v>
      </c>
      <c r="C7" s="27" t="s">
        <v>76</v>
      </c>
      <c r="D7" s="32" t="str">
        <f>AP_CRONO_SEG!E9</f>
        <v>PESAGEM</v>
      </c>
      <c r="E7" s="92" t="str">
        <f>AP_CRONO_SEG!F9</f>
        <v>INC_BATIMENTO</v>
      </c>
      <c r="F7" s="92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>
        <v>1</v>
      </c>
      <c r="B8" t="s">
        <v>28</v>
      </c>
      <c r="C8" s="36">
        <f>SUMIFS(ENCOMENDA!K:K,ENCOMENDA!A:A,B8,ENCOMENDA!L:L,D$1)</f>
        <v>33.6</v>
      </c>
      <c r="D8" s="29">
        <f>AP_CRONO_Sab!E10</f>
        <v>0.19305555555555556</v>
      </c>
      <c r="E8" s="29">
        <v>0.21388888888888891</v>
      </c>
      <c r="F8" s="29">
        <f>AP_CRONO_Sab!G10</f>
        <v>0.2277777777777778</v>
      </c>
      <c r="G8" s="29">
        <f>AP_CRONO_Sab!H10</f>
        <v>0.2277777777777778</v>
      </c>
      <c r="H8" s="29">
        <f>AP_CRONO_Sab!I10</f>
        <v>0.23125000000000001</v>
      </c>
      <c r="I8" s="29">
        <f>AP_CRONO_Sab!J10</f>
        <v>0.23958333333333334</v>
      </c>
      <c r="J8" s="29">
        <f>AP_CRONO_Sab!K10</f>
        <v>0.24791666666666667</v>
      </c>
      <c r="K8" s="29">
        <f>AP_CRONO_Sab!L10</f>
        <v>0.25138888888888888</v>
      </c>
      <c r="L8" s="29">
        <f>AP_CRONO_Sab!M10</f>
        <v>0.27916666666666667</v>
      </c>
      <c r="M8" s="29">
        <f>AP_CRONO_Sab!N10</f>
        <v>0.34513888888888888</v>
      </c>
      <c r="N8" s="29">
        <f>AP_CRONO_Sab!O10</f>
        <v>0.36944444444444446</v>
      </c>
      <c r="O8" s="29">
        <f>AP_CRONO_Sab!P10</f>
        <v>0.43541666666666667</v>
      </c>
      <c r="P8" s="29">
        <f>AP_CRONO_Sab!Q10</f>
        <v>0.46805555555555556</v>
      </c>
      <c r="Q8" s="29">
        <f>AP_CRONO_Sab!R10</f>
        <v>0.5131944444444444</v>
      </c>
      <c r="T8" s="30">
        <f>Relogio</f>
        <v>0.66748842592592583</v>
      </c>
      <c r="U8" s="29">
        <f>T8+S1</f>
        <v>0.66818287037037027</v>
      </c>
    </row>
    <row r="9" spans="1:21" s="26" customFormat="1" x14ac:dyDescent="0.3">
      <c r="A9">
        <v>1</v>
      </c>
      <c r="B9" t="s">
        <v>56</v>
      </c>
      <c r="C9" s="36">
        <f>SUMIFS(ENCOMENDA!K:K,ENCOMENDA!A:A,B9,ENCOMENDA!L:L,D$1)</f>
        <v>10.799999999999999</v>
      </c>
      <c r="D9" s="29">
        <f>AP_CRONO_Sab!E11</f>
        <v>0.19861111111111113</v>
      </c>
      <c r="E9" s="29">
        <v>0.21597222222222223</v>
      </c>
      <c r="F9" s="29">
        <f>AP_CRONO_Sab!G11</f>
        <v>0.22986111111111113</v>
      </c>
      <c r="G9" s="29">
        <f>AP_CRONO_Sab!H11</f>
        <v>0.22986111111111113</v>
      </c>
      <c r="H9" s="29">
        <f>AP_CRONO_Sab!I11</f>
        <v>0.23333333333333334</v>
      </c>
      <c r="I9" s="29">
        <f>AP_CRONO_Sab!J11</f>
        <v>0.27847222222222223</v>
      </c>
      <c r="J9" s="29">
        <f>AP_CRONO_Sab!K11</f>
        <v>0.29930555555555555</v>
      </c>
      <c r="K9" s="29">
        <f>AP_CRONO_Sab!L11</f>
        <v>0.33055555555555555</v>
      </c>
      <c r="L9" s="29">
        <f>AP_CRONO_Sab!M11</f>
        <v>0.35138888888888886</v>
      </c>
      <c r="M9" s="29">
        <f>AP_CRONO_Sab!N11</f>
        <v>0.39652777777777776</v>
      </c>
      <c r="N9" s="29">
        <f>AP_CRONO_Sab!O11</f>
        <v>0.42777777777777776</v>
      </c>
      <c r="O9" s="29">
        <f>AP_CRONO_Sab!P11</f>
        <v>0.49374999999999997</v>
      </c>
      <c r="P9" s="29">
        <f>AP_CRONO_Sab!Q11</f>
        <v>0.49722222222222218</v>
      </c>
      <c r="Q9" s="29">
        <f>AP_CRONO_Sab!R11</f>
        <v>0.54236111111111107</v>
      </c>
      <c r="R9" s="29">
        <f t="shared" ref="R9:R32" si="0">IFERROR(D9-D8,"")</f>
        <v>5.5555555555555636E-3</v>
      </c>
      <c r="S9" s="29">
        <f>IF(E8=0,"",E9-E8)</f>
        <v>2.0833333333333259E-3</v>
      </c>
    </row>
    <row r="10" spans="1:21" s="26" customFormat="1" x14ac:dyDescent="0.3">
      <c r="A10">
        <v>2</v>
      </c>
      <c r="B10" t="s">
        <v>46</v>
      </c>
      <c r="C10" s="36">
        <v>5</v>
      </c>
      <c r="D10" s="29">
        <f>AP_CRONO_Sab!E12</f>
        <v>0.20416666666666669</v>
      </c>
      <c r="E10" s="29">
        <v>0.25347222222222221</v>
      </c>
      <c r="F10" s="29">
        <f>AP_CRONO_Sab!G12</f>
        <v>0.2673611111111111</v>
      </c>
      <c r="G10" s="29">
        <f>AP_CRONO_Sab!H12</f>
        <v>0.2673611111111111</v>
      </c>
      <c r="H10" s="29">
        <f>AP_CRONO_Sab!I12</f>
        <v>0.27083333333333331</v>
      </c>
      <c r="I10" s="29">
        <f>AP_CRONO_Sab!J12</f>
        <v>0.31597222222222221</v>
      </c>
      <c r="J10" s="29">
        <f>AP_CRONO_Sab!K12</f>
        <v>0.33680555555555552</v>
      </c>
      <c r="K10" s="29">
        <f>AP_CRONO_Sab!L12</f>
        <v>0.36805555555555552</v>
      </c>
      <c r="L10" s="29">
        <f>AP_CRONO_Sab!M12</f>
        <v>0.38888888888888884</v>
      </c>
      <c r="M10" s="29">
        <f>AP_CRONO_Sab!N12</f>
        <v>0.43402777777777773</v>
      </c>
      <c r="N10" s="29">
        <f>AP_CRONO_Sab!O12</f>
        <v>0.46527777777777773</v>
      </c>
      <c r="O10" s="29">
        <f>AP_CRONO_Sab!P12</f>
        <v>0.53125</v>
      </c>
      <c r="P10" s="29">
        <f>AP_CRONO_Sab!Q12</f>
        <v>0.53472222222222221</v>
      </c>
      <c r="Q10" s="29">
        <f>AP_CRONO_Sab!R12</f>
        <v>0.57986111111111105</v>
      </c>
      <c r="R10" s="29">
        <f t="shared" si="0"/>
        <v>5.5555555555555636E-3</v>
      </c>
      <c r="S10" s="29">
        <f t="shared" ref="S10:S32" si="1">IF(E9=0,"",E10-E9)</f>
        <v>3.7499999999999978E-2</v>
      </c>
    </row>
    <row r="11" spans="1:21" s="26" customFormat="1" x14ac:dyDescent="0.3">
      <c r="A11">
        <v>2</v>
      </c>
      <c r="B11" t="s">
        <v>23</v>
      </c>
      <c r="C11" s="36">
        <f>SUMIFS(ENCOMENDA!K:K,ENCOMENDA!A:A,B11,ENCOMENDA!L:L,D$1)</f>
        <v>7</v>
      </c>
      <c r="D11" s="29">
        <f>AP_CRONO_Sab!E13</f>
        <v>0.20972222222222225</v>
      </c>
      <c r="E11" s="29">
        <v>0.25347222222222221</v>
      </c>
      <c r="F11" s="29">
        <f>AP_CRONO_Sab!G13</f>
        <v>0.2673611111111111</v>
      </c>
      <c r="G11" s="29">
        <f>AP_CRONO_Sab!H13</f>
        <v>0.2673611111111111</v>
      </c>
      <c r="H11" s="29">
        <f>AP_CRONO_Sab!I13</f>
        <v>0.27083333333333331</v>
      </c>
      <c r="I11" s="29">
        <f>AP_CRONO_Sab!J13</f>
        <v>0.31597222222222221</v>
      </c>
      <c r="J11" s="29">
        <f>AP_CRONO_Sab!K13</f>
        <v>0.33680555555555552</v>
      </c>
      <c r="K11" s="29">
        <f>AP_CRONO_Sab!L13</f>
        <v>0.36805555555555552</v>
      </c>
      <c r="L11" s="29">
        <f>AP_CRONO_Sab!M13</f>
        <v>0.38888888888888884</v>
      </c>
      <c r="M11" s="29">
        <f>AP_CRONO_Sab!N13</f>
        <v>0.43402777777777773</v>
      </c>
      <c r="N11" s="29">
        <f>AP_CRONO_Sab!O13</f>
        <v>0.46527777777777773</v>
      </c>
      <c r="O11" s="29">
        <f>AP_CRONO_Sab!P13</f>
        <v>0.53125</v>
      </c>
      <c r="P11" s="29">
        <f>AP_CRONO_Sab!Q13</f>
        <v>0.53472222222222221</v>
      </c>
      <c r="Q11" s="29">
        <f>AP_CRONO_Sab!R13</f>
        <v>0.57986111111111105</v>
      </c>
      <c r="R11" s="29">
        <f t="shared" si="0"/>
        <v>5.5555555555555636E-3</v>
      </c>
      <c r="S11" s="29">
        <f t="shared" si="1"/>
        <v>0</v>
      </c>
    </row>
    <row r="12" spans="1:21" s="26" customFormat="1" x14ac:dyDescent="0.3">
      <c r="A12">
        <v>3</v>
      </c>
      <c r="B12" t="s">
        <v>32</v>
      </c>
      <c r="C12" s="36">
        <f>SUMIFS(ENCOMENDA!K:K,ENCOMENDA!A:A,B12,ENCOMENDA!L:L,D$1)</f>
        <v>3.0000000000000004</v>
      </c>
      <c r="D12" s="29">
        <f>AP_CRONO_Sab!E14</f>
        <v>0.21527777777777782</v>
      </c>
      <c r="E12" s="29">
        <v>0.27847222222222223</v>
      </c>
      <c r="F12" s="29">
        <f>AP_CRONO_Sab!G14</f>
        <v>0.29236111111111113</v>
      </c>
      <c r="G12" s="29">
        <f>AP_CRONO_Sab!H14</f>
        <v>0.29236111111111113</v>
      </c>
      <c r="H12" s="29">
        <f>AP_CRONO_Sab!I14</f>
        <v>0.29583333333333334</v>
      </c>
      <c r="I12" s="29">
        <f>AP_CRONO_Sab!J14</f>
        <v>0.3041666666666667</v>
      </c>
      <c r="J12" s="29">
        <f>AP_CRONO_Sab!K14</f>
        <v>0.31250000000000006</v>
      </c>
      <c r="K12" s="29">
        <f>AP_CRONO_Sab!L14</f>
        <v>0.31597222222222227</v>
      </c>
      <c r="L12" s="29">
        <f>AP_CRONO_Sab!M14</f>
        <v>0.34375000000000006</v>
      </c>
      <c r="M12" s="29">
        <f>AP_CRONO_Sab!N14</f>
        <v>0.40972222222222227</v>
      </c>
      <c r="N12" s="29">
        <f>AP_CRONO_Sab!O14</f>
        <v>0.43402777777777779</v>
      </c>
      <c r="O12" s="29">
        <f>AP_CRONO_Sab!P14</f>
        <v>0.5</v>
      </c>
      <c r="P12" s="29">
        <f>AP_CRONO_Sab!Q14</f>
        <v>0.53263888888888888</v>
      </c>
      <c r="Q12" s="29">
        <f>AP_CRONO_Sab!R14</f>
        <v>0.57777777777777772</v>
      </c>
      <c r="R12" s="29">
        <f t="shared" si="0"/>
        <v>5.5555555555555636E-3</v>
      </c>
      <c r="S12" s="29">
        <f t="shared" si="1"/>
        <v>2.5000000000000022E-2</v>
      </c>
    </row>
    <row r="13" spans="1:21" s="26" customFormat="1" x14ac:dyDescent="0.3">
      <c r="A13">
        <v>3</v>
      </c>
      <c r="B13" t="s">
        <v>24</v>
      </c>
      <c r="C13" s="36">
        <f>SUMIFS(ENCOMENDA!K:K,ENCOMENDA!A:A,B13,ENCOMENDA!L:L,D$1)</f>
        <v>2.5</v>
      </c>
      <c r="D13" s="29">
        <f>AP_CRONO_Sab!E15</f>
        <v>0.22083333333333338</v>
      </c>
      <c r="E13" s="29">
        <v>0.27916666666666667</v>
      </c>
      <c r="F13" s="29">
        <f>AP_CRONO_Sab!G15</f>
        <v>0.29305555555555557</v>
      </c>
      <c r="G13" s="29">
        <f>AP_CRONO_Sab!H15</f>
        <v>0.29305555555555557</v>
      </c>
      <c r="H13" s="29">
        <f>AP_CRONO_Sab!I15</f>
        <v>0.29652777777777778</v>
      </c>
      <c r="I13" s="29">
        <f>AP_CRONO_Sab!J15</f>
        <v>0.34166666666666667</v>
      </c>
      <c r="J13" s="29">
        <f>AP_CRONO_Sab!K15</f>
        <v>0.36249999999999999</v>
      </c>
      <c r="K13" s="29">
        <f>AP_CRONO_Sab!L15</f>
        <v>0.39374999999999999</v>
      </c>
      <c r="L13" s="29">
        <f>AP_CRONO_Sab!M15</f>
        <v>0.4145833333333333</v>
      </c>
      <c r="M13" s="29">
        <f>AP_CRONO_Sab!N15</f>
        <v>0.4597222222222222</v>
      </c>
      <c r="N13" s="29">
        <f>AP_CRONO_Sab!O15</f>
        <v>0.4909722222222222</v>
      </c>
      <c r="O13" s="29">
        <f>AP_CRONO_Sab!P15</f>
        <v>0.55694444444444446</v>
      </c>
      <c r="P13" s="29">
        <f>AP_CRONO_Sab!Q15</f>
        <v>0.56041666666666667</v>
      </c>
      <c r="Q13" s="29">
        <f>AP_CRONO_Sab!R15</f>
        <v>0.60555555555555551</v>
      </c>
      <c r="R13" s="29">
        <f t="shared" si="0"/>
        <v>5.5555555555555636E-3</v>
      </c>
      <c r="S13" s="29">
        <f t="shared" si="1"/>
        <v>6.9444444444444198E-4</v>
      </c>
    </row>
    <row r="14" spans="1:21" s="26" customFormat="1" x14ac:dyDescent="0.3">
      <c r="A14">
        <v>3</v>
      </c>
      <c r="B14" t="s">
        <v>115</v>
      </c>
      <c r="C14" s="36">
        <f>SUMIFS(ENCOMENDA!K:K,ENCOMENDA!A:A,B14,ENCOMENDA!L:L,D$1)</f>
        <v>1.5</v>
      </c>
      <c r="D14" s="29">
        <f>AP_CRONO_Sab!E16</f>
        <v>0.22638888888888895</v>
      </c>
      <c r="E14" s="29">
        <v>0.27986111111111112</v>
      </c>
      <c r="F14" s="29">
        <f>AP_CRONO_Sab!G16</f>
        <v>0.29375000000000001</v>
      </c>
      <c r="G14" s="29">
        <f>AP_CRONO_Sab!H16</f>
        <v>0.29375000000000001</v>
      </c>
      <c r="H14" s="29">
        <f>AP_CRONO_Sab!I16</f>
        <v>0.29722222222222222</v>
      </c>
      <c r="I14" s="29">
        <f>AP_CRONO_Sab!J16</f>
        <v>0.34236111111111112</v>
      </c>
      <c r="J14" s="29">
        <f>AP_CRONO_Sab!K16</f>
        <v>0.36319444444444443</v>
      </c>
      <c r="K14" s="29">
        <f>AP_CRONO_Sab!L16</f>
        <v>0.39444444444444443</v>
      </c>
      <c r="L14" s="29">
        <f>AP_CRONO_Sab!M16</f>
        <v>0.41527777777777775</v>
      </c>
      <c r="M14" s="29">
        <f>AP_CRONO_Sab!N16</f>
        <v>0.46041666666666664</v>
      </c>
      <c r="N14" s="29">
        <f>AP_CRONO_Sab!O16</f>
        <v>0.49166666666666664</v>
      </c>
      <c r="O14" s="29">
        <f>AP_CRONO_Sab!P16</f>
        <v>0.55763888888888891</v>
      </c>
      <c r="P14" s="29">
        <f>AP_CRONO_Sab!Q16</f>
        <v>0.56111111111111112</v>
      </c>
      <c r="Q14" s="29">
        <f>AP_CRONO_Sab!R16</f>
        <v>0.60624999999999996</v>
      </c>
      <c r="R14" s="29">
        <f t="shared" si="0"/>
        <v>5.5555555555555636E-3</v>
      </c>
      <c r="S14" s="29">
        <f t="shared" si="1"/>
        <v>6.9444444444444198E-4</v>
      </c>
    </row>
    <row r="15" spans="1:21" x14ac:dyDescent="0.3">
      <c r="A15">
        <v>4</v>
      </c>
      <c r="B15" t="s">
        <v>25</v>
      </c>
      <c r="C15" s="36">
        <f>SUMIFS(ENCOMENDA!K:K,ENCOMENDA!A:A,B15,ENCOMENDA!L:L,D$1)</f>
        <v>15.000000000000004</v>
      </c>
      <c r="D15" s="31">
        <f>AP_CRONO_Sab!E17</f>
        <v>0.23194444444444451</v>
      </c>
      <c r="E15" s="29">
        <v>0.30208333333333331</v>
      </c>
      <c r="F15" s="31">
        <f>AP_CRONO_Sab!G17</f>
        <v>0.31597222222222221</v>
      </c>
      <c r="G15" s="31">
        <f>AP_CRONO_Sab!H17</f>
        <v>0.31597222222222221</v>
      </c>
      <c r="H15" s="31">
        <f>AP_CRONO_Sab!I17</f>
        <v>0.31944444444444442</v>
      </c>
      <c r="I15" s="31">
        <f>AP_CRONO_Sab!J17</f>
        <v>0.32777777777777778</v>
      </c>
      <c r="J15" s="31">
        <f>AP_CRONO_Sab!K17</f>
        <v>0.33611111111111114</v>
      </c>
      <c r="K15" s="31">
        <f>AP_CRONO_Sab!L17</f>
        <v>0.33958333333333335</v>
      </c>
      <c r="L15" s="31">
        <f>AP_CRONO_Sab!M17</f>
        <v>0.36736111111111114</v>
      </c>
      <c r="M15" s="31">
        <f>AP_CRONO_Sab!N17</f>
        <v>0.43333333333333335</v>
      </c>
      <c r="N15" s="31">
        <f>AP_CRONO_Sab!O17</f>
        <v>0.45763888888888893</v>
      </c>
      <c r="O15" s="31">
        <f>AP_CRONO_Sab!P17</f>
        <v>0.52361111111111114</v>
      </c>
      <c r="P15" s="31">
        <f>AP_CRONO_Sab!Q17</f>
        <v>0.55625000000000002</v>
      </c>
      <c r="Q15" s="31">
        <f>AP_CRONO_Sab!R17</f>
        <v>0.60138888888888886</v>
      </c>
      <c r="R15" s="29">
        <f t="shared" si="0"/>
        <v>5.5555555555555636E-3</v>
      </c>
      <c r="S15" s="29">
        <f t="shared" si="1"/>
        <v>2.2222222222222199E-2</v>
      </c>
    </row>
    <row r="16" spans="1:21" x14ac:dyDescent="0.3">
      <c r="A16">
        <v>5</v>
      </c>
      <c r="B16" t="s">
        <v>33</v>
      </c>
      <c r="C16" s="36">
        <f>SUMIFS(ENCOMENDA!K:K,ENCOMENDA!A:A,B16,ENCOMENDA!L:L,D$1)</f>
        <v>33.000000000000007</v>
      </c>
      <c r="D16" s="31">
        <f>AP_CRONO_Sab!E18</f>
        <v>0.23750000000000007</v>
      </c>
      <c r="E16" s="29">
        <v>0.3263888888888889</v>
      </c>
      <c r="F16" s="31">
        <f>AP_CRONO_Sab!G18</f>
        <v>0.34027777777777779</v>
      </c>
      <c r="G16" s="31">
        <f>AP_CRONO_Sab!H18</f>
        <v>0.34027777777777779</v>
      </c>
      <c r="H16" s="31">
        <f>AP_CRONO_Sab!I18</f>
        <v>0.34375</v>
      </c>
      <c r="I16" s="31">
        <f>AP_CRONO_Sab!J18</f>
        <v>0.35208333333333336</v>
      </c>
      <c r="J16" s="31">
        <f>AP_CRONO_Sab!K18</f>
        <v>0.36041666666666672</v>
      </c>
      <c r="K16" s="31">
        <f>AP_CRONO_Sab!L18</f>
        <v>0.36388888888888893</v>
      </c>
      <c r="L16" s="31">
        <f>AP_CRONO_Sab!M18</f>
        <v>0.39166666666666672</v>
      </c>
      <c r="M16" s="31">
        <f>AP_CRONO_Sab!N18</f>
        <v>0.45763888888888893</v>
      </c>
      <c r="N16" s="31">
        <f>AP_CRONO_Sab!O18</f>
        <v>0.48194444444444451</v>
      </c>
      <c r="O16" s="31">
        <f>AP_CRONO_Sab!P18</f>
        <v>0.54791666666666672</v>
      </c>
      <c r="P16" s="31">
        <f>AP_CRONO_Sab!Q18</f>
        <v>0.5805555555555556</v>
      </c>
      <c r="Q16" s="31">
        <f>AP_CRONO_Sab!R18</f>
        <v>0.62569444444444444</v>
      </c>
      <c r="R16" s="29">
        <f t="shared" si="0"/>
        <v>5.5555555555555636E-3</v>
      </c>
      <c r="S16" s="29">
        <f t="shared" si="1"/>
        <v>2.430555555555558E-2</v>
      </c>
    </row>
    <row r="17" spans="1:19" x14ac:dyDescent="0.3">
      <c r="A17">
        <v>5</v>
      </c>
      <c r="B17" t="s">
        <v>20</v>
      </c>
      <c r="C17" s="36">
        <f>SUMIFS(ENCOMENDA!K:K,ENCOMENDA!A:A,B17,ENCOMENDA!L:L,D$1)</f>
        <v>42.000000000000007</v>
      </c>
      <c r="D17" s="31">
        <f>AP_CRONO_Sab!E19</f>
        <v>0.24305555555555564</v>
      </c>
      <c r="E17" s="29">
        <v>0.33333333333333331</v>
      </c>
      <c r="F17" s="31">
        <f>AP_CRONO_Sab!G19</f>
        <v>0.34722222222222221</v>
      </c>
      <c r="G17" s="31">
        <f>AP_CRONO_Sab!H19</f>
        <v>0.34722222222222221</v>
      </c>
      <c r="H17" s="31">
        <f>AP_CRONO_Sab!I19</f>
        <v>0.35069444444444442</v>
      </c>
      <c r="I17" s="31">
        <f>AP_CRONO_Sab!J19</f>
        <v>0.35902777777777778</v>
      </c>
      <c r="J17" s="31">
        <f>AP_CRONO_Sab!K19</f>
        <v>0.36736111111111114</v>
      </c>
      <c r="K17" s="31">
        <f>AP_CRONO_Sab!L19</f>
        <v>0.37083333333333335</v>
      </c>
      <c r="L17" s="31">
        <f>AP_CRONO_Sab!M19</f>
        <v>0.39861111111111114</v>
      </c>
      <c r="M17" s="31">
        <f>AP_CRONO_Sab!N19</f>
        <v>0.46458333333333335</v>
      </c>
      <c r="N17" s="31">
        <f>AP_CRONO_Sab!O19</f>
        <v>0.48888888888888893</v>
      </c>
      <c r="O17" s="31">
        <f>AP_CRONO_Sab!P19</f>
        <v>0.55486111111111114</v>
      </c>
      <c r="P17" s="31">
        <f>AP_CRONO_Sab!Q19</f>
        <v>0.58750000000000002</v>
      </c>
      <c r="Q17" s="31">
        <f>AP_CRONO_Sab!R19</f>
        <v>0.63263888888888886</v>
      </c>
      <c r="R17" s="29">
        <f t="shared" si="0"/>
        <v>5.5555555555555636E-3</v>
      </c>
      <c r="S17" s="29">
        <f t="shared" si="1"/>
        <v>6.9444444444444198E-3</v>
      </c>
    </row>
    <row r="18" spans="1:19" x14ac:dyDescent="0.3">
      <c r="A18">
        <v>6</v>
      </c>
      <c r="B18" t="s">
        <v>27</v>
      </c>
      <c r="C18" s="36">
        <f>SUMIFS(ENCOMENDA!K:K,ENCOMENDA!A:A,B18,ENCOMENDA!L:L,D$1)</f>
        <v>1.35</v>
      </c>
      <c r="D18" s="31">
        <f>AP_CRONO_Sab!E20</f>
        <v>0.2486111111111112</v>
      </c>
      <c r="E18" s="29">
        <v>0.37847222222222227</v>
      </c>
      <c r="F18" s="31">
        <f>AP_CRONO_Sab!G20</f>
        <v>0.39236111111111116</v>
      </c>
      <c r="G18" s="31">
        <f>AP_CRONO_Sab!H20</f>
        <v>0.39236111111111116</v>
      </c>
      <c r="H18" s="31">
        <f>AP_CRONO_Sab!I20</f>
        <v>0.39583333333333337</v>
      </c>
      <c r="I18" s="31">
        <f>AP_CRONO_Sab!J20</f>
        <v>0.40416666666666673</v>
      </c>
      <c r="J18" s="31">
        <f>AP_CRONO_Sab!K20</f>
        <v>0.41250000000000009</v>
      </c>
      <c r="K18" s="31">
        <f>AP_CRONO_Sab!L20</f>
        <v>0.4159722222222223</v>
      </c>
      <c r="L18" s="31">
        <f>AP_CRONO_Sab!M20</f>
        <v>0.44375000000000009</v>
      </c>
      <c r="M18" s="31">
        <f>AP_CRONO_Sab!N20</f>
        <v>0.5097222222222223</v>
      </c>
      <c r="N18" s="31">
        <f>AP_CRONO_Sab!O20</f>
        <v>0.53402777777777788</v>
      </c>
      <c r="O18" s="31">
        <f>AP_CRONO_Sab!P20</f>
        <v>0.60000000000000009</v>
      </c>
      <c r="P18" s="31">
        <f>AP_CRONO_Sab!Q20</f>
        <v>0.63263888888888897</v>
      </c>
      <c r="Q18" s="31">
        <f>AP_CRONO_Sab!R20</f>
        <v>0.67777777777777781</v>
      </c>
      <c r="R18" s="29">
        <f t="shared" si="0"/>
        <v>5.5555555555555636E-3</v>
      </c>
      <c r="S18" s="29">
        <f t="shared" si="1"/>
        <v>4.5138888888888951E-2</v>
      </c>
    </row>
    <row r="19" spans="1:19" x14ac:dyDescent="0.3">
      <c r="A19">
        <v>6</v>
      </c>
      <c r="B19" t="s">
        <v>22</v>
      </c>
      <c r="C19" s="36">
        <f>SUMIFS(ENCOMENDA!K:K,ENCOMENDA!A:A,B19,ENCOMENDA!L:L,D$1)</f>
        <v>7.8000000000000016</v>
      </c>
      <c r="D19" s="31">
        <f>AP_CRONO_Sab!E21</f>
        <v>0.25416666666666676</v>
      </c>
      <c r="E19" s="29">
        <v>0.37847222222222227</v>
      </c>
      <c r="F19" s="31">
        <f>AP_CRONO_Sab!G21</f>
        <v>0.39236111111111116</v>
      </c>
      <c r="G19" s="31">
        <f>AP_CRONO_Sab!H21</f>
        <v>0.39236111111111116</v>
      </c>
      <c r="H19" s="31">
        <f>AP_CRONO_Sab!I21</f>
        <v>0.39583333333333337</v>
      </c>
      <c r="I19" s="31">
        <f>AP_CRONO_Sab!J21</f>
        <v>0.40416666666666673</v>
      </c>
      <c r="J19" s="31">
        <f>AP_CRONO_Sab!K21</f>
        <v>0.41250000000000009</v>
      </c>
      <c r="K19" s="31">
        <f>AP_CRONO_Sab!L21</f>
        <v>0.4159722222222223</v>
      </c>
      <c r="L19" s="31">
        <f>AP_CRONO_Sab!M21</f>
        <v>0.44375000000000009</v>
      </c>
      <c r="M19" s="31">
        <f>AP_CRONO_Sab!N21</f>
        <v>0.5097222222222223</v>
      </c>
      <c r="N19" s="31">
        <f>AP_CRONO_Sab!O21</f>
        <v>0.53402777777777788</v>
      </c>
      <c r="O19" s="31">
        <f>AP_CRONO_Sab!P21</f>
        <v>0.60000000000000009</v>
      </c>
      <c r="P19" s="31">
        <f>AP_CRONO_Sab!Q21</f>
        <v>0.63263888888888897</v>
      </c>
      <c r="Q19" s="31">
        <f>AP_CRONO_Sab!R21</f>
        <v>0.67777777777777781</v>
      </c>
      <c r="R19" s="29">
        <f t="shared" si="0"/>
        <v>5.5555555555555636E-3</v>
      </c>
      <c r="S19" s="29">
        <f t="shared" si="1"/>
        <v>0</v>
      </c>
    </row>
    <row r="20" spans="1:19" x14ac:dyDescent="0.3">
      <c r="A20">
        <v>6</v>
      </c>
      <c r="B20" t="s">
        <v>35</v>
      </c>
      <c r="C20" s="36">
        <f>SUMIFS(ENCOMENDA!K:K,ENCOMENDA!A:A,B20,ENCOMENDA!L:L,D$1)</f>
        <v>6.0000000000000009</v>
      </c>
      <c r="D20" s="31">
        <f>AP_CRONO_Sab!E22</f>
        <v>0.2597222222222223</v>
      </c>
      <c r="E20" s="29">
        <v>0.37847222222222227</v>
      </c>
      <c r="F20" s="31">
        <f>AP_CRONO_Sab!G22</f>
        <v>0.39236111111111116</v>
      </c>
      <c r="G20" s="31">
        <f>AP_CRONO_Sab!H22</f>
        <v>0.39236111111111116</v>
      </c>
      <c r="H20" s="31">
        <f>AP_CRONO_Sab!I22</f>
        <v>0.39583333333333337</v>
      </c>
      <c r="I20" s="31">
        <f>AP_CRONO_Sab!J22</f>
        <v>0.40416666666666673</v>
      </c>
      <c r="J20" s="31">
        <f>AP_CRONO_Sab!K22</f>
        <v>0.41250000000000009</v>
      </c>
      <c r="K20" s="31">
        <f>AP_CRONO_Sab!L22</f>
        <v>0.4159722222222223</v>
      </c>
      <c r="L20" s="31">
        <f>AP_CRONO_Sab!M22</f>
        <v>0.44375000000000009</v>
      </c>
      <c r="M20" s="31">
        <f>AP_CRONO_Sab!N22</f>
        <v>0.5097222222222223</v>
      </c>
      <c r="N20" s="31">
        <f>AP_CRONO_Sab!O22</f>
        <v>0.53402777777777788</v>
      </c>
      <c r="O20" s="31">
        <f>AP_CRONO_Sab!P22</f>
        <v>0.60000000000000009</v>
      </c>
      <c r="P20" s="31">
        <f>AP_CRONO_Sab!Q22</f>
        <v>0.63263888888888897</v>
      </c>
      <c r="Q20" s="31">
        <f>AP_CRONO_Sab!R22</f>
        <v>0.67777777777777781</v>
      </c>
      <c r="R20" s="29">
        <f t="shared" si="0"/>
        <v>5.5555555555555358E-3</v>
      </c>
      <c r="S20" s="29">
        <f t="shared" si="1"/>
        <v>0</v>
      </c>
    </row>
    <row r="21" spans="1:19" x14ac:dyDescent="0.3">
      <c r="A21">
        <v>6</v>
      </c>
      <c r="B21" t="s">
        <v>26</v>
      </c>
      <c r="C21" s="36">
        <v>3</v>
      </c>
      <c r="D21" s="31">
        <f>AP_CRONO_Sab!E23</f>
        <v>0.26527777777777783</v>
      </c>
      <c r="E21" s="29">
        <v>0.37847222222222227</v>
      </c>
      <c r="F21" s="31">
        <f>AP_CRONO_Sab!G23</f>
        <v>0.39236111111111116</v>
      </c>
      <c r="G21" s="31">
        <f>AP_CRONO_Sab!H23</f>
        <v>0.39236111111111116</v>
      </c>
      <c r="H21" s="31">
        <f>AP_CRONO_Sab!I23</f>
        <v>0.39583333333333337</v>
      </c>
      <c r="I21" s="31">
        <f>AP_CRONO_Sab!J23</f>
        <v>0.44097222222222227</v>
      </c>
      <c r="J21" s="31">
        <f>AP_CRONO_Sab!K23</f>
        <v>0.46180555555555558</v>
      </c>
      <c r="K21" s="31">
        <f>AP_CRONO_Sab!L23</f>
        <v>0.49305555555555558</v>
      </c>
      <c r="L21" s="31">
        <f>AP_CRONO_Sab!M23</f>
        <v>0.51388888888888895</v>
      </c>
      <c r="M21" s="31">
        <f>AP_CRONO_Sab!N23</f>
        <v>0.55902777777777779</v>
      </c>
      <c r="N21" s="31">
        <f>AP_CRONO_Sab!O23</f>
        <v>0.59027777777777779</v>
      </c>
      <c r="O21" s="31">
        <f>AP_CRONO_Sab!P23</f>
        <v>0.65625</v>
      </c>
      <c r="P21" s="31">
        <f>AP_CRONO_Sab!Q23</f>
        <v>0.65972222222222221</v>
      </c>
      <c r="Q21" s="31">
        <f>AP_CRONO_Sab!R23</f>
        <v>0.70486111111111105</v>
      </c>
      <c r="R21" s="29">
        <f t="shared" si="0"/>
        <v>5.5555555555555358E-3</v>
      </c>
      <c r="S21" s="29">
        <f t="shared" si="1"/>
        <v>0</v>
      </c>
    </row>
    <row r="22" spans="1:19" x14ac:dyDescent="0.3">
      <c r="A22">
        <v>6</v>
      </c>
      <c r="B22" t="s">
        <v>21</v>
      </c>
      <c r="C22" s="36">
        <v>45</v>
      </c>
      <c r="D22" s="31">
        <f>AP_CRONO_Sab!E24</f>
        <v>0.27083333333333337</v>
      </c>
      <c r="E22" s="29">
        <v>0.40625</v>
      </c>
      <c r="F22" s="31">
        <f>AP_CRONO_Sab!G24</f>
        <v>0.4201388888888889</v>
      </c>
      <c r="G22" s="31">
        <f>AP_CRONO_Sab!H24</f>
        <v>0.4201388888888889</v>
      </c>
      <c r="H22" s="31">
        <f>AP_CRONO_Sab!I24</f>
        <v>0.4236111111111111</v>
      </c>
      <c r="I22" s="31">
        <f>AP_CRONO_Sab!J24</f>
        <v>0.43194444444444446</v>
      </c>
      <c r="J22" s="31">
        <f>AP_CRONO_Sab!K24</f>
        <v>0.44027777777777782</v>
      </c>
      <c r="K22" s="31">
        <f>AP_CRONO_Sab!L24</f>
        <v>0.44375000000000003</v>
      </c>
      <c r="L22" s="31">
        <f>AP_CRONO_Sab!M24</f>
        <v>0.47152777777777782</v>
      </c>
      <c r="M22" s="31">
        <f>AP_CRONO_Sab!N24</f>
        <v>0.53750000000000009</v>
      </c>
      <c r="N22" s="31">
        <f>AP_CRONO_Sab!O24</f>
        <v>0.56180555555555567</v>
      </c>
      <c r="O22" s="31">
        <f>AP_CRONO_Sab!P24</f>
        <v>0.62777777777777788</v>
      </c>
      <c r="P22" s="31">
        <f>AP_CRONO_Sab!Q24</f>
        <v>0.66041666666666676</v>
      </c>
      <c r="Q22" s="31">
        <f>AP_CRONO_Sab!R24</f>
        <v>0.7055555555555556</v>
      </c>
      <c r="R22" s="29">
        <f t="shared" si="0"/>
        <v>5.5555555555555358E-3</v>
      </c>
      <c r="S22" s="29">
        <f t="shared" si="1"/>
        <v>2.7777777777777735E-2</v>
      </c>
    </row>
    <row r="23" spans="1:19" x14ac:dyDescent="0.3">
      <c r="A23">
        <v>7</v>
      </c>
      <c r="B23" t="s">
        <v>21</v>
      </c>
      <c r="C23" s="36">
        <v>45</v>
      </c>
      <c r="D23" s="31">
        <f>AP_CRONO_Sab!E25</f>
        <v>0.27638888888888891</v>
      </c>
      <c r="E23" s="29">
        <v>0.4375</v>
      </c>
      <c r="F23" s="31">
        <f>AP_CRONO_Sab!G25</f>
        <v>0.4513888888888889</v>
      </c>
      <c r="G23" s="31">
        <f>AP_CRONO_Sab!H25</f>
        <v>0.4513888888888889</v>
      </c>
      <c r="H23" s="31">
        <f>AP_CRONO_Sab!I25</f>
        <v>0.4548611111111111</v>
      </c>
      <c r="I23" s="31">
        <f>AP_CRONO_Sab!J25</f>
        <v>0.46319444444444446</v>
      </c>
      <c r="J23" s="31">
        <f>AP_CRONO_Sab!K25</f>
        <v>0.47152777777777782</v>
      </c>
      <c r="K23" s="31">
        <f>AP_CRONO_Sab!L25</f>
        <v>0.47500000000000003</v>
      </c>
      <c r="L23" s="31">
        <f>AP_CRONO_Sab!M25</f>
        <v>0.50277777777777777</v>
      </c>
      <c r="M23" s="31">
        <f>AP_CRONO_Sab!N25</f>
        <v>0.56874999999999998</v>
      </c>
      <c r="N23" s="31">
        <f>AP_CRONO_Sab!O25</f>
        <v>0.59305555555555556</v>
      </c>
      <c r="O23" s="31">
        <f>AP_CRONO_Sab!P25</f>
        <v>0.65902777777777777</v>
      </c>
      <c r="P23" s="31">
        <f>AP_CRONO_Sab!Q25</f>
        <v>0.69166666666666665</v>
      </c>
      <c r="Q23" s="31">
        <f>AP_CRONO_Sab!R25</f>
        <v>0.73680555555555549</v>
      </c>
      <c r="R23" s="29">
        <f t="shared" si="0"/>
        <v>5.5555555555555358E-3</v>
      </c>
      <c r="S23" s="29">
        <f t="shared" si="1"/>
        <v>3.125E-2</v>
      </c>
    </row>
    <row r="24" spans="1:19" x14ac:dyDescent="0.3">
      <c r="A24">
        <v>7</v>
      </c>
      <c r="B24" t="s">
        <v>50</v>
      </c>
      <c r="C24" s="36">
        <f>SUMIFS(ENCOMENDA!K:K,ENCOMENDA!A:A,B24,ENCOMENDA!L:L,D$1)</f>
        <v>0</v>
      </c>
      <c r="D24" s="31">
        <f>AP_CRONO_Sab!E26</f>
        <v>0.28194444444444444</v>
      </c>
      <c r="E24" s="29">
        <v>0.4375</v>
      </c>
      <c r="F24" s="31">
        <f>AP_CRONO_Sab!G26</f>
        <v>0.4513888888888889</v>
      </c>
      <c r="G24" s="31">
        <f>AP_CRONO_Sab!H26</f>
        <v>0.4513888888888889</v>
      </c>
      <c r="H24" s="31">
        <f>AP_CRONO_Sab!I26</f>
        <v>0.4548611111111111</v>
      </c>
      <c r="I24" s="31">
        <f>AP_CRONO_Sab!J26</f>
        <v>0.46319444444444446</v>
      </c>
      <c r="J24" s="31">
        <f>AP_CRONO_Sab!K26</f>
        <v>0.47152777777777782</v>
      </c>
      <c r="K24" s="31">
        <f>AP_CRONO_Sab!L26</f>
        <v>0.47500000000000003</v>
      </c>
      <c r="L24" s="31">
        <f>AP_CRONO_Sab!M26</f>
        <v>0.50277777777777777</v>
      </c>
      <c r="M24" s="31">
        <f>AP_CRONO_Sab!N26</f>
        <v>0.56874999999999998</v>
      </c>
      <c r="N24" s="31">
        <f>AP_CRONO_Sab!O26</f>
        <v>0.59305555555555556</v>
      </c>
      <c r="O24" s="31">
        <f>AP_CRONO_Sab!P26</f>
        <v>0.65902777777777777</v>
      </c>
      <c r="P24" s="31">
        <f>AP_CRONO_Sab!Q26</f>
        <v>0.69166666666666665</v>
      </c>
      <c r="Q24" s="31">
        <f>AP_CRONO_Sab!R26</f>
        <v>0.73680555555555549</v>
      </c>
      <c r="R24" s="29">
        <f t="shared" si="0"/>
        <v>5.5555555555555358E-3</v>
      </c>
      <c r="S24" s="29">
        <f t="shared" si="1"/>
        <v>0</v>
      </c>
    </row>
    <row r="25" spans="1:19" x14ac:dyDescent="0.3">
      <c r="A25" s="26"/>
      <c r="C25" s="36">
        <f>SUMIFS(ENCOMENDA!K:K,ENCOMENDA!A:A,B25,ENCOMENDA!L:L,D$1)</f>
        <v>0</v>
      </c>
      <c r="D25" s="31" t="str">
        <f>AP_CRONO_Sab!E27</f>
        <v/>
      </c>
      <c r="E25" s="49"/>
      <c r="F25" s="31" t="str">
        <f>AP_CRONO_Sab!G27</f>
        <v/>
      </c>
      <c r="G25" s="31" t="str">
        <f>AP_CRONO_Sab!H27</f>
        <v/>
      </c>
      <c r="H25" s="31" t="str">
        <f>AP_CRONO_Sab!I27</f>
        <v/>
      </c>
      <c r="I25" s="31" t="str">
        <f>AP_CRONO_Sab!J27</f>
        <v/>
      </c>
      <c r="J25" s="31" t="str">
        <f>AP_CRONO_Sab!K27</f>
        <v/>
      </c>
      <c r="K25" s="31" t="str">
        <f>AP_CRONO_Sab!L27</f>
        <v/>
      </c>
      <c r="L25" s="31" t="str">
        <f>AP_CRONO_Sab!M27</f>
        <v/>
      </c>
      <c r="M25" s="31" t="str">
        <f>AP_CRONO_Sab!N27</f>
        <v/>
      </c>
      <c r="N25" s="31" t="str">
        <f>AP_CRONO_Sab!O27</f>
        <v/>
      </c>
      <c r="O25" s="31" t="str">
        <f>AP_CRONO_Sab!P27</f>
        <v/>
      </c>
      <c r="P25" s="31" t="str">
        <f>AP_CRONO_Sab!Q27</f>
        <v/>
      </c>
      <c r="Q25" s="31" t="str">
        <f>AP_CRONO_Sab!R27</f>
        <v/>
      </c>
      <c r="R25" s="29" t="str">
        <f t="shared" si="0"/>
        <v/>
      </c>
      <c r="S25" s="29">
        <f t="shared" si="1"/>
        <v>-0.4375</v>
      </c>
    </row>
    <row r="26" spans="1:19" x14ac:dyDescent="0.3">
      <c r="A26" s="26"/>
      <c r="C26" s="36">
        <f>SUMIFS(ENCOMENDA!K:K,ENCOMENDA!A:A,B26,ENCOMENDA!L:L,D$1)</f>
        <v>0</v>
      </c>
      <c r="D26" s="31" t="str">
        <f>AP_CRONO_Sab!E28</f>
        <v/>
      </c>
      <c r="E26" s="49"/>
      <c r="F26" s="31" t="str">
        <f>AP_CRONO_Sab!G28</f>
        <v/>
      </c>
      <c r="G26" s="31" t="str">
        <f>AP_CRONO_Sab!H28</f>
        <v/>
      </c>
      <c r="H26" s="31" t="str">
        <f>AP_CRONO_Sab!I28</f>
        <v/>
      </c>
      <c r="I26" s="31" t="str">
        <f>AP_CRONO_Sab!J28</f>
        <v/>
      </c>
      <c r="J26" s="31" t="str">
        <f>AP_CRONO_Sab!K28</f>
        <v/>
      </c>
      <c r="K26" s="31" t="str">
        <f>AP_CRONO_Sab!L28</f>
        <v/>
      </c>
      <c r="L26" s="31" t="str">
        <f>AP_CRONO_Sab!M28</f>
        <v/>
      </c>
      <c r="M26" s="31" t="str">
        <f>AP_CRONO_Sab!N28</f>
        <v/>
      </c>
      <c r="N26" s="31" t="str">
        <f>AP_CRONO_Sab!O28</f>
        <v/>
      </c>
      <c r="O26" s="31" t="str">
        <f>AP_CRONO_Sab!P28</f>
        <v/>
      </c>
      <c r="P26" s="31" t="str">
        <f>AP_CRONO_Sab!Q28</f>
        <v/>
      </c>
      <c r="Q26" s="31" t="str">
        <f>AP_CRONO_Sab!R28</f>
        <v/>
      </c>
      <c r="R26" s="29" t="str">
        <f t="shared" si="0"/>
        <v/>
      </c>
      <c r="S26" s="29" t="str">
        <f t="shared" si="1"/>
        <v/>
      </c>
    </row>
    <row r="27" spans="1:19" x14ac:dyDescent="0.3">
      <c r="A27" s="26"/>
      <c r="C27" s="36">
        <f>SUMIFS(ENCOMENDA!K:K,ENCOMENDA!A:A,B27,ENCOMENDA!L:L,D$1)</f>
        <v>0</v>
      </c>
      <c r="D27" s="31" t="str">
        <f>AP_CRONO_Sab!E29</f>
        <v/>
      </c>
      <c r="E27" s="49"/>
      <c r="F27" s="31" t="str">
        <f>AP_CRONO_Sab!G29</f>
        <v/>
      </c>
      <c r="G27" s="31" t="str">
        <f>AP_CRONO_Sab!H29</f>
        <v/>
      </c>
      <c r="H27" s="31" t="str">
        <f>AP_CRONO_Sab!I29</f>
        <v/>
      </c>
      <c r="I27" s="31" t="str">
        <f>AP_CRONO_Sab!J29</f>
        <v/>
      </c>
      <c r="J27" s="31" t="str">
        <f>AP_CRONO_Sab!K29</f>
        <v/>
      </c>
      <c r="K27" s="31" t="str">
        <f>AP_CRONO_Sab!L29</f>
        <v/>
      </c>
      <c r="L27" s="31" t="str">
        <f>AP_CRONO_Sab!M29</f>
        <v/>
      </c>
      <c r="M27" s="31" t="str">
        <f>AP_CRONO_Sab!N29</f>
        <v/>
      </c>
      <c r="N27" s="31" t="str">
        <f>AP_CRONO_Sab!O29</f>
        <v/>
      </c>
      <c r="O27" s="31" t="str">
        <f>AP_CRONO_Sab!P29</f>
        <v/>
      </c>
      <c r="P27" s="31" t="str">
        <f>AP_CRONO_Sab!Q29</f>
        <v/>
      </c>
      <c r="Q27" s="31" t="str">
        <f>AP_CRONO_Sab!R29</f>
        <v/>
      </c>
      <c r="R27" s="29" t="str">
        <f t="shared" si="0"/>
        <v/>
      </c>
      <c r="S27" s="29" t="str">
        <f t="shared" si="1"/>
        <v/>
      </c>
    </row>
    <row r="28" spans="1:19" x14ac:dyDescent="0.3">
      <c r="A28" s="26"/>
      <c r="C28" s="36">
        <f>SUMIFS(ENCOMENDA!K:K,ENCOMENDA!A:A,B28,ENCOMENDA!L:L,D$1)</f>
        <v>0</v>
      </c>
      <c r="D28" s="31" t="str">
        <f>AP_CRONO_Sab!E30</f>
        <v/>
      </c>
      <c r="E28" s="49"/>
      <c r="F28" s="31" t="str">
        <f>AP_CRONO_Sab!G30</f>
        <v/>
      </c>
      <c r="G28" s="31" t="str">
        <f>AP_CRONO_Sab!H30</f>
        <v/>
      </c>
      <c r="H28" s="31" t="str">
        <f>AP_CRONO_Sab!I30</f>
        <v/>
      </c>
      <c r="I28" s="31" t="str">
        <f>AP_CRONO_Sab!J30</f>
        <v/>
      </c>
      <c r="J28" s="31" t="str">
        <f>AP_CRONO_Sab!K30</f>
        <v/>
      </c>
      <c r="K28" s="31" t="str">
        <f>AP_CRONO_Sab!L30</f>
        <v/>
      </c>
      <c r="L28" s="31" t="str">
        <f>AP_CRONO_Sab!M30</f>
        <v/>
      </c>
      <c r="M28" s="31" t="str">
        <f>AP_CRONO_Sab!N30</f>
        <v/>
      </c>
      <c r="N28" s="31" t="str">
        <f>AP_CRONO_Sab!O30</f>
        <v/>
      </c>
      <c r="O28" s="31" t="str">
        <f>AP_CRONO_Sab!P30</f>
        <v/>
      </c>
      <c r="P28" s="31" t="str">
        <f>AP_CRONO_Sab!Q30</f>
        <v/>
      </c>
      <c r="Q28" s="31" t="str">
        <f>AP_CRONO_Sab!R30</f>
        <v/>
      </c>
      <c r="R28" s="29" t="str">
        <f t="shared" si="0"/>
        <v/>
      </c>
      <c r="S28" s="29" t="str">
        <f t="shared" si="1"/>
        <v/>
      </c>
    </row>
    <row r="29" spans="1:19" x14ac:dyDescent="0.3">
      <c r="A29" s="26"/>
      <c r="C29" s="36">
        <f>SUMIFS(ENCOMENDA!K:K,ENCOMENDA!A:A,B29,ENCOMENDA!L:L,D$1)</f>
        <v>0</v>
      </c>
      <c r="D29" s="31" t="str">
        <f>AP_CRONO_Sab!E31</f>
        <v/>
      </c>
      <c r="E29" s="49"/>
      <c r="F29" s="31" t="str">
        <f>AP_CRONO_Sab!G31</f>
        <v/>
      </c>
      <c r="G29" s="31" t="str">
        <f>AP_CRONO_Sab!H31</f>
        <v/>
      </c>
      <c r="H29" s="31" t="str">
        <f>AP_CRONO_Sab!I31</f>
        <v/>
      </c>
      <c r="I29" s="31" t="str">
        <f>AP_CRONO_Sab!J31</f>
        <v/>
      </c>
      <c r="J29" s="31" t="str">
        <f>AP_CRONO_Sab!K31</f>
        <v/>
      </c>
      <c r="K29" s="31" t="str">
        <f>AP_CRONO_Sab!L31</f>
        <v/>
      </c>
      <c r="L29" s="31" t="str">
        <f>AP_CRONO_Sab!M31</f>
        <v/>
      </c>
      <c r="M29" s="31" t="str">
        <f>AP_CRONO_Sab!N31</f>
        <v/>
      </c>
      <c r="N29" s="31" t="str">
        <f>AP_CRONO_Sab!O31</f>
        <v/>
      </c>
      <c r="O29" s="31" t="str">
        <f>AP_CRONO_Sab!P31</f>
        <v/>
      </c>
      <c r="P29" s="31" t="str">
        <f>AP_CRONO_Sab!Q31</f>
        <v/>
      </c>
      <c r="Q29" s="31" t="str">
        <f>AP_CRONO_Sab!R31</f>
        <v/>
      </c>
      <c r="R29" s="29" t="str">
        <f t="shared" si="0"/>
        <v/>
      </c>
      <c r="S29" s="29" t="str">
        <f t="shared" si="1"/>
        <v/>
      </c>
    </row>
    <row r="30" spans="1:19" x14ac:dyDescent="0.3">
      <c r="C30" s="36">
        <f>SUMIFS(ENCOMENDA!K:K,ENCOMENDA!A:A,B30,ENCOMENDA!L:L,D$1)</f>
        <v>0</v>
      </c>
      <c r="D30" s="31" t="str">
        <f>AP_CRONO_Sab!E32</f>
        <v/>
      </c>
      <c r="E30" s="49"/>
      <c r="F30" s="31" t="str">
        <f>AP_CRONO_Sab!G32</f>
        <v/>
      </c>
      <c r="G30" s="31" t="str">
        <f>AP_CRONO_Sab!H32</f>
        <v/>
      </c>
      <c r="H30" s="31" t="str">
        <f>AP_CRONO_Sab!I32</f>
        <v/>
      </c>
      <c r="I30" s="31" t="str">
        <f>AP_CRONO_Sab!J32</f>
        <v/>
      </c>
      <c r="J30" s="31" t="str">
        <f>AP_CRONO_Sab!K32</f>
        <v/>
      </c>
      <c r="K30" s="31" t="str">
        <f>AP_CRONO_Sab!L32</f>
        <v/>
      </c>
      <c r="L30" s="31" t="str">
        <f>AP_CRONO_Sab!M32</f>
        <v/>
      </c>
      <c r="M30" s="31" t="str">
        <f>AP_CRONO_Sab!N32</f>
        <v/>
      </c>
      <c r="N30" s="31" t="str">
        <f>AP_CRONO_Sab!O32</f>
        <v/>
      </c>
      <c r="O30" s="31" t="str">
        <f>AP_CRONO_Sab!P32</f>
        <v/>
      </c>
      <c r="P30" s="31" t="str">
        <f>AP_CRONO_Sab!Q32</f>
        <v/>
      </c>
      <c r="Q30" s="31" t="str">
        <f>AP_CRONO_Sab!R32</f>
        <v/>
      </c>
      <c r="R30" s="29" t="str">
        <f t="shared" si="0"/>
        <v/>
      </c>
      <c r="S30" s="29" t="str">
        <f t="shared" si="1"/>
        <v/>
      </c>
    </row>
    <row r="31" spans="1:19" x14ac:dyDescent="0.3">
      <c r="C31" s="36">
        <f>SUMIFS(ENCOMENDA!K:K,ENCOMENDA!A:A,B31,ENCOMENDA!L:L,D$1)</f>
        <v>0</v>
      </c>
      <c r="D31" s="31" t="str">
        <f>AP_CRONO_Sab!E33</f>
        <v/>
      </c>
      <c r="E31" s="49"/>
      <c r="F31" s="31" t="str">
        <f>AP_CRONO_Sab!G33</f>
        <v/>
      </c>
      <c r="G31" s="31" t="str">
        <f>AP_CRONO_Sab!H33</f>
        <v/>
      </c>
      <c r="H31" s="31" t="str">
        <f>AP_CRONO_Sab!I33</f>
        <v/>
      </c>
      <c r="I31" s="31" t="str">
        <f>AP_CRONO_Sab!J33</f>
        <v/>
      </c>
      <c r="J31" s="31" t="str">
        <f>AP_CRONO_Sab!K33</f>
        <v/>
      </c>
      <c r="K31" s="31" t="str">
        <f>AP_CRONO_Sab!L33</f>
        <v/>
      </c>
      <c r="L31" s="31" t="str">
        <f>AP_CRONO_Sab!M33</f>
        <v/>
      </c>
      <c r="M31" s="31" t="str">
        <f>AP_CRONO_Sab!N33</f>
        <v/>
      </c>
      <c r="N31" s="31" t="str">
        <f>AP_CRONO_Sab!O33</f>
        <v/>
      </c>
      <c r="O31" s="31" t="str">
        <f>AP_CRONO_Sab!P33</f>
        <v/>
      </c>
      <c r="P31" s="31" t="str">
        <f>AP_CRONO_Sab!Q33</f>
        <v/>
      </c>
      <c r="Q31" s="31" t="str">
        <f>AP_CRONO_Sab!R33</f>
        <v/>
      </c>
      <c r="R31" s="29" t="str">
        <f t="shared" si="0"/>
        <v/>
      </c>
      <c r="S31" s="29" t="str">
        <f t="shared" si="1"/>
        <v/>
      </c>
    </row>
    <row r="32" spans="1:19" x14ac:dyDescent="0.3">
      <c r="R32" s="29" t="str">
        <f t="shared" si="0"/>
        <v/>
      </c>
      <c r="S32" s="29" t="str">
        <f t="shared" si="1"/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1 D8:D31">
    <cfRule type="cellIs" dxfId="15" priority="4" operator="lessThan">
      <formula>$T$8</formula>
    </cfRule>
  </conditionalFormatting>
  <conditionalFormatting sqref="F8:Q31 D8:D31">
    <cfRule type="cellIs" dxfId="14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E8:E24">
    <cfRule type="cellIs" dxfId="13" priority="1" operator="lessThan">
      <formula>$T$8</formula>
    </cfRule>
  </conditionalFormatting>
  <conditionalFormatting sqref="E8:E24">
    <cfRule type="cellIs" dxfId="12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6832-0669-4A48-A744-AE624E3961BD}">
  <sheetPr codeName="Planilha4"/>
  <dimension ref="A7:W76"/>
  <sheetViews>
    <sheetView zoomScaleNormal="100" workbookViewId="0">
      <selection activeCell="M10" sqref="M10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1" max="21" width="11.21875" bestFit="1" customWidth="1"/>
    <col min="22" max="22" width="9.44140625" bestFit="1" customWidth="1"/>
    <col min="23" max="23" width="17.88671875" bestFit="1" customWidth="1"/>
  </cols>
  <sheetData>
    <row r="7" spans="1:23" x14ac:dyDescent="0.3">
      <c r="A7" t="s">
        <v>69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T8" s="1">
        <v>6.9444444444444441E-3</v>
      </c>
    </row>
    <row r="9" spans="1:23" s="22" customFormat="1" ht="28.2" customHeight="1" x14ac:dyDescent="0.3">
      <c r="A9" s="22" t="s">
        <v>68</v>
      </c>
      <c r="B9" s="22" t="s">
        <v>19</v>
      </c>
      <c r="E9" s="23" t="s">
        <v>1</v>
      </c>
      <c r="F9" s="34" t="s">
        <v>78</v>
      </c>
      <c r="G9" s="34" t="s">
        <v>79</v>
      </c>
      <c r="H9" s="24" t="s">
        <v>3</v>
      </c>
      <c r="I9" s="23" t="s">
        <v>4</v>
      </c>
      <c r="J9" s="23" t="s">
        <v>5</v>
      </c>
      <c r="K9" s="24" t="s">
        <v>6</v>
      </c>
      <c r="L9" s="23" t="s">
        <v>7</v>
      </c>
      <c r="M9" s="24" t="s">
        <v>8</v>
      </c>
      <c r="N9" s="25" t="s">
        <v>9</v>
      </c>
      <c r="O9" s="24" t="s">
        <v>10</v>
      </c>
      <c r="P9" s="23" t="s">
        <v>11</v>
      </c>
      <c r="Q9" s="23" t="s">
        <v>80</v>
      </c>
      <c r="R9" s="23" t="s">
        <v>81</v>
      </c>
      <c r="S9" s="22" t="s">
        <v>100</v>
      </c>
      <c r="T9" s="22" t="s">
        <v>101</v>
      </c>
      <c r="U9" s="22" t="s">
        <v>102</v>
      </c>
      <c r="V9" s="22" t="s">
        <v>103</v>
      </c>
      <c r="W9" s="22" t="s">
        <v>104</v>
      </c>
    </row>
    <row r="10" spans="1:23" x14ac:dyDescent="0.3">
      <c r="A10">
        <f>Crono_Seg!A8</f>
        <v>1</v>
      </c>
      <c r="B10" t="str">
        <f>Crono_Seg!B8</f>
        <v>AMANTEIGADO</v>
      </c>
      <c r="C10" s="17">
        <f>Crono_Seg!C8</f>
        <v>6.5</v>
      </c>
      <c r="D10" t="str">
        <f>IFERROR(VLOOKUP(B10,RECEITAS!A:C,$D$7,FALSE),"")</f>
        <v>DIRETO</v>
      </c>
      <c r="E10" s="1">
        <f>IFERROR(D8+(VLOOKUP($D10,PROCESSO!$B:$P,AP_CRONO_SEG!E$8,FALSE)/24),"")</f>
        <v>0.19305555555555556</v>
      </c>
      <c r="F10" s="1">
        <f>Crono_Seg!E8</f>
        <v>0.20833333333333334</v>
      </c>
      <c r="G10" s="1">
        <f>IFERROR(IF(F10=0,"",VLOOKUP($D10,PROCESSO!$B:$P,G$8,FALSE)/24)*IFERROR(IF(#REF!&gt;$B$8,ROUNDUP(#REF!/$B$8,0),1),1)+($A$8/24)+F10,"")</f>
        <v>0.22222222222222224</v>
      </c>
      <c r="H10" s="1">
        <f>G10</f>
        <v>0.22222222222222224</v>
      </c>
      <c r="I10" s="1">
        <f>IFERROR(IF(H10=0,"",VLOOKUP($D10,PROCESSO!$B:$P,H$8,FALSE)/24)+($A$8/24)+H10,"")</f>
        <v>0.22569444444444445</v>
      </c>
      <c r="J10" s="1">
        <f>IFERROR(IF(I10=0,"",VLOOKUP($D10,PROCESSO!$B:$P,I$8,FALSE)/24)+($A$8/24)+I10,"")</f>
        <v>0.23402777777777778</v>
      </c>
      <c r="K10" s="1">
        <f>IFERROR(IF(J10=0,"",VLOOKUP($D10,PROCESSO!$B:$P,J$8,FALSE)/24)+($A$8/24)+J10,"")</f>
        <v>0.24236111111111111</v>
      </c>
      <c r="L10" s="1">
        <f>IFERROR(IF(K10=0,"",VLOOKUP($D10,PROCESSO!$B:$P,K$8,FALSE)/24)+($A$8/24)+K10,"")</f>
        <v>0.24583333333333332</v>
      </c>
      <c r="M10" s="1">
        <f>IFERROR(IF(L10=0,"",VLOOKUP($D10,PROCESSO!$B:$P,L$8,FALSE)/24)+($A$8/24)+L10,"")</f>
        <v>0.27361111111111108</v>
      </c>
      <c r="N10" s="1">
        <f>IFERROR(IF(M10=0,"",VLOOKUP($D10,PROCESSO!$B:$P,M$8,FALSE)/24)+($A$8/24)+M10,"")</f>
        <v>0.33958333333333329</v>
      </c>
      <c r="O10" s="1">
        <f>IFERROR(IF(N10=0,"",VLOOKUP($D10,PROCESSO!$B:$P,N$8,FALSE)/24)+($A$8/24)+N10,"")</f>
        <v>0.36388888888888882</v>
      </c>
      <c r="P10" s="1">
        <f>IFERROR(IF(O10=0,"",VLOOKUP($D10,PROCESSO!$B:$P,O$8,FALSE)/24)+($A$8/24)+O10,"")</f>
        <v>0.42986111111111103</v>
      </c>
      <c r="Q10" s="1">
        <f>IFERROR(IF(P10=0,"",VLOOKUP($D10,PROCESSO!$B:$P,P$8,FALSE)/24)+($A$8/24)+P10,"")</f>
        <v>0.46249999999999991</v>
      </c>
      <c r="R10" s="1">
        <f>IFERROR(IF(Q10=0,"",VLOOKUP($D10,PROCESSO!$B:$P,Q$8,FALSE)/24)+($A$8/24)+Q10,"")</f>
        <v>0.50763888888888875</v>
      </c>
      <c r="S10" s="45">
        <f>IFERROR(IFERROR(VLOOKUP(D10,PROCESSO!B:P,15,FALSE),"")/SUMIFS(C:C,A:A,A10),"")</f>
        <v>7.1423752565142715</v>
      </c>
      <c r="T10" s="45">
        <f>IFERROR(S10*C10,"")</f>
        <v>46.425439167342766</v>
      </c>
      <c r="U10" s="45">
        <f>IFERROR(VLOOKUP(B10,RECEITAS!A:C,3,FALSE),"")</f>
        <v>1.8031880400301454</v>
      </c>
      <c r="V10" s="45">
        <f>IFERROR((U10+S10)*(1-ANALISE!$I$4),"")</f>
        <v>8.9455632965444174</v>
      </c>
      <c r="W10" s="45">
        <f>IFERROR(V10*C10,"")</f>
        <v>58.146161427538715</v>
      </c>
    </row>
    <row r="11" spans="1:23" x14ac:dyDescent="0.3">
      <c r="A11">
        <f>Crono_Seg!A9</f>
        <v>2</v>
      </c>
      <c r="B11" t="str">
        <f>Crono_Seg!B9</f>
        <v>BAG. FRANCESA</v>
      </c>
      <c r="C11" s="17">
        <f>Crono_Seg!C9</f>
        <v>12</v>
      </c>
      <c r="D11" t="str">
        <f>IFERROR(VLOOKUP(B11,RECEITAS!A:C,$D$7,FALSE),"")</f>
        <v>RÚSTICO</v>
      </c>
      <c r="E11" s="1">
        <f>IFERROR(E10+(VLOOKUP($D11,PROCESSO!$B:$P,AP_CRONO_SEG!E$8,FALSE)/24),"")</f>
        <v>0.19861111111111113</v>
      </c>
      <c r="F11" s="1">
        <f>Crono_Seg!E9</f>
        <v>0.21875</v>
      </c>
      <c r="G11" s="1">
        <f>IFERROR(IF(F11=0,"",VLOOKUP($D11,PROCESSO!$B:$P,G$8,FALSE)/24)*IFERROR(IF(#REF!&gt;$B$8,ROUNDUP(#REF!/$B$8,0),1),1)+($A$8/24)+F11,"")</f>
        <v>0.2326388888888889</v>
      </c>
      <c r="H11" s="1">
        <f t="shared" ref="H11:H21" si="0">G11</f>
        <v>0.2326388888888889</v>
      </c>
      <c r="I11" s="1">
        <f>IFERROR(IF(H11=0,"",VLOOKUP($D11,PROCESSO!$B:$P,H$8,FALSE)/24)+($A$8/24)+H11,"")</f>
        <v>0.2361111111111111</v>
      </c>
      <c r="J11" s="1">
        <f>IFERROR(IF(I11=0,"",VLOOKUP($D11,PROCESSO!$B:$P,I$8,FALSE)/24)+($A$8/24)+I11,"")</f>
        <v>0.28125</v>
      </c>
      <c r="K11" s="1">
        <f>IFERROR(IF(J11=0,"",VLOOKUP($D11,PROCESSO!$B:$P,J$8,FALSE)/24)+($A$8/24)+J11,"")</f>
        <v>0.30208333333333331</v>
      </c>
      <c r="L11" s="1">
        <f>IFERROR(IF(K11=0,"",VLOOKUP($D11,PROCESSO!$B:$P,K$8,FALSE)/24)+($A$8/24)+K11,"")</f>
        <v>0.33333333333333331</v>
      </c>
      <c r="M11" s="1">
        <f>IFERROR(IF(L11=0,"",VLOOKUP($D11,PROCESSO!$B:$P,L$8,FALSE)/24)+($A$8/24)+L11,"")</f>
        <v>0.35416666666666663</v>
      </c>
      <c r="N11" s="1">
        <f>IFERROR(IF(M11=0,"",VLOOKUP($D11,PROCESSO!$B:$P,M$8,FALSE)/24)+($A$8/24)+M11,"")</f>
        <v>0.39930555555555552</v>
      </c>
      <c r="O11" s="1">
        <f>IFERROR(IF(N11=0,"",VLOOKUP($D11,PROCESSO!$B:$P,N$8,FALSE)/24)+($A$8/24)+N11,"")</f>
        <v>0.43055555555555552</v>
      </c>
      <c r="P11" s="1">
        <f>IFERROR(IF(O11=0,"",VLOOKUP($D11,PROCESSO!$B:$P,O$8,FALSE)/24)+($A$8/24)+O11,"")</f>
        <v>0.49652777777777773</v>
      </c>
      <c r="Q11" s="1">
        <f>IFERROR(IF(P11=0,"",VLOOKUP($D11,PROCESSO!$B:$P,P$8,FALSE)/24)+($A$8/24)+P11,"")</f>
        <v>0.49999999999999994</v>
      </c>
      <c r="R11" s="1">
        <f>IFERROR(IF(Q11=0,"",VLOOKUP($D11,PROCESSO!$B:$P,Q$8,FALSE)/24)+($A$8/24)+Q11,"")</f>
        <v>0.54513888888888884</v>
      </c>
      <c r="S11" s="45">
        <f>IFERROR(IFERROR(VLOOKUP(D11,PROCESSO!B:P,15,FALSE),"")/SUMIFS(C:C,A:A,A11),"")</f>
        <v>3.2869858152519091</v>
      </c>
      <c r="T11" s="45">
        <f t="shared" ref="T11:T22" si="1">IFERROR(S11*C11,"")</f>
        <v>39.443829783022906</v>
      </c>
      <c r="U11" s="45">
        <f>IFERROR(VLOOKUP(B11,RECEITAS!A:C,3,FALSE),"")</f>
        <v>2.206347678369196</v>
      </c>
      <c r="V11" s="45">
        <f>IFERROR((U11+S11)*(1-ANALISE!$I$4),"")</f>
        <v>5.4933334936211047</v>
      </c>
      <c r="W11" s="45">
        <f t="shared" ref="W11:W22" si="2">IFERROR(V11*C11,"")</f>
        <v>65.920001923453256</v>
      </c>
    </row>
    <row r="12" spans="1:23" x14ac:dyDescent="0.3">
      <c r="A12">
        <f>Crono_Seg!A10</f>
        <v>2</v>
      </c>
      <c r="B12" t="str">
        <f>Crono_Seg!B10</f>
        <v>P. AO LEVAIN</v>
      </c>
      <c r="C12" s="17">
        <f>Crono_Seg!C10</f>
        <v>3.0300000000000002</v>
      </c>
      <c r="D12" t="str">
        <f>IFERROR(VLOOKUP(B12,RECEITAS!A:C,$D$7,FALSE),"")</f>
        <v>RÚSTICO</v>
      </c>
      <c r="E12" s="1">
        <f>IFERROR(E11+(VLOOKUP($D12,PROCESSO!$B:$P,AP_CRONO_SEG!E$8,FALSE)/24),"")</f>
        <v>0.20416666666666669</v>
      </c>
      <c r="F12" s="1">
        <f>Crono_Seg!E10</f>
        <v>0.21875</v>
      </c>
      <c r="G12" s="1">
        <f>IFERROR(IF(F12=0,"",VLOOKUP($D12,PROCESSO!$B:$P,G$8,FALSE)/24)*IFERROR(IF(#REF!&gt;$B$8,ROUNDUP(#REF!/$B$8,0),1),1)+($A$8/24)+F12,"")</f>
        <v>0.2326388888888889</v>
      </c>
      <c r="H12" s="1">
        <f t="shared" si="0"/>
        <v>0.2326388888888889</v>
      </c>
      <c r="I12" s="1">
        <f>IFERROR(IF(H12=0,"",VLOOKUP($D12,PROCESSO!$B:$P,H$8,FALSE)/24)+($A$8/24)+H12,"")</f>
        <v>0.2361111111111111</v>
      </c>
      <c r="J12" s="1">
        <f>IFERROR(IF(I12=0,"",VLOOKUP($D12,PROCESSO!$B:$P,I$8,FALSE)/24)+($A$8/24)+I12,"")</f>
        <v>0.28125</v>
      </c>
      <c r="K12" s="1">
        <f>IFERROR(IF(J12=0,"",VLOOKUP($D12,PROCESSO!$B:$P,J$8,FALSE)/24)+($A$8/24)+J12,"")</f>
        <v>0.30208333333333331</v>
      </c>
      <c r="L12" s="1">
        <f>IFERROR(IF(K12=0,"",VLOOKUP($D12,PROCESSO!$B:$P,K$8,FALSE)/24)+($A$8/24)+K12,"")</f>
        <v>0.33333333333333331</v>
      </c>
      <c r="M12" s="1">
        <f>IFERROR(IF(L12=0,"",VLOOKUP($D12,PROCESSO!$B:$P,L$8,FALSE)/24)+($A$8/24)+L12,"")</f>
        <v>0.35416666666666663</v>
      </c>
      <c r="N12" s="1">
        <f>IFERROR(IF(M12=0,"",VLOOKUP($D12,PROCESSO!$B:$P,M$8,FALSE)/24)+($A$8/24)+M12,"")</f>
        <v>0.39930555555555552</v>
      </c>
      <c r="O12" s="1">
        <f>IFERROR(IF(N12=0,"",VLOOKUP($D12,PROCESSO!$B:$P,N$8,FALSE)/24)+($A$8/24)+N12,"")</f>
        <v>0.43055555555555552</v>
      </c>
      <c r="P12" s="1">
        <f>IFERROR(IF(O12=0,"",VLOOKUP($D12,PROCESSO!$B:$P,O$8,FALSE)/24)+($A$8/24)+O12,"")</f>
        <v>0.49652777777777773</v>
      </c>
      <c r="Q12" s="1">
        <f>IFERROR(IF(P12=0,"",VLOOKUP($D12,PROCESSO!$B:$P,P$8,FALSE)/24)+($A$8/24)+P12,"")</f>
        <v>0.49999999999999994</v>
      </c>
      <c r="R12" s="1">
        <f>IFERROR(IF(Q12=0,"",VLOOKUP($D12,PROCESSO!$B:$P,Q$8,FALSE)/24)+($A$8/24)+Q12,"")</f>
        <v>0.54513888888888884</v>
      </c>
      <c r="S12" s="45">
        <f>IFERROR(IFERROR(VLOOKUP(D12,PROCESSO!B:P,15,FALSE),"")/SUMIFS(C:C,A:A,A12),"")</f>
        <v>3.2869858152519091</v>
      </c>
      <c r="T12" s="45">
        <f t="shared" si="1"/>
        <v>9.9595670202132851</v>
      </c>
      <c r="U12" s="45">
        <f>IFERROR(VLOOKUP(B12,RECEITAS!A:C,3,FALSE),"")</f>
        <v>2.3235487959442338</v>
      </c>
      <c r="V12" s="45">
        <f>IFERROR((U12+S12)*(1-ANALISE!$I$4),"")</f>
        <v>5.6105346111961429</v>
      </c>
      <c r="W12" s="45">
        <f t="shared" si="2"/>
        <v>16.999919871924316</v>
      </c>
    </row>
    <row r="13" spans="1:23" x14ac:dyDescent="0.3">
      <c r="A13">
        <f>Crono_Seg!A11</f>
        <v>3</v>
      </c>
      <c r="B13" t="str">
        <f>Crono_Seg!B11</f>
        <v>BAG. PRIMAS</v>
      </c>
      <c r="C13" s="17">
        <f>Crono_Seg!C11</f>
        <v>29.6</v>
      </c>
      <c r="D13" t="str">
        <f>IFERROR(VLOOKUP(B13,RECEITAS!A:C,$D$7,FALSE),"")</f>
        <v>RÚSTICO</v>
      </c>
      <c r="E13" s="1">
        <f>IFERROR(E12+(VLOOKUP($D13,PROCESSO!$B:$P,AP_CRONO_SEG!E$8,FALSE)/24),"")</f>
        <v>0.20972222222222225</v>
      </c>
      <c r="F13" s="1">
        <f>Crono_Seg!E11</f>
        <v>0.22777777777777777</v>
      </c>
      <c r="G13" s="1">
        <f>IFERROR(IF(F13=0,"",VLOOKUP($D13,PROCESSO!$B:$P,G$8,FALSE)/24)*IFERROR(IF(#REF!&gt;$B$8,ROUNDUP(#REF!/$B$8,0),1),1)+($A$8/24)+F13,"")</f>
        <v>0.24166666666666667</v>
      </c>
      <c r="H13" s="1">
        <f t="shared" si="0"/>
        <v>0.24166666666666667</v>
      </c>
      <c r="I13" s="1">
        <f>IFERROR(IF(H13=0,"",VLOOKUP($D13,PROCESSO!$B:$P,H$8,FALSE)/24)+($A$8/24)+H13,"")</f>
        <v>0.24513888888888888</v>
      </c>
      <c r="J13" s="1">
        <f>IFERROR(IF(I13=0,"",VLOOKUP($D13,PROCESSO!$B:$P,I$8,FALSE)/24)+($A$8/24)+I13,"")</f>
        <v>0.29027777777777775</v>
      </c>
      <c r="K13" s="1">
        <f>IFERROR(IF(J13=0,"",VLOOKUP($D13,PROCESSO!$B:$P,J$8,FALSE)/24)+($A$8/24)+J13,"")</f>
        <v>0.31111111111111106</v>
      </c>
      <c r="L13" s="1">
        <f>IFERROR(IF(K13=0,"",VLOOKUP($D13,PROCESSO!$B:$P,K$8,FALSE)/24)+($A$8/24)+K13,"")</f>
        <v>0.34236111111111106</v>
      </c>
      <c r="M13" s="1">
        <f>IFERROR(IF(L13=0,"",VLOOKUP($D13,PROCESSO!$B:$P,L$8,FALSE)/24)+($A$8/24)+L13,"")</f>
        <v>0.36319444444444438</v>
      </c>
      <c r="N13" s="1">
        <f>IFERROR(IF(M13=0,"",VLOOKUP($D13,PROCESSO!$B:$P,M$8,FALSE)/24)+($A$8/24)+M13,"")</f>
        <v>0.40833333333333327</v>
      </c>
      <c r="O13" s="1">
        <f>IFERROR(IF(N13=0,"",VLOOKUP($D13,PROCESSO!$B:$P,N$8,FALSE)/24)+($A$8/24)+N13,"")</f>
        <v>0.43958333333333327</v>
      </c>
      <c r="P13" s="1">
        <f>IFERROR(IF(O13=0,"",VLOOKUP($D13,PROCESSO!$B:$P,O$8,FALSE)/24)+($A$8/24)+O13,"")</f>
        <v>0.50555555555555554</v>
      </c>
      <c r="Q13" s="1">
        <f>IFERROR(IF(P13=0,"",VLOOKUP($D13,PROCESSO!$B:$P,P$8,FALSE)/24)+($A$8/24)+P13,"")</f>
        <v>0.50902777777777775</v>
      </c>
      <c r="R13" s="1">
        <f>IFERROR(IF(Q13=0,"",VLOOKUP($D13,PROCESSO!$B:$P,Q$8,FALSE)/24)+($A$8/24)+Q13,"")</f>
        <v>0.55416666666666659</v>
      </c>
      <c r="S13" s="45">
        <f>IFERROR(IFERROR(VLOOKUP(D13,PROCESSO!B:P,15,FALSE),"")/SUMIFS(C:C,A:A,A13),"")</f>
        <v>1.4880541205794033</v>
      </c>
      <c r="T13" s="45">
        <f t="shared" si="1"/>
        <v>44.046401969150338</v>
      </c>
      <c r="U13" s="45">
        <f>IFERROR(VLOOKUP(B13,RECEITAS!A:C,3,FALSE),"")</f>
        <v>2.206347678369196</v>
      </c>
      <c r="V13" s="45">
        <f>IFERROR((U13+S13)*(1-ANALISE!$I$4),"")</f>
        <v>3.6944017989485993</v>
      </c>
      <c r="W13" s="45">
        <f t="shared" si="2"/>
        <v>109.35429324887855</v>
      </c>
    </row>
    <row r="14" spans="1:23" x14ac:dyDescent="0.3">
      <c r="A14">
        <f>Crono_Seg!A12</f>
        <v>3</v>
      </c>
      <c r="B14" t="str">
        <f>Crono_Seg!B12</f>
        <v>MALTADO</v>
      </c>
      <c r="C14" s="17">
        <f>Crono_Seg!C12</f>
        <v>3.5999999999999996</v>
      </c>
      <c r="D14" t="str">
        <f>IFERROR(VLOOKUP(B14,RECEITAS!A:C,$D$7,FALSE),"")</f>
        <v>RÚSTICO</v>
      </c>
      <c r="E14" s="1">
        <f>IFERROR(E13+(VLOOKUP($D14,PROCESSO!$B:$P,AP_CRONO_SEG!E$8,FALSE)/24),"")</f>
        <v>0.21527777777777782</v>
      </c>
      <c r="F14" s="1">
        <f>Crono_Seg!E12</f>
        <v>0.23263888888888887</v>
      </c>
      <c r="G14" s="1">
        <f>IFERROR(IF(F14=0,"",VLOOKUP($D14,PROCESSO!$B:$P,G$8,FALSE)/24)*IFERROR(IF(#REF!&gt;$B$8,ROUNDUP(#REF!/$B$8,0),1),1)+($A$8/24)+F14,"")</f>
        <v>0.24652777777777776</v>
      </c>
      <c r="H14" s="1">
        <f t="shared" si="0"/>
        <v>0.24652777777777776</v>
      </c>
      <c r="I14" s="1">
        <f>IFERROR(IF(H14=0,"",VLOOKUP($D14,PROCESSO!$B:$P,H$8,FALSE)/24)+($A$8/24)+H14,"")</f>
        <v>0.24999999999999997</v>
      </c>
      <c r="J14" s="1">
        <f>IFERROR(IF(I14=0,"",VLOOKUP($D14,PROCESSO!$B:$P,I$8,FALSE)/24)+($A$8/24)+I14,"")</f>
        <v>0.29513888888888884</v>
      </c>
      <c r="K14" s="1">
        <f>IFERROR(IF(J14=0,"",VLOOKUP($D14,PROCESSO!$B:$P,J$8,FALSE)/24)+($A$8/24)+J14,"")</f>
        <v>0.31597222222222215</v>
      </c>
      <c r="L14" s="1">
        <f>IFERROR(IF(K14=0,"",VLOOKUP($D14,PROCESSO!$B:$P,K$8,FALSE)/24)+($A$8/24)+K14,"")</f>
        <v>0.34722222222222215</v>
      </c>
      <c r="M14" s="1">
        <f>IFERROR(IF(L14=0,"",VLOOKUP($D14,PROCESSO!$B:$P,L$8,FALSE)/24)+($A$8/24)+L14,"")</f>
        <v>0.36805555555555547</v>
      </c>
      <c r="N14" s="1">
        <f>IFERROR(IF(M14=0,"",VLOOKUP($D14,PROCESSO!$B:$P,M$8,FALSE)/24)+($A$8/24)+M14,"")</f>
        <v>0.41319444444444436</v>
      </c>
      <c r="O14" s="1">
        <f>IFERROR(IF(N14=0,"",VLOOKUP($D14,PROCESSO!$B:$P,N$8,FALSE)/24)+($A$8/24)+N14,"")</f>
        <v>0.44444444444444436</v>
      </c>
      <c r="P14" s="1">
        <f>IFERROR(IF(O14=0,"",VLOOKUP($D14,PROCESSO!$B:$P,O$8,FALSE)/24)+($A$8/24)+O14,"")</f>
        <v>0.51041666666666663</v>
      </c>
      <c r="Q14" s="1">
        <f>IFERROR(IF(P14=0,"",VLOOKUP($D14,PROCESSO!$B:$P,P$8,FALSE)/24)+($A$8/24)+P14,"")</f>
        <v>0.51388888888888884</v>
      </c>
      <c r="R14" s="1">
        <f>IFERROR(IF(Q14=0,"",VLOOKUP($D14,PROCESSO!$B:$P,Q$8,FALSE)/24)+($A$8/24)+Q14,"")</f>
        <v>0.55902777777777768</v>
      </c>
      <c r="S14" s="45">
        <f>IFERROR(IFERROR(VLOOKUP(D14,PROCESSO!B:P,15,FALSE),"")/SUMIFS(C:C,A:A,A14),"")</f>
        <v>1.4880541205794033</v>
      </c>
      <c r="T14" s="45">
        <f t="shared" si="1"/>
        <v>5.3569948340858513</v>
      </c>
      <c r="U14" s="45">
        <f>IFERROR(VLOOKUP(B14,RECEITAS!A:C,3,FALSE),"")</f>
        <v>2.6739550191991226</v>
      </c>
      <c r="V14" s="45">
        <f>IFERROR((U14+S14)*(1-ANALISE!$I$4),"")</f>
        <v>4.1620091397785259</v>
      </c>
      <c r="W14" s="45">
        <f t="shared" si="2"/>
        <v>14.983232903202692</v>
      </c>
    </row>
    <row r="15" spans="1:23" x14ac:dyDescent="0.3">
      <c r="A15">
        <f>Crono_Seg!A13</f>
        <v>4</v>
      </c>
      <c r="B15" t="str">
        <f>Crono_Seg!B13</f>
        <v>BAG. FRANCESA DE AZEITE</v>
      </c>
      <c r="C15" s="17">
        <f>Crono_Seg!C13</f>
        <v>4.62</v>
      </c>
      <c r="D15" t="str">
        <f>IFERROR(VLOOKUP(B15,RECEITAS!A:C,$D$7,FALSE),"")</f>
        <v>RÚSTICO</v>
      </c>
      <c r="E15" s="1">
        <f>IFERROR(E14+(VLOOKUP($D15,PROCESSO!$B:$P,AP_CRONO_SEG!E$8,FALSE)/24),"")</f>
        <v>0.22083333333333338</v>
      </c>
      <c r="F15" s="1">
        <f>Crono_Seg!E13</f>
        <v>0.25555555555555559</v>
      </c>
      <c r="G15" s="1">
        <f>IFERROR(IF(F15=0,"",VLOOKUP($D15,PROCESSO!$B:$P,G$8,FALSE)/24)*IFERROR(IF(#REF!&gt;$B$8,ROUNDUP(#REF!/$B$8,0),1),1)+($A$8/24)+F15,"")</f>
        <v>0.26944444444444449</v>
      </c>
      <c r="H15" s="1">
        <f t="shared" si="0"/>
        <v>0.26944444444444449</v>
      </c>
      <c r="I15" s="1">
        <f>IFERROR(IF(H15=0,"",VLOOKUP($D15,PROCESSO!$B:$P,H$8,FALSE)/24)+($A$8/24)+H15,"")</f>
        <v>0.2729166666666667</v>
      </c>
      <c r="J15" s="1">
        <f>IFERROR(IF(I15=0,"",VLOOKUP($D15,PROCESSO!$B:$P,I$8,FALSE)/24)+($A$8/24)+I15,"")</f>
        <v>0.31805555555555559</v>
      </c>
      <c r="K15" s="1">
        <f>IFERROR(IF(J15=0,"",VLOOKUP($D15,PROCESSO!$B:$P,J$8,FALSE)/24)+($A$8/24)+J15,"")</f>
        <v>0.33888888888888891</v>
      </c>
      <c r="L15" s="1">
        <f>IFERROR(IF(K15=0,"",VLOOKUP($D15,PROCESSO!$B:$P,K$8,FALSE)/24)+($A$8/24)+K15,"")</f>
        <v>0.37013888888888891</v>
      </c>
      <c r="M15" s="1">
        <f>IFERROR(IF(L15=0,"",VLOOKUP($D15,PROCESSO!$B:$P,L$8,FALSE)/24)+($A$8/24)+L15,"")</f>
        <v>0.39097222222222222</v>
      </c>
      <c r="N15" s="1">
        <f>IFERROR(IF(M15=0,"",VLOOKUP($D15,PROCESSO!$B:$P,M$8,FALSE)/24)+($A$8/24)+M15,"")</f>
        <v>0.43611111111111112</v>
      </c>
      <c r="O15" s="1">
        <f>IFERROR(IF(N15=0,"",VLOOKUP($D15,PROCESSO!$B:$P,N$8,FALSE)/24)+($A$8/24)+N15,"")</f>
        <v>0.46736111111111112</v>
      </c>
      <c r="P15" s="1">
        <f>IFERROR(IF(O15=0,"",VLOOKUP($D15,PROCESSO!$B:$P,O$8,FALSE)/24)+($A$8/24)+O15,"")</f>
        <v>0.53333333333333333</v>
      </c>
      <c r="Q15" s="1">
        <f>IFERROR(IF(P15=0,"",VLOOKUP($D15,PROCESSO!$B:$P,P$8,FALSE)/24)+($A$8/24)+P15,"")</f>
        <v>0.53680555555555554</v>
      </c>
      <c r="R15" s="1">
        <f>IFERROR(IF(Q15=0,"",VLOOKUP($D15,PROCESSO!$B:$P,Q$8,FALSE)/24)+($A$8/24)+Q15,"")</f>
        <v>0.58194444444444438</v>
      </c>
      <c r="S15" s="45">
        <f>IFERROR(IFERROR(VLOOKUP(D15,PROCESSO!B:P,15,FALSE),"")/SUMIFS(C:C,A:A,A15),"")</f>
        <v>10.693375931436407</v>
      </c>
      <c r="T15" s="45">
        <f t="shared" si="1"/>
        <v>49.403396803236198</v>
      </c>
      <c r="U15" s="45">
        <f>IFERROR(VLOOKUP(B15,RECEITAS!A:C,3,FALSE),"")</f>
        <v>2.206347678369196</v>
      </c>
      <c r="V15" s="45">
        <f>IFERROR((U15+S15)*(1-ANALISE!$I$4),"")</f>
        <v>12.899723609805603</v>
      </c>
      <c r="W15" s="45">
        <f t="shared" si="2"/>
        <v>59.596723077301888</v>
      </c>
    </row>
    <row r="16" spans="1:23" x14ac:dyDescent="0.3">
      <c r="A16">
        <f>Crono_Seg!A14</f>
        <v>5</v>
      </c>
      <c r="B16" t="str">
        <f>Crono_Seg!B14</f>
        <v>SOURDOUGH</v>
      </c>
      <c r="C16" s="17">
        <f>Crono_Seg!C14</f>
        <v>1.5</v>
      </c>
      <c r="D16" t="str">
        <f>IFERROR(VLOOKUP(B16,RECEITAS!A:C,$D$7,FALSE),"")</f>
        <v>RÚSTICO</v>
      </c>
      <c r="E16" s="1">
        <f>IFERROR(E15+(VLOOKUP($D16,PROCESSO!$B:$P,AP_CRONO_SEG!E$8,FALSE)/24),"")</f>
        <v>0.22638888888888895</v>
      </c>
      <c r="F16" s="1">
        <f>Crono_Seg!E14</f>
        <v>0.26111111111111113</v>
      </c>
      <c r="G16" s="1">
        <f>IFERROR(IF(F16=0,"",VLOOKUP($D16,PROCESSO!$B:$P,G$8,FALSE)/24)*IFERROR(IF(#REF!&gt;$B$8,ROUNDUP(#REF!/$B$8,0),1),1)+($A$8/24)+F16,"")</f>
        <v>0.27500000000000002</v>
      </c>
      <c r="H16" s="1">
        <f t="shared" si="0"/>
        <v>0.27500000000000002</v>
      </c>
      <c r="I16" s="1">
        <f>IFERROR(IF(H16=0,"",VLOOKUP($D16,PROCESSO!$B:$P,H$8,FALSE)/24)+($A$8/24)+H16,"")</f>
        <v>0.27847222222222223</v>
      </c>
      <c r="J16" s="1">
        <f>IFERROR(IF(I16=0,"",VLOOKUP($D16,PROCESSO!$B:$P,I$8,FALSE)/24)+($A$8/24)+I16,"")</f>
        <v>0.32361111111111113</v>
      </c>
      <c r="K16" s="1">
        <f>IFERROR(IF(J16=0,"",VLOOKUP($D16,PROCESSO!$B:$P,J$8,FALSE)/24)+($A$8/24)+J16,"")</f>
        <v>0.34444444444444444</v>
      </c>
      <c r="L16" s="1">
        <f>IFERROR(IF(K16=0,"",VLOOKUP($D16,PROCESSO!$B:$P,K$8,FALSE)/24)+($A$8/24)+K16,"")</f>
        <v>0.37569444444444444</v>
      </c>
      <c r="M16" s="1">
        <f>IFERROR(IF(L16=0,"",VLOOKUP($D16,PROCESSO!$B:$P,L$8,FALSE)/24)+($A$8/24)+L16,"")</f>
        <v>0.39652777777777776</v>
      </c>
      <c r="N16" s="1">
        <f>IFERROR(IF(M16=0,"",VLOOKUP($D16,PROCESSO!$B:$P,M$8,FALSE)/24)+($A$8/24)+M16,"")</f>
        <v>0.44166666666666665</v>
      </c>
      <c r="O16" s="1">
        <f>IFERROR(IF(N16=0,"",VLOOKUP($D16,PROCESSO!$B:$P,N$8,FALSE)/24)+($A$8/24)+N16,"")</f>
        <v>0.47291666666666665</v>
      </c>
      <c r="P16" s="1">
        <f>IFERROR(IF(O16=0,"",VLOOKUP($D16,PROCESSO!$B:$P,O$8,FALSE)/24)+($A$8/24)+O16,"")</f>
        <v>0.53888888888888886</v>
      </c>
      <c r="Q16" s="1">
        <f>IFERROR(IF(P16=0,"",VLOOKUP($D16,PROCESSO!$B:$P,P$8,FALSE)/24)+($A$8/24)+P16,"")</f>
        <v>0.54236111111111107</v>
      </c>
      <c r="R16" s="1">
        <f>IFERROR(IF(Q16=0,"",VLOOKUP($D16,PROCESSO!$B:$P,Q$8,FALSE)/24)+($A$8/24)+Q16,"")</f>
        <v>0.58749999999999991</v>
      </c>
      <c r="S16" s="45">
        <f>IFERROR(IFERROR(VLOOKUP(D16,PROCESSO!B:P,15,FALSE),"")/SUMIFS(C:C,A:A,A16),"")</f>
        <v>4.3565605646592758</v>
      </c>
      <c r="T16" s="45">
        <f t="shared" si="1"/>
        <v>6.5348408469889137</v>
      </c>
      <c r="U16" s="45">
        <f>IFERROR(VLOOKUP(B16,RECEITAS!A:C,3,FALSE),"")</f>
        <v>2.6739550191991226</v>
      </c>
      <c r="V16" s="45">
        <f>IFERROR((U16+S16)*(1-ANALISE!$I$4),"")</f>
        <v>7.0305155838583984</v>
      </c>
      <c r="W16" s="45">
        <f t="shared" si="2"/>
        <v>10.545773375787597</v>
      </c>
    </row>
    <row r="17" spans="1:23" x14ac:dyDescent="0.3">
      <c r="A17">
        <f>Crono_Seg!A15</f>
        <v>5</v>
      </c>
      <c r="B17" t="str">
        <f>Crono_Seg!B15</f>
        <v>AUSTRALIANO</v>
      </c>
      <c r="C17" s="17">
        <f>Crono_Seg!C15</f>
        <v>9.8400000000000016</v>
      </c>
      <c r="D17" t="str">
        <f>IFERROR(VLOOKUP(B17,RECEITAS!A:C,$D$7,FALSE),"")</f>
        <v>DIRETO</v>
      </c>
      <c r="E17" s="1">
        <f>IFERROR(E16+(VLOOKUP($D17,PROCESSO!$B:$P,AP_CRONO_SEG!E$8,FALSE)/24),"")</f>
        <v>0.23194444444444451</v>
      </c>
      <c r="F17" s="1">
        <f>Crono_Seg!E15</f>
        <v>0.26250000000000001</v>
      </c>
      <c r="G17" s="1">
        <f>IFERROR(IF(F17=0,"",VLOOKUP($D17,PROCESSO!$B:$P,G$8,FALSE)/24)*IFERROR(IF(#REF!&gt;$B$8,ROUNDUP(#REF!/$B$8,0),1),1)+($A$8/24)+F17,"")</f>
        <v>0.27638888888888891</v>
      </c>
      <c r="H17" s="1">
        <f t="shared" si="0"/>
        <v>0.27638888888888891</v>
      </c>
      <c r="I17" s="1">
        <f>IFERROR(IF(H17=0,"",VLOOKUP($D17,PROCESSO!$B:$P,H$8,FALSE)/24)+($A$8/24)+H17,"")</f>
        <v>0.27986111111111112</v>
      </c>
      <c r="J17" s="1">
        <f>IFERROR(IF(I17=0,"",VLOOKUP($D17,PROCESSO!$B:$P,I$8,FALSE)/24)+($A$8/24)+I17,"")</f>
        <v>0.28819444444444448</v>
      </c>
      <c r="K17" s="1">
        <f>IFERROR(IF(J17=0,"",VLOOKUP($D17,PROCESSO!$B:$P,J$8,FALSE)/24)+($A$8/24)+J17,"")</f>
        <v>0.29652777777777783</v>
      </c>
      <c r="L17" s="1">
        <f>IFERROR(IF(K17=0,"",VLOOKUP($D17,PROCESSO!$B:$P,K$8,FALSE)/24)+($A$8/24)+K17,"")</f>
        <v>0.30000000000000004</v>
      </c>
      <c r="M17" s="1">
        <f>IFERROR(IF(L17=0,"",VLOOKUP($D17,PROCESSO!$B:$P,L$8,FALSE)/24)+($A$8/24)+L17,"")</f>
        <v>0.32777777777777783</v>
      </c>
      <c r="N17" s="1">
        <f>IFERROR(IF(M17=0,"",VLOOKUP($D17,PROCESSO!$B:$P,M$8,FALSE)/24)+($A$8/24)+M17,"")</f>
        <v>0.39375000000000004</v>
      </c>
      <c r="O17" s="1">
        <f>IFERROR(IF(N17=0,"",VLOOKUP($D17,PROCESSO!$B:$P,N$8,FALSE)/24)+($A$8/24)+N17,"")</f>
        <v>0.41805555555555562</v>
      </c>
      <c r="P17" s="1">
        <f>IFERROR(IF(O17=0,"",VLOOKUP($D17,PROCESSO!$B:$P,O$8,FALSE)/24)+($A$8/24)+O17,"")</f>
        <v>0.48402777777777783</v>
      </c>
      <c r="Q17" s="1">
        <f>IFERROR(IF(P17=0,"",VLOOKUP($D17,PROCESSO!$B:$P,P$8,FALSE)/24)+($A$8/24)+P17,"")</f>
        <v>0.51666666666666672</v>
      </c>
      <c r="R17" s="1">
        <f>IFERROR(IF(Q17=0,"",VLOOKUP($D17,PROCESSO!$B:$P,Q$8,FALSE)/24)+($A$8/24)+Q17,"")</f>
        <v>0.56180555555555556</v>
      </c>
      <c r="S17" s="45">
        <f>IFERROR(IFERROR(VLOOKUP(D17,PROCESSO!B:P,15,FALSE),"")/SUMIFS(C:C,A:A,A17),"")</f>
        <v>4.093954071194247</v>
      </c>
      <c r="T17" s="45">
        <f t="shared" si="1"/>
        <v>40.284508060551396</v>
      </c>
      <c r="U17" s="45">
        <f>IFERROR(VLOOKUP(B17,RECEITAS!A:C,3,FALSE),"")</f>
        <v>2.4</v>
      </c>
      <c r="V17" s="45">
        <f>IFERROR((U17+S17)*(1-ANALISE!$I$4),"")</f>
        <v>6.4939540711942474</v>
      </c>
      <c r="W17" s="45">
        <f t="shared" si="2"/>
        <v>63.900508060551402</v>
      </c>
    </row>
    <row r="18" spans="1:23" x14ac:dyDescent="0.3">
      <c r="A18">
        <f>Crono_Seg!A16</f>
        <v>6</v>
      </c>
      <c r="B18" t="str">
        <f>Crono_Seg!B16</f>
        <v>BRIOCHE MARGARINA</v>
      </c>
      <c r="C18" s="17">
        <f>Crono_Seg!C16</f>
        <v>7.4400000000000013</v>
      </c>
      <c r="D18" t="str">
        <f>IFERROR(VLOOKUP(B18,RECEITAS!A:C,$D$7,FALSE),"")</f>
        <v>DIRETO</v>
      </c>
      <c r="E18" s="1">
        <f>IFERROR(E17+(VLOOKUP($D18,PROCESSO!$B:$P,AP_CRONO_SEG!E$8,FALSE)/24),"")</f>
        <v>0.23750000000000007</v>
      </c>
      <c r="F18" s="1">
        <f>Crono_Seg!E16</f>
        <v>0.27569444444444446</v>
      </c>
      <c r="G18" s="1">
        <f>IFERROR(IF(F18=0,"",VLOOKUP($D18,PROCESSO!$B:$P,G$8,FALSE)/24)*IFERROR(IF(#REF!&gt;$B$8,ROUNDUP(#REF!/$B$8,0),1),1)+($A$8/24)+F18,"")</f>
        <v>0.28958333333333336</v>
      </c>
      <c r="H18" s="1">
        <f t="shared" si="0"/>
        <v>0.28958333333333336</v>
      </c>
      <c r="I18" s="1">
        <f>IFERROR(IF(H18=0,"",VLOOKUP($D18,PROCESSO!$B:$P,H$8,FALSE)/24)+($A$8/24)+H18,"")</f>
        <v>0.29305555555555557</v>
      </c>
      <c r="J18" s="1">
        <f>IFERROR(IF(I18=0,"",VLOOKUP($D18,PROCESSO!$B:$P,I$8,FALSE)/24)+($A$8/24)+I18,"")</f>
        <v>0.30138888888888893</v>
      </c>
      <c r="K18" s="1">
        <f>IFERROR(IF(J18=0,"",VLOOKUP($D18,PROCESSO!$B:$P,J$8,FALSE)/24)+($A$8/24)+J18,"")</f>
        <v>0.30972222222222229</v>
      </c>
      <c r="L18" s="1">
        <f>IFERROR(IF(K18=0,"",VLOOKUP($D18,PROCESSO!$B:$P,K$8,FALSE)/24)+($A$8/24)+K18,"")</f>
        <v>0.3131944444444445</v>
      </c>
      <c r="M18" s="1">
        <f>IFERROR(IF(L18=0,"",VLOOKUP($D18,PROCESSO!$B:$P,L$8,FALSE)/24)+($A$8/24)+L18,"")</f>
        <v>0.34097222222222229</v>
      </c>
      <c r="N18" s="1">
        <f>IFERROR(IF(M18=0,"",VLOOKUP($D18,PROCESSO!$B:$P,M$8,FALSE)/24)+($A$8/24)+M18,"")</f>
        <v>0.4069444444444445</v>
      </c>
      <c r="O18" s="1">
        <f>IFERROR(IF(N18=0,"",VLOOKUP($D18,PROCESSO!$B:$P,N$8,FALSE)/24)+($A$8/24)+N18,"")</f>
        <v>0.43125000000000002</v>
      </c>
      <c r="P18" s="1">
        <f>IFERROR(IF(O18=0,"",VLOOKUP($D18,PROCESSO!$B:$P,O$8,FALSE)/24)+($A$8/24)+O18,"")</f>
        <v>0.49722222222222223</v>
      </c>
      <c r="Q18" s="1">
        <f>IFERROR(IF(P18=0,"",VLOOKUP($D18,PROCESSO!$B:$P,P$8,FALSE)/24)+($A$8/24)+P18,"")</f>
        <v>0.52986111111111112</v>
      </c>
      <c r="R18" s="1">
        <f>IFERROR(IF(Q18=0,"",VLOOKUP($D18,PROCESSO!$B:$P,Q$8,FALSE)/24)+($A$8/24)+Q18,"")</f>
        <v>0.57499999999999996</v>
      </c>
      <c r="S18" s="45">
        <f>IFERROR(IFERROR(VLOOKUP(D18,PROCESSO!B:P,15,FALSE),"")/SUMIFS(C:C,A:A,A18),"")</f>
        <v>4.4468811462971995</v>
      </c>
      <c r="T18" s="45">
        <f t="shared" si="1"/>
        <v>33.084795728451169</v>
      </c>
      <c r="U18" s="45">
        <f>IFERROR(VLOOKUP(B18,RECEITAS!A:C,3,FALSE),"")</f>
        <v>2.8395295247239574</v>
      </c>
      <c r="V18" s="45">
        <f>IFERROR((U18+S18)*(1-ANALISE!$I$4),"")</f>
        <v>7.2864106710211569</v>
      </c>
      <c r="W18" s="45">
        <f t="shared" si="2"/>
        <v>54.210895392397418</v>
      </c>
    </row>
    <row r="19" spans="1:23" x14ac:dyDescent="0.3">
      <c r="A19">
        <f>Crono_Seg!A17</f>
        <v>6</v>
      </c>
      <c r="B19" t="str">
        <f>Crono_Seg!B17</f>
        <v>BRIOCHE MARGARINA 50% AÇUCAR</v>
      </c>
      <c r="C19" s="17">
        <f>Crono_Seg!C17</f>
        <v>3</v>
      </c>
      <c r="D19" t="str">
        <f>IFERROR(VLOOKUP(B19,RECEITAS!A:C,$D$7,FALSE),"")</f>
        <v>DIRETO</v>
      </c>
      <c r="E19" s="1">
        <f>IFERROR(E18+(VLOOKUP($D19,PROCESSO!$B:$P,AP_CRONO_SEG!E$8,FALSE)/24),"")</f>
        <v>0.24305555555555564</v>
      </c>
      <c r="F19" s="1">
        <f>Crono_Seg!E17</f>
        <v>0.27569444444444446</v>
      </c>
      <c r="G19" s="1">
        <f>IFERROR(IF(F19=0,"",VLOOKUP($D19,PROCESSO!$B:$P,G$8,FALSE)/24)*IFERROR(IF(#REF!&gt;$B$8,ROUNDUP(#REF!/$B$8,0),1),1)+($A$8/24)+F19,"")</f>
        <v>0.28958333333333336</v>
      </c>
      <c r="H19" s="1">
        <f t="shared" si="0"/>
        <v>0.28958333333333336</v>
      </c>
      <c r="I19" s="1">
        <f>IFERROR(IF(H19=0,"",VLOOKUP($D19,PROCESSO!$B:$P,H$8,FALSE)/24)+($A$8/24)+H19,"")</f>
        <v>0.29305555555555557</v>
      </c>
      <c r="J19" s="1">
        <f>IFERROR(IF(I19=0,"",VLOOKUP($D19,PROCESSO!$B:$P,I$8,FALSE)/24)+($A$8/24)+I19,"")</f>
        <v>0.30138888888888893</v>
      </c>
      <c r="K19" s="1">
        <f>IFERROR(IF(J19=0,"",VLOOKUP($D19,PROCESSO!$B:$P,J$8,FALSE)/24)+($A$8/24)+J19,"")</f>
        <v>0.30972222222222229</v>
      </c>
      <c r="L19" s="1">
        <f>IFERROR(IF(K19=0,"",VLOOKUP($D19,PROCESSO!$B:$P,K$8,FALSE)/24)+($A$8/24)+K19,"")</f>
        <v>0.3131944444444445</v>
      </c>
      <c r="M19" s="1">
        <f>IFERROR(IF(L19=0,"",VLOOKUP($D19,PROCESSO!$B:$P,L$8,FALSE)/24)+($A$8/24)+L19,"")</f>
        <v>0.34097222222222229</v>
      </c>
      <c r="N19" s="1">
        <f>IFERROR(IF(M19=0,"",VLOOKUP($D19,PROCESSO!$B:$P,M$8,FALSE)/24)+($A$8/24)+M19,"")</f>
        <v>0.4069444444444445</v>
      </c>
      <c r="O19" s="1">
        <f>IFERROR(IF(N19=0,"",VLOOKUP($D19,PROCESSO!$B:$P,N$8,FALSE)/24)+($A$8/24)+N19,"")</f>
        <v>0.43125000000000002</v>
      </c>
      <c r="P19" s="1">
        <f>IFERROR(IF(O19=0,"",VLOOKUP($D19,PROCESSO!$B:$P,O$8,FALSE)/24)+($A$8/24)+O19,"")</f>
        <v>0.49722222222222223</v>
      </c>
      <c r="Q19" s="1">
        <f>IFERROR(IF(P19=0,"",VLOOKUP($D19,PROCESSO!$B:$P,P$8,FALSE)/24)+($A$8/24)+P19,"")</f>
        <v>0.52986111111111112</v>
      </c>
      <c r="R19" s="1">
        <f>IFERROR(IF(Q19=0,"",VLOOKUP($D19,PROCESSO!$B:$P,Q$8,FALSE)/24)+($A$8/24)+Q19,"")</f>
        <v>0.57499999999999996</v>
      </c>
      <c r="S19" s="45">
        <f>IFERROR(IFERROR(VLOOKUP(D19,PROCESSO!B:P,15,FALSE),"")/SUMIFS(C:C,A:A,A19),"")</f>
        <v>4.4468811462971995</v>
      </c>
      <c r="T19" s="45">
        <f t="shared" si="1"/>
        <v>13.340643438891599</v>
      </c>
      <c r="U19" s="45">
        <f>IFERROR(VLOOKUP(B19,RECEITAS!A:C,3,FALSE),"")</f>
        <v>2.8814478282576137</v>
      </c>
      <c r="V19" s="45">
        <f>IFERROR((U19+S19)*(1-ANALISE!$I$4),"")</f>
        <v>7.3283289745548128</v>
      </c>
      <c r="W19" s="45">
        <f t="shared" si="2"/>
        <v>21.984986923664437</v>
      </c>
    </row>
    <row r="20" spans="1:23" x14ac:dyDescent="0.3">
      <c r="A20">
        <f>Crono_Seg!A18</f>
        <v>7</v>
      </c>
      <c r="B20" t="str">
        <f>Crono_Seg!B18</f>
        <v>PH VINHEDO</v>
      </c>
      <c r="C20" s="17">
        <f>Crono_Seg!C18</f>
        <v>1.2000000000000002</v>
      </c>
      <c r="D20" t="str">
        <f>IFERROR(VLOOKUP(B20,RECEITAS!A:C,$D$7,FALSE),"")</f>
        <v>DIRETO</v>
      </c>
      <c r="E20" s="1">
        <f>IFERROR(E19+(VLOOKUP($D20,PROCESSO!$B:$P,AP_CRONO_SEG!E$8,FALSE)/24),"")</f>
        <v>0.2486111111111112</v>
      </c>
      <c r="F20" s="1">
        <f>Crono_Seg!E18</f>
        <v>0.28472222222222221</v>
      </c>
      <c r="G20" s="1">
        <f>IFERROR(IF(F20=0,"",VLOOKUP($D20,PROCESSO!$B:$P,G$8,FALSE)/24)*IFERROR(IF(#REF!&gt;$B$8,ROUNDUP(#REF!/$B$8,0),1),1)+($A$8/24)+F20,"")</f>
        <v>0.2986111111111111</v>
      </c>
      <c r="H20" s="1">
        <f t="shared" si="0"/>
        <v>0.2986111111111111</v>
      </c>
      <c r="I20" s="1">
        <f>IFERROR(IF(H20=0,"",VLOOKUP($D20,PROCESSO!$B:$P,H$8,FALSE)/24)+($A$8/24)+H20,"")</f>
        <v>0.30208333333333331</v>
      </c>
      <c r="J20" s="1">
        <f>IFERROR(IF(I20=0,"",VLOOKUP($D20,PROCESSO!$B:$P,I$8,FALSE)/24)+($A$8/24)+I20,"")</f>
        <v>0.31041666666666667</v>
      </c>
      <c r="K20" s="1">
        <f>IFERROR(IF(J20=0,"",VLOOKUP($D20,PROCESSO!$B:$P,J$8,FALSE)/24)+($A$8/24)+J20,"")</f>
        <v>0.31875000000000003</v>
      </c>
      <c r="L20" s="1">
        <f>IFERROR(IF(K20=0,"",VLOOKUP($D20,PROCESSO!$B:$P,K$8,FALSE)/24)+($A$8/24)+K20,"")</f>
        <v>0.32222222222222224</v>
      </c>
      <c r="M20" s="1">
        <f>IFERROR(IF(L20=0,"",VLOOKUP($D20,PROCESSO!$B:$P,L$8,FALSE)/24)+($A$8/24)+L20,"")</f>
        <v>0.35000000000000003</v>
      </c>
      <c r="N20" s="1">
        <f>IFERROR(IF(M20=0,"",VLOOKUP($D20,PROCESSO!$B:$P,M$8,FALSE)/24)+($A$8/24)+M20,"")</f>
        <v>0.41597222222222224</v>
      </c>
      <c r="O20" s="1">
        <f>IFERROR(IF(N20=0,"",VLOOKUP($D20,PROCESSO!$B:$P,N$8,FALSE)/24)+($A$8/24)+N20,"")</f>
        <v>0.44027777777777777</v>
      </c>
      <c r="P20" s="1">
        <f>IFERROR(IF(O20=0,"",VLOOKUP($D20,PROCESSO!$B:$P,O$8,FALSE)/24)+($A$8/24)+O20,"")</f>
        <v>0.50624999999999998</v>
      </c>
      <c r="Q20" s="1">
        <f>IFERROR(IF(P20=0,"",VLOOKUP($D20,PROCESSO!$B:$P,P$8,FALSE)/24)+($A$8/24)+P20,"")</f>
        <v>0.53888888888888886</v>
      </c>
      <c r="R20" s="1">
        <f>IFERROR(IF(Q20=0,"",VLOOKUP($D20,PROCESSO!$B:$P,Q$8,FALSE)/24)+($A$8/24)+Q20,"")</f>
        <v>0.5840277777777777</v>
      </c>
      <c r="S20" s="45">
        <f>IFERROR(IFERROR(VLOOKUP(D20,PROCESSO!B:P,15,FALSE),"")/SUMIFS(C:C,A:A,A20),"")</f>
        <v>11.133198841089392</v>
      </c>
      <c r="T20" s="45">
        <f t="shared" si="1"/>
        <v>13.359838609307273</v>
      </c>
      <c r="U20" s="45">
        <f>IFERROR(VLOOKUP(B20,RECEITAS!A:C,3,FALSE),"")</f>
        <v>4.2629144274493598</v>
      </c>
      <c r="V20" s="45">
        <f>IFERROR((U20+S20)*(1-ANALISE!$I$4),"")</f>
        <v>15.396113268538752</v>
      </c>
      <c r="W20" s="45">
        <f t="shared" si="2"/>
        <v>18.475335922246504</v>
      </c>
    </row>
    <row r="21" spans="1:23" x14ac:dyDescent="0.3">
      <c r="A21">
        <f>Crono_Seg!A19</f>
        <v>7</v>
      </c>
      <c r="B21" t="str">
        <f>Crono_Seg!B19</f>
        <v>PF INTEGRAL</v>
      </c>
      <c r="C21" s="17">
        <f>Crono_Seg!C19</f>
        <v>1.8</v>
      </c>
      <c r="D21" t="str">
        <f>IFERROR(VLOOKUP(B21,RECEITAS!A:C,$D$7,FALSE),"")</f>
        <v>DIRETO</v>
      </c>
      <c r="E21" s="1">
        <f>IFERROR(E20+(VLOOKUP($D21,PROCESSO!$B:$P,AP_CRONO_SEG!E$8,FALSE)/24),"")</f>
        <v>0.25416666666666676</v>
      </c>
      <c r="F21" s="1">
        <f>Crono_Seg!E19</f>
        <v>0.28819444444444448</v>
      </c>
      <c r="G21" s="1">
        <f>IFERROR(IF(F21=0,"",VLOOKUP($D21,PROCESSO!$B:$P,G$8,FALSE)/24)*IFERROR(IF(#REF!&gt;$B$8,ROUNDUP(#REF!/$B$8,0),1),1)+($A$8/24)+F21,"")</f>
        <v>0.30208333333333337</v>
      </c>
      <c r="H21" s="1">
        <f t="shared" si="0"/>
        <v>0.30208333333333337</v>
      </c>
      <c r="I21" s="1">
        <f>IFERROR(IF(H21=0,"",VLOOKUP($D21,PROCESSO!$B:$P,H$8,FALSE)/24)+($A$8/24)+H21,"")</f>
        <v>0.30555555555555558</v>
      </c>
      <c r="J21" s="1">
        <f>IFERROR(IF(I21=0,"",VLOOKUP($D21,PROCESSO!$B:$P,I$8,FALSE)/24)+($A$8/24)+I21,"")</f>
        <v>0.31388888888888894</v>
      </c>
      <c r="K21" s="1">
        <f>IFERROR(IF(J21=0,"",VLOOKUP($D21,PROCESSO!$B:$P,J$8,FALSE)/24)+($A$8/24)+J21,"")</f>
        <v>0.3222222222222223</v>
      </c>
      <c r="L21" s="1">
        <f>IFERROR(IF(K21=0,"",VLOOKUP($D21,PROCESSO!$B:$P,K$8,FALSE)/24)+($A$8/24)+K21,"")</f>
        <v>0.32569444444444451</v>
      </c>
      <c r="M21" s="1">
        <f>IFERROR(IF(L21=0,"",VLOOKUP($D21,PROCESSO!$B:$P,L$8,FALSE)/24)+($A$8/24)+L21,"")</f>
        <v>0.3534722222222223</v>
      </c>
      <c r="N21" s="1">
        <f>IFERROR(IF(M21=0,"",VLOOKUP($D21,PROCESSO!$B:$P,M$8,FALSE)/24)+($A$8/24)+M21,"")</f>
        <v>0.41944444444444451</v>
      </c>
      <c r="O21" s="1">
        <f>IFERROR(IF(N21=0,"",VLOOKUP($D21,PROCESSO!$B:$P,N$8,FALSE)/24)+($A$8/24)+N21,"")</f>
        <v>0.44375000000000009</v>
      </c>
      <c r="P21" s="1">
        <f>IFERROR(IF(O21=0,"",VLOOKUP($D21,PROCESSO!$B:$P,O$8,FALSE)/24)+($A$8/24)+O21,"")</f>
        <v>0.5097222222222223</v>
      </c>
      <c r="Q21" s="1">
        <f>IFERROR(IF(P21=0,"",VLOOKUP($D21,PROCESSO!$B:$P,P$8,FALSE)/24)+($A$8/24)+P21,"")</f>
        <v>0.54236111111111118</v>
      </c>
      <c r="R21" s="1">
        <f>IFERROR(IF(Q21=0,"",VLOOKUP($D21,PROCESSO!$B:$P,Q$8,FALSE)/24)+($A$8/24)+Q21,"")</f>
        <v>0.58750000000000002</v>
      </c>
      <c r="S21" s="45">
        <f>IFERROR(IFERROR(VLOOKUP(D21,PROCESSO!B:P,15,FALSE),"")/SUMIFS(C:C,A:A,A21),"")</f>
        <v>11.133198841089392</v>
      </c>
      <c r="T21" s="45">
        <f t="shared" si="1"/>
        <v>20.039757913960905</v>
      </c>
      <c r="U21" s="45">
        <f>IFERROR(VLOOKUP(B21,RECEITAS!A:C,3,FALSE),"")</f>
        <v>2.6739550191991226</v>
      </c>
      <c r="V21" s="45">
        <f>IFERROR((U21+S21)*(1-ANALISE!$I$4),"")</f>
        <v>13.807153860288516</v>
      </c>
      <c r="W21" s="45">
        <f t="shared" si="2"/>
        <v>24.852876948519327</v>
      </c>
    </row>
    <row r="22" spans="1:23" x14ac:dyDescent="0.3">
      <c r="A22">
        <f>Crono_Seg!A20</f>
        <v>7</v>
      </c>
      <c r="B22" t="str">
        <f>Crono_Seg!B20</f>
        <v>VINHEDO RUST.</v>
      </c>
      <c r="C22" s="17">
        <f>Crono_Seg!C20</f>
        <v>1.17</v>
      </c>
      <c r="D22" t="str">
        <f>IFERROR(VLOOKUP(B22,RECEITAS!A:C,$D$7,FALSE),"")</f>
        <v>RÚSTICO</v>
      </c>
      <c r="E22" s="1">
        <f>IFERROR(E21+(VLOOKUP($D22,PROCESSO!$B:$P,AP_CRONO_SEG!E$8,FALSE)/24),"")</f>
        <v>0.2597222222222223</v>
      </c>
      <c r="F22" s="1">
        <f>Crono_Seg!E20</f>
        <v>0.28819444444444448</v>
      </c>
      <c r="G22" s="1">
        <f>IFERROR(IF(F22=0,"",VLOOKUP($D22,PROCESSO!$B:$P,G$8,FALSE)/24)*IFERROR(IF(#REF!&gt;$B$8,ROUNDUP(#REF!/$B$8,0),1),1)+($A$8/24)+F22,"")</f>
        <v>0.30208333333333337</v>
      </c>
      <c r="H22" s="1">
        <f t="shared" ref="H22:H25" si="3">G22</f>
        <v>0.30208333333333337</v>
      </c>
      <c r="I22" s="1">
        <f>IFERROR(IF(H22=0,"",VLOOKUP($D22,PROCESSO!$B:$P,H$8,FALSE)/24)+($A$8/24)+H22,"")</f>
        <v>0.30555555555555558</v>
      </c>
      <c r="J22" s="1">
        <f>IFERROR(IF(I22=0,"",VLOOKUP($D22,PROCESSO!$B:$P,I$8,FALSE)/24)+($A$8/24)+I22,"")</f>
        <v>0.35069444444444448</v>
      </c>
      <c r="K22" s="1">
        <f>IFERROR(IF(J22=0,"",VLOOKUP($D22,PROCESSO!$B:$P,J$8,FALSE)/24)+($A$8/24)+J22,"")</f>
        <v>0.37152777777777779</v>
      </c>
      <c r="L22" s="1">
        <f>IFERROR(IF(K22=0,"",VLOOKUP($D22,PROCESSO!$B:$P,K$8,FALSE)/24)+($A$8/24)+K22,"")</f>
        <v>0.40277777777777779</v>
      </c>
      <c r="M22" s="1">
        <f>IFERROR(IF(L22=0,"",VLOOKUP($D22,PROCESSO!$B:$P,L$8,FALSE)/24)+($A$8/24)+L22,"")</f>
        <v>0.4236111111111111</v>
      </c>
      <c r="N22" s="1">
        <f>IFERROR(IF(M22=0,"",VLOOKUP($D22,PROCESSO!$B:$P,M$8,FALSE)/24)+($A$8/24)+M22,"")</f>
        <v>0.46875</v>
      </c>
      <c r="O22" s="1">
        <f>IFERROR(IF(N22=0,"",VLOOKUP($D22,PROCESSO!$B:$P,N$8,FALSE)/24)+($A$8/24)+N22,"")</f>
        <v>0.5</v>
      </c>
      <c r="P22" s="1">
        <f>IFERROR(IF(O22=0,"",VLOOKUP($D22,PROCESSO!$B:$P,O$8,FALSE)/24)+($A$8/24)+O22,"")</f>
        <v>0.56597222222222221</v>
      </c>
      <c r="Q22" s="1">
        <f>IFERROR(IF(P22=0,"",VLOOKUP($D22,PROCESSO!$B:$P,P$8,FALSE)/24)+($A$8/24)+P22,"")</f>
        <v>0.56944444444444442</v>
      </c>
      <c r="R22" s="1">
        <f>IFERROR(IF(Q22=0,"",VLOOKUP($D22,PROCESSO!$B:$P,Q$8,FALSE)/24)+($A$8/24)+Q22,"")</f>
        <v>0.61458333333333326</v>
      </c>
      <c r="S22" s="45">
        <f>IFERROR(IFERROR(VLOOKUP(D22,PROCESSO!B:P,15,FALSE),"")/SUMIFS(C:C,A:A,A22),"")</f>
        <v>11.847337362886378</v>
      </c>
      <c r="T22" s="45">
        <f t="shared" si="1"/>
        <v>13.861384714577062</v>
      </c>
      <c r="U22" s="45">
        <f>IFERROR(VLOOKUP(B22,RECEITAS!A:C,3,FALSE),"")</f>
        <v>4.2629144274493598</v>
      </c>
      <c r="V22" s="45">
        <f>IFERROR((U22+S22)*(1-ANALISE!$I$4),"")</f>
        <v>16.110251790335738</v>
      </c>
      <c r="W22" s="45">
        <f t="shared" si="2"/>
        <v>18.848994594692812</v>
      </c>
    </row>
    <row r="23" spans="1:23" x14ac:dyDescent="0.3">
      <c r="A23">
        <f>Crono_Seg!A21</f>
        <v>8</v>
      </c>
      <c r="B23" t="str">
        <f>Crono_Seg!B21</f>
        <v>VEGANO TRAD.</v>
      </c>
      <c r="C23" s="17">
        <f>Crono_Seg!C21</f>
        <v>1.77</v>
      </c>
      <c r="D23" t="str">
        <f>IFERROR(VLOOKUP(B23,RECEITAS!A:C,$D$7,FALSE),"")</f>
        <v>DIRETO</v>
      </c>
      <c r="E23" s="1">
        <f>IFERROR(E22+(VLOOKUP($D23,PROCESSO!$B:$P,AP_CRONO_SEG!E$8,FALSE)/24),"")</f>
        <v>0.26527777777777783</v>
      </c>
      <c r="F23" s="1">
        <f>Crono_Seg!E21</f>
        <v>0.3215277777777778</v>
      </c>
      <c r="G23" s="1">
        <f>IFERROR(IF(F23=0,"",VLOOKUP($D23,PROCESSO!$B:$P,G$8,FALSE)/24)*IFERROR(IF(#REF!&gt;$B$8,ROUNDUP(#REF!/$B$8,0),1),1)+($A$8/24)+F23,"")</f>
        <v>0.3354166666666667</v>
      </c>
      <c r="H23" s="1">
        <f t="shared" si="3"/>
        <v>0.3354166666666667</v>
      </c>
      <c r="I23" s="1">
        <f>IFERROR(IF(H23=0,"",VLOOKUP($D23,PROCESSO!$B:$P,H$8,FALSE)/24)+($A$8/24)+H23,"")</f>
        <v>0.33888888888888891</v>
      </c>
      <c r="J23" s="1">
        <f>IFERROR(IF(I23=0,"",VLOOKUP($D23,PROCESSO!$B:$P,I$8,FALSE)/24)+($A$8/24)+I23,"")</f>
        <v>0.34722222222222227</v>
      </c>
      <c r="K23" s="1">
        <f>IFERROR(IF(J23=0,"",VLOOKUP($D23,PROCESSO!$B:$P,J$8,FALSE)/24)+($A$8/24)+J23,"")</f>
        <v>0.35555555555555562</v>
      </c>
      <c r="L23" s="1">
        <f>IFERROR(IF(K23=0,"",VLOOKUP($D23,PROCESSO!$B:$P,K$8,FALSE)/24)+($A$8/24)+K23,"")</f>
        <v>0.35902777777777783</v>
      </c>
      <c r="M23" s="1">
        <f>IFERROR(IF(L23=0,"",VLOOKUP($D23,PROCESSO!$B:$P,L$8,FALSE)/24)+($A$8/24)+L23,"")</f>
        <v>0.38680555555555562</v>
      </c>
      <c r="N23" s="1">
        <f>IFERROR(IF(M23=0,"",VLOOKUP($D23,PROCESSO!$B:$P,M$8,FALSE)/24)+($A$8/24)+M23,"")</f>
        <v>0.45277777777777783</v>
      </c>
      <c r="O23" s="1">
        <f>IFERROR(IF(N23=0,"",VLOOKUP($D23,PROCESSO!$B:$P,N$8,FALSE)/24)+($A$8/24)+N23,"")</f>
        <v>0.47708333333333341</v>
      </c>
      <c r="P23" s="1">
        <f>IFERROR(IF(O23=0,"",VLOOKUP($D23,PROCESSO!$B:$P,O$8,FALSE)/24)+($A$8/24)+O23,"")</f>
        <v>0.54305555555555562</v>
      </c>
      <c r="Q23" s="1">
        <f>IFERROR(IF(P23=0,"",VLOOKUP($D23,PROCESSO!$B:$P,P$8,FALSE)/24)+($A$8/24)+P23,"")</f>
        <v>0.57569444444444451</v>
      </c>
      <c r="R23" s="1">
        <f>IFERROR(IF(Q23=0,"",VLOOKUP($D23,PROCESSO!$B:$P,Q$8,FALSE)/24)+($A$8/24)+Q23,"")</f>
        <v>0.62083333333333335</v>
      </c>
      <c r="S23" s="45">
        <f>IFERROR(IFERROR(VLOOKUP(D23,PROCESSO!B:P,15,FALSE),"")/SUMIFS(C:C,A:A,A23),"")</f>
        <v>0.86340783275697897</v>
      </c>
      <c r="T23" s="45">
        <f t="shared" ref="T23:T25" si="4">IFERROR(S23*C23,"")</f>
        <v>1.5282318639798529</v>
      </c>
      <c r="U23" s="45">
        <f>IFERROR(VLOOKUP(B23,RECEITAS!A:C,3,FALSE),"")</f>
        <v>1.4304241248567149</v>
      </c>
      <c r="V23" s="45">
        <f>IFERROR((U23+S23)*(1-ANALISE!$I$4),"")</f>
        <v>2.2938319576136941</v>
      </c>
      <c r="W23" s="45">
        <f t="shared" ref="W23:W25" si="5">IFERROR(V23*C23,"")</f>
        <v>4.0600825649762387</v>
      </c>
    </row>
    <row r="24" spans="1:23" x14ac:dyDescent="0.3">
      <c r="A24">
        <f>Crono_Seg!A22</f>
        <v>8</v>
      </c>
      <c r="B24" t="str">
        <f>Crono_Seg!B22</f>
        <v>PH VERDE</v>
      </c>
      <c r="C24" s="17">
        <f>Crono_Seg!C22</f>
        <v>12.600000000000001</v>
      </c>
      <c r="D24" t="str">
        <f>IFERROR(VLOOKUP(B24,RECEITAS!A:C,$D$7,FALSE),"")</f>
        <v>DIRETO</v>
      </c>
      <c r="E24" s="1">
        <f>IFERROR(E23+(VLOOKUP($D24,PROCESSO!$B:$P,AP_CRONO_SEG!E$8,FALSE)/24),"")</f>
        <v>0.27083333333333337</v>
      </c>
      <c r="F24" s="1">
        <f>Crono_Seg!E22</f>
        <v>0.3215277777777778</v>
      </c>
      <c r="G24" s="1">
        <f>IFERROR(IF(F24=0,"",VLOOKUP($D24,PROCESSO!$B:$P,G$8,FALSE)/24)*IFERROR(IF(#REF!&gt;$B$8,ROUNDUP(#REF!/$B$8,0),1),1)+($A$8/24)+F24,"")</f>
        <v>0.3354166666666667</v>
      </c>
      <c r="H24" s="1">
        <f t="shared" si="3"/>
        <v>0.3354166666666667</v>
      </c>
      <c r="I24" s="1">
        <f>IFERROR(IF(H24=0,"",VLOOKUP($D24,PROCESSO!$B:$P,H$8,FALSE)/24)+($A$8/24)+H24,"")</f>
        <v>0.33888888888888891</v>
      </c>
      <c r="J24" s="1">
        <f>IFERROR(IF(I24=0,"",VLOOKUP($D24,PROCESSO!$B:$P,I$8,FALSE)/24)+($A$8/24)+I24,"")</f>
        <v>0.34722222222222227</v>
      </c>
      <c r="K24" s="1">
        <f>IFERROR(IF(J24=0,"",VLOOKUP($D24,PROCESSO!$B:$P,J$8,FALSE)/24)+($A$8/24)+J24,"")</f>
        <v>0.35555555555555562</v>
      </c>
      <c r="L24" s="1">
        <f>IFERROR(IF(K24=0,"",VLOOKUP($D24,PROCESSO!$B:$P,K$8,FALSE)/24)+($A$8/24)+K24,"")</f>
        <v>0.35902777777777783</v>
      </c>
      <c r="M24" s="1">
        <f>IFERROR(IF(L24=0,"",VLOOKUP($D24,PROCESSO!$B:$P,L$8,FALSE)/24)+($A$8/24)+L24,"")</f>
        <v>0.38680555555555562</v>
      </c>
      <c r="N24" s="1">
        <f>IFERROR(IF(M24=0,"",VLOOKUP($D24,PROCESSO!$B:$P,M$8,FALSE)/24)+($A$8/24)+M24,"")</f>
        <v>0.45277777777777783</v>
      </c>
      <c r="O24" s="1">
        <f>IFERROR(IF(N24=0,"",VLOOKUP($D24,PROCESSO!$B:$P,N$8,FALSE)/24)+($A$8/24)+N24,"")</f>
        <v>0.47708333333333341</v>
      </c>
      <c r="P24" s="1">
        <f>IFERROR(IF(O24=0,"",VLOOKUP($D24,PROCESSO!$B:$P,O$8,FALSE)/24)+($A$8/24)+O24,"")</f>
        <v>0.54305555555555562</v>
      </c>
      <c r="Q24" s="1">
        <f>IFERROR(IF(P24=0,"",VLOOKUP($D24,PROCESSO!$B:$P,P$8,FALSE)/24)+($A$8/24)+P24,"")</f>
        <v>0.57569444444444451</v>
      </c>
      <c r="R24" s="1">
        <f>IFERROR(IF(Q24=0,"",VLOOKUP($D24,PROCESSO!$B:$P,Q$8,FALSE)/24)+($A$8/24)+Q24,"")</f>
        <v>0.62083333333333335</v>
      </c>
      <c r="S24" s="45">
        <f>IFERROR(IFERROR(VLOOKUP(D24,PROCESSO!B:P,15,FALSE),"")/SUMIFS(C:C,A:A,A24),"")</f>
        <v>0.86340783275697897</v>
      </c>
      <c r="T24" s="45">
        <f t="shared" si="4"/>
        <v>10.878938692737936</v>
      </c>
      <c r="U24" s="45">
        <f>IFERROR(VLOOKUP(B24,RECEITAS!A:C,3,FALSE),"")</f>
        <v>2.3235487959442338</v>
      </c>
      <c r="V24" s="45">
        <f>IFERROR((U24+S24)*(1-ANALISE!$I$4),"")</f>
        <v>3.1869566287012128</v>
      </c>
      <c r="W24" s="45">
        <f t="shared" si="5"/>
        <v>40.155653521635287</v>
      </c>
    </row>
    <row r="25" spans="1:23" x14ac:dyDescent="0.3">
      <c r="A25">
        <f>Crono_Seg!A23</f>
        <v>8</v>
      </c>
      <c r="B25" t="str">
        <f>Crono_Seg!B23</f>
        <v>CASEIRINHO</v>
      </c>
      <c r="C25" s="17">
        <f>Crono_Seg!C23</f>
        <v>39.400000000000006</v>
      </c>
      <c r="D25" t="str">
        <f>IFERROR(VLOOKUP(B25,RECEITAS!A:C,$D$7,FALSE),"")</f>
        <v>DIRETO</v>
      </c>
      <c r="E25" s="1">
        <f>IFERROR(E24+(VLOOKUP($D25,PROCESSO!$B:$P,AP_CRONO_SEG!E$8,FALSE)/24),"")</f>
        <v>0.27638888888888891</v>
      </c>
      <c r="F25" s="1">
        <f>Crono_Seg!E23</f>
        <v>0.3215277777777778</v>
      </c>
      <c r="G25" s="1">
        <f>IFERROR(IF(F25=0,"",VLOOKUP($D25,PROCESSO!$B:$P,G$8,FALSE)/24)*IFERROR(IF(#REF!&gt;$B$8,ROUNDUP(#REF!/$B$8,0),1),1)+($A$8/24)+F25,"")</f>
        <v>0.3354166666666667</v>
      </c>
      <c r="H25" s="1">
        <f t="shared" si="3"/>
        <v>0.3354166666666667</v>
      </c>
      <c r="I25" s="1">
        <f>IFERROR(IF(H25=0,"",VLOOKUP($D25,PROCESSO!$B:$P,H$8,FALSE)/24)+($A$8/24)+H25,"")</f>
        <v>0.33888888888888891</v>
      </c>
      <c r="J25" s="1">
        <f>IFERROR(IF(I25=0,"",VLOOKUP($D25,PROCESSO!$B:$P,I$8,FALSE)/24)+($A$8/24)+I25,"")</f>
        <v>0.34722222222222227</v>
      </c>
      <c r="K25" s="1">
        <f>IFERROR(IF(J25=0,"",VLOOKUP($D25,PROCESSO!$B:$P,J$8,FALSE)/24)+($A$8/24)+J25,"")</f>
        <v>0.35555555555555562</v>
      </c>
      <c r="L25" s="1">
        <f>IFERROR(IF(K25=0,"",VLOOKUP($D25,PROCESSO!$B:$P,K$8,FALSE)/24)+($A$8/24)+K25,"")</f>
        <v>0.35902777777777783</v>
      </c>
      <c r="M25" s="1">
        <f>IFERROR(IF(L25=0,"",VLOOKUP($D25,PROCESSO!$B:$P,L$8,FALSE)/24)+($A$8/24)+L25,"")</f>
        <v>0.38680555555555562</v>
      </c>
      <c r="N25" s="1">
        <f>IFERROR(IF(M25=0,"",VLOOKUP($D25,PROCESSO!$B:$P,M$8,FALSE)/24)+($A$8/24)+M25,"")</f>
        <v>0.45277777777777783</v>
      </c>
      <c r="O25" s="1">
        <f>IFERROR(IF(N25=0,"",VLOOKUP($D25,PROCESSO!$B:$P,N$8,FALSE)/24)+($A$8/24)+N25,"")</f>
        <v>0.47708333333333341</v>
      </c>
      <c r="P25" s="1">
        <f>IFERROR(IF(O25=0,"",VLOOKUP($D25,PROCESSO!$B:$P,O$8,FALSE)/24)+($A$8/24)+O25,"")</f>
        <v>0.54305555555555562</v>
      </c>
      <c r="Q25" s="1">
        <f>IFERROR(IF(P25=0,"",VLOOKUP($D25,PROCESSO!$B:$P,P$8,FALSE)/24)+($A$8/24)+P25,"")</f>
        <v>0.57569444444444451</v>
      </c>
      <c r="R25" s="1">
        <f>IFERROR(IF(Q25=0,"",VLOOKUP($D25,PROCESSO!$B:$P,Q$8,FALSE)/24)+($A$8/24)+Q25,"")</f>
        <v>0.62083333333333335</v>
      </c>
      <c r="S25" s="45">
        <f>IFERROR(IFERROR(VLOOKUP(D25,PROCESSO!B:P,15,FALSE),"")/SUMIFS(C:C,A:A,A25),"")</f>
        <v>0.86340783275697897</v>
      </c>
      <c r="T25" s="45">
        <f t="shared" si="4"/>
        <v>34.018268610624979</v>
      </c>
      <c r="U25" s="45">
        <f>IFERROR(VLOOKUP(B25,RECEITAS!A:C,3,FALSE),"")</f>
        <v>2.38</v>
      </c>
      <c r="V25" s="45">
        <f>IFERROR((U25+S25)*(1-ANALISE!$I$4),"")</f>
        <v>3.2434078327569789</v>
      </c>
      <c r="W25" s="45">
        <f t="shared" si="5"/>
        <v>127.79026861062499</v>
      </c>
    </row>
    <row r="26" spans="1:23" x14ac:dyDescent="0.3">
      <c r="A26">
        <f>Crono_Seg!A24</f>
        <v>9</v>
      </c>
      <c r="B26" t="str">
        <f>Crono_Seg!B24</f>
        <v>GRISSINIS</v>
      </c>
      <c r="C26" s="17">
        <f>Crono_Seg!C24</f>
        <v>10</v>
      </c>
      <c r="D26" t="str">
        <f>IFERROR(VLOOKUP(B26,RECEITAS!A:C,$D$7,FALSE),"")</f>
        <v>RÚSTICO</v>
      </c>
      <c r="E26" s="1">
        <f>IFERROR(E25+(VLOOKUP($D26,PROCESSO!$B:$P,AP_CRONO_SEG!E$8,FALSE)/24),"")</f>
        <v>0.28194444444444444</v>
      </c>
      <c r="F26" s="1">
        <f>Crono_Seg!E24</f>
        <v>0.36527777777777781</v>
      </c>
      <c r="G26" s="1">
        <f>IFERROR(IF(F26=0,"",VLOOKUP($D26,PROCESSO!$B:$P,G$8,FALSE)/24)*IFERROR(IF(#REF!&gt;$B$8,ROUNDUP(#REF!/$B$8,0),1),1)+($A$8/24)+F26,"")</f>
        <v>0.37916666666666671</v>
      </c>
      <c r="H26" s="1">
        <f t="shared" ref="H26:H76" si="6">G26</f>
        <v>0.37916666666666671</v>
      </c>
      <c r="I26" s="1">
        <f>IFERROR(IF(H26=0,"",VLOOKUP($D26,PROCESSO!$B:$P,H$8,FALSE)/24)+($A$8/24)+H26,"")</f>
        <v>0.38263888888888892</v>
      </c>
      <c r="J26" s="1">
        <f>IFERROR(IF(I26=0,"",VLOOKUP($D26,PROCESSO!$B:$P,I$8,FALSE)/24)+($A$8/24)+I26,"")</f>
        <v>0.42777777777777781</v>
      </c>
      <c r="K26" s="1">
        <f>IFERROR(IF(J26=0,"",VLOOKUP($D26,PROCESSO!$B:$P,J$8,FALSE)/24)+($A$8/24)+J26,"")</f>
        <v>0.44861111111111113</v>
      </c>
      <c r="L26" s="1">
        <f>IFERROR(IF(K26=0,"",VLOOKUP($D26,PROCESSO!$B:$P,K$8,FALSE)/24)+($A$8/24)+K26,"")</f>
        <v>0.47986111111111113</v>
      </c>
      <c r="M26" s="1">
        <f>IFERROR(IF(L26=0,"",VLOOKUP($D26,PROCESSO!$B:$P,L$8,FALSE)/24)+($A$8/24)+L26,"")</f>
        <v>0.50069444444444444</v>
      </c>
      <c r="N26" s="1">
        <f>IFERROR(IF(M26=0,"",VLOOKUP($D26,PROCESSO!$B:$P,M$8,FALSE)/24)+($A$8/24)+M26,"")</f>
        <v>0.54583333333333328</v>
      </c>
      <c r="O26" s="1">
        <f>IFERROR(IF(N26=0,"",VLOOKUP($D26,PROCESSO!$B:$P,N$8,FALSE)/24)+($A$8/24)+N26,"")</f>
        <v>0.57708333333333328</v>
      </c>
      <c r="P26" s="1">
        <f>IFERROR(IF(O26=0,"",VLOOKUP($D26,PROCESSO!$B:$P,O$8,FALSE)/24)+($A$8/24)+O26,"")</f>
        <v>0.64305555555555549</v>
      </c>
      <c r="Q26" s="1">
        <f>IFERROR(IF(P26=0,"",VLOOKUP($D26,PROCESSO!$B:$P,P$8,FALSE)/24)+($A$8/24)+P26,"")</f>
        <v>0.6465277777777777</v>
      </c>
      <c r="R26" s="1">
        <f>IFERROR(IF(Q26=0,"",VLOOKUP($D26,PROCESSO!$B:$P,Q$8,FALSE)/24)+($A$8/24)+Q26,"")</f>
        <v>0.69166666666666654</v>
      </c>
      <c r="S26" s="45">
        <f>IFERROR(IFERROR(VLOOKUP(D26,PROCESSO!B:P,15,FALSE),"")/SUMIFS(C:C,A:A,A26),"")</f>
        <v>1.0000687611991133</v>
      </c>
      <c r="T26" s="45">
        <f t="shared" ref="T26:T76" si="7">IFERROR(S26*C26,"")</f>
        <v>10.000687611991133</v>
      </c>
      <c r="U26" s="45">
        <f>IFERROR(VLOOKUP(B26,RECEITAS!A:C,3,FALSE),"")</f>
        <v>2.4490459229898076</v>
      </c>
      <c r="V26" s="45">
        <f>IFERROR((U26+S26)*(1-ANALISE!$I$4),"")</f>
        <v>3.4491146841889209</v>
      </c>
      <c r="W26" s="45">
        <f t="shared" ref="W26:W76" si="8">IFERROR(V26*C26,"")</f>
        <v>34.491146841889211</v>
      </c>
    </row>
    <row r="27" spans="1:23" x14ac:dyDescent="0.3">
      <c r="A27">
        <f>Crono_Seg!A25</f>
        <v>9</v>
      </c>
      <c r="B27" t="str">
        <f>Crono_Seg!B25</f>
        <v>CASEIRINHO</v>
      </c>
      <c r="C27" s="17">
        <f>Crono_Seg!C25</f>
        <v>39.400000000000006</v>
      </c>
      <c r="D27" t="str">
        <f>IFERROR(VLOOKUP(B27,RECEITAS!A:C,$D$7,FALSE),"")</f>
        <v>DIRETO</v>
      </c>
      <c r="E27" s="1">
        <f>IFERROR(E26+(VLOOKUP($D27,PROCESSO!$B:$P,AP_CRONO_SEG!E$8,FALSE)/24),"")</f>
        <v>0.28749999999999998</v>
      </c>
      <c r="F27" s="1">
        <f>Crono_Seg!E25</f>
        <v>0.36805555555555558</v>
      </c>
      <c r="G27" s="1">
        <f>IFERROR(IF(F27=0,"",VLOOKUP($D27,PROCESSO!$B:$P,G$8,FALSE)/24)*IFERROR(IF(#REF!&gt;$B$8,ROUNDUP(#REF!/$B$8,0),1),1)+($A$8/24)+F27,"")</f>
        <v>0.38194444444444448</v>
      </c>
      <c r="H27" s="1">
        <f t="shared" si="6"/>
        <v>0.38194444444444448</v>
      </c>
      <c r="I27" s="1">
        <f>IFERROR(IF(H27=0,"",VLOOKUP($D27,PROCESSO!$B:$P,H$8,FALSE)/24)+($A$8/24)+H27,"")</f>
        <v>0.38541666666666669</v>
      </c>
      <c r="J27" s="1">
        <f>IFERROR(IF(I27=0,"",VLOOKUP($D27,PROCESSO!$B:$P,I$8,FALSE)/24)+($A$8/24)+I27,"")</f>
        <v>0.39375000000000004</v>
      </c>
      <c r="K27" s="1">
        <f>IFERROR(IF(J27=0,"",VLOOKUP($D27,PROCESSO!$B:$P,J$8,FALSE)/24)+($A$8/24)+J27,"")</f>
        <v>0.4020833333333334</v>
      </c>
      <c r="L27" s="1">
        <f>IFERROR(IF(K27=0,"",VLOOKUP($D27,PROCESSO!$B:$P,K$8,FALSE)/24)+($A$8/24)+K27,"")</f>
        <v>0.40555555555555561</v>
      </c>
      <c r="M27" s="1">
        <f>IFERROR(IF(L27=0,"",VLOOKUP($D27,PROCESSO!$B:$P,L$8,FALSE)/24)+($A$8/24)+L27,"")</f>
        <v>0.4333333333333334</v>
      </c>
      <c r="N27" s="1">
        <f>IFERROR(IF(M27=0,"",VLOOKUP($D27,PROCESSO!$B:$P,M$8,FALSE)/24)+($A$8/24)+M27,"")</f>
        <v>0.49930555555555561</v>
      </c>
      <c r="O27" s="1">
        <f>IFERROR(IF(N27=0,"",VLOOKUP($D27,PROCESSO!$B:$P,N$8,FALSE)/24)+($A$8/24)+N27,"")</f>
        <v>0.52361111111111114</v>
      </c>
      <c r="P27" s="1">
        <f>IFERROR(IF(O27=0,"",VLOOKUP($D27,PROCESSO!$B:$P,O$8,FALSE)/24)+($A$8/24)+O27,"")</f>
        <v>0.58958333333333335</v>
      </c>
      <c r="Q27" s="1">
        <f>IFERROR(IF(P27=0,"",VLOOKUP($D27,PROCESSO!$B:$P,P$8,FALSE)/24)+($A$8/24)+P27,"")</f>
        <v>0.62222222222222223</v>
      </c>
      <c r="R27" s="1">
        <f>IFERROR(IF(Q27=0,"",VLOOKUP($D27,PROCESSO!$B:$P,Q$8,FALSE)/24)+($A$8/24)+Q27,"")</f>
        <v>0.66736111111111107</v>
      </c>
      <c r="S27" s="45">
        <f>IFERROR(IFERROR(VLOOKUP(D27,PROCESSO!B:P,15,FALSE),"")/SUMIFS(C:C,A:A,A27),"")</f>
        <v>0.93978621796240402</v>
      </c>
      <c r="T27" s="45">
        <f t="shared" si="7"/>
        <v>37.027576987718724</v>
      </c>
      <c r="U27" s="45">
        <f>IFERROR(VLOOKUP(B27,RECEITAS!A:C,3,FALSE),"")</f>
        <v>2.38</v>
      </c>
      <c r="V27" s="45">
        <f>IFERROR((U27+S27)*(1-ANALISE!$I$4),"")</f>
        <v>3.3197862179624038</v>
      </c>
      <c r="W27" s="45">
        <f t="shared" si="8"/>
        <v>130.79957698771872</v>
      </c>
    </row>
    <row r="28" spans="1:23" x14ac:dyDescent="0.3">
      <c r="A28">
        <f>Crono_Seg!A26</f>
        <v>10</v>
      </c>
      <c r="B28" t="str">
        <f>Crono_Seg!B26</f>
        <v>BREZEL</v>
      </c>
      <c r="C28" s="17">
        <f>Crono_Seg!C26</f>
        <v>8.58</v>
      </c>
      <c r="D28" t="str">
        <f>IFERROR(VLOOKUP(B28,RECEITAS!A:C,$D$7,FALSE),"")</f>
        <v>RÚSTICO</v>
      </c>
      <c r="E28" s="1">
        <f>IFERROR(E27+(VLOOKUP($D28,PROCESSO!$B:$P,AP_CRONO_SEG!E$8,FALSE)/24),"")</f>
        <v>0.29305555555555551</v>
      </c>
      <c r="F28" s="1">
        <f>Crono_Seg!E26</f>
        <v>0.42708333333333331</v>
      </c>
      <c r="G28" s="1">
        <f>IFERROR(IF(F28=0,"",VLOOKUP($D28,PROCESSO!$B:$P,G$8,FALSE)/24)*IFERROR(IF(#REF!&gt;$B$8,ROUNDUP(#REF!/$B$8,0),1),1)+($A$8/24)+F28,"")</f>
        <v>0.44097222222222221</v>
      </c>
      <c r="H28" s="1">
        <f t="shared" si="6"/>
        <v>0.44097222222222221</v>
      </c>
      <c r="I28" s="1">
        <f>IFERROR(IF(H28=0,"",VLOOKUP($D28,PROCESSO!$B:$P,H$8,FALSE)/24)+($A$8/24)+H28,"")</f>
        <v>0.44444444444444442</v>
      </c>
      <c r="J28" s="1">
        <f>IFERROR(IF(I28=0,"",VLOOKUP($D28,PROCESSO!$B:$P,I$8,FALSE)/24)+($A$8/24)+I28,"")</f>
        <v>0.48958333333333331</v>
      </c>
      <c r="K28" s="1">
        <f>IFERROR(IF(J28=0,"",VLOOKUP($D28,PROCESSO!$B:$P,J$8,FALSE)/24)+($A$8/24)+J28,"")</f>
        <v>0.51041666666666663</v>
      </c>
      <c r="L28" s="1">
        <f>IFERROR(IF(K28=0,"",VLOOKUP($D28,PROCESSO!$B:$P,K$8,FALSE)/24)+($A$8/24)+K28,"")</f>
        <v>0.54166666666666663</v>
      </c>
      <c r="M28" s="1">
        <f>IFERROR(IF(L28=0,"",VLOOKUP($D28,PROCESSO!$B:$P,L$8,FALSE)/24)+($A$8/24)+L28,"")</f>
        <v>0.5625</v>
      </c>
      <c r="N28" s="1">
        <f>IFERROR(IF(M28=0,"",VLOOKUP($D28,PROCESSO!$B:$P,M$8,FALSE)/24)+($A$8/24)+M28,"")</f>
        <v>0.60763888888888884</v>
      </c>
      <c r="O28" s="1">
        <f>IFERROR(IF(N28=0,"",VLOOKUP($D28,PROCESSO!$B:$P,N$8,FALSE)/24)+($A$8/24)+N28,"")</f>
        <v>0.63888888888888884</v>
      </c>
      <c r="P28" s="1">
        <f>IFERROR(IF(O28=0,"",VLOOKUP($D28,PROCESSO!$B:$P,O$8,FALSE)/24)+($A$8/24)+O28,"")</f>
        <v>0.70486111111111105</v>
      </c>
      <c r="Q28" s="1">
        <f>IFERROR(IF(P28=0,"",VLOOKUP($D28,PROCESSO!$B:$P,P$8,FALSE)/24)+($A$8/24)+P28,"")</f>
        <v>0.70833333333333326</v>
      </c>
      <c r="R28" s="1">
        <f>IFERROR(IF(Q28=0,"",VLOOKUP($D28,PROCESSO!$B:$P,Q$8,FALSE)/24)+($A$8/24)+Q28,"")</f>
        <v>0.7534722222222221</v>
      </c>
      <c r="S28" s="45">
        <f>IFERROR(IFERROR(VLOOKUP(D28,PROCESSO!B:P,15,FALSE),"")/SUMIFS(C:C,A:A,A28),"")</f>
        <v>5.7579716553888343</v>
      </c>
      <c r="T28" s="45">
        <f t="shared" si="7"/>
        <v>49.403396803236198</v>
      </c>
      <c r="U28" s="45">
        <f>IFERROR(VLOOKUP(B28,RECEITAS!A:C,3,FALSE),"")</f>
        <v>2.21</v>
      </c>
      <c r="V28" s="45">
        <f>IFERROR((U28+S28)*(1-ANALISE!$I$4),"")</f>
        <v>7.9679716553888342</v>
      </c>
      <c r="W28" s="45">
        <f t="shared" si="8"/>
        <v>68.365196803236202</v>
      </c>
    </row>
    <row r="29" spans="1:23" x14ac:dyDescent="0.3">
      <c r="A29">
        <f>Crono_Seg!A27</f>
        <v>0</v>
      </c>
      <c r="B29">
        <f>Crono_Seg!B27</f>
        <v>0</v>
      </c>
      <c r="C29" s="17">
        <f>Crono_Seg!C27</f>
        <v>0</v>
      </c>
      <c r="D29" t="str">
        <f>IFERROR(VLOOKUP(B29,RECEITAS!A:C,$D$7,FALSE),"")</f>
        <v/>
      </c>
      <c r="E29" s="1" t="str">
        <f>IFERROR(E28+(VLOOKUP($D29,PROCESSO!$B:$P,AP_CRONO_SEG!E$8,FALSE)/24),"")</f>
        <v/>
      </c>
      <c r="F29" s="1">
        <f>Crono_Seg!E27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6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7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8"/>
        <v/>
      </c>
    </row>
    <row r="30" spans="1:23" x14ac:dyDescent="0.3">
      <c r="A30">
        <f>Crono_Seg!A28</f>
        <v>0</v>
      </c>
      <c r="B30">
        <f>Crono_Seg!B28</f>
        <v>0</v>
      </c>
      <c r="C30" s="17">
        <f>Crono_Seg!C28</f>
        <v>0</v>
      </c>
      <c r="D30" t="str">
        <f>IFERROR(VLOOKUP(B30,RECEITAS!A:C,$D$7,FALSE),"")</f>
        <v/>
      </c>
      <c r="E30" s="1" t="str">
        <f>IFERROR(E29+(VLOOKUP($D30,PROCESSO!$B:$P,AP_CRONO_SEG!E$8,FALSE)/24),"")</f>
        <v/>
      </c>
      <c r="F30" s="1">
        <f>Crono_Seg!E28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6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7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8"/>
        <v/>
      </c>
    </row>
    <row r="31" spans="1:23" x14ac:dyDescent="0.3">
      <c r="A31">
        <f>Crono_Seg!A29</f>
        <v>0</v>
      </c>
      <c r="B31">
        <f>Crono_Seg!B29</f>
        <v>0</v>
      </c>
      <c r="C31" s="17">
        <f>Crono_Seg!C29</f>
        <v>0</v>
      </c>
      <c r="D31" t="str">
        <f>IFERROR(VLOOKUP(B31,RECEITAS!A:C,$D$7,FALSE),"")</f>
        <v/>
      </c>
      <c r="E31" s="1" t="str">
        <f>IFERROR(E30+(VLOOKUP($D31,PROCESSO!$B:$P,AP_CRONO_SEG!E$8,FALSE)/24),"")</f>
        <v/>
      </c>
      <c r="F31" s="1">
        <f>Crono_Seg!E29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6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7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8"/>
        <v/>
      </c>
    </row>
    <row r="32" spans="1:23" x14ac:dyDescent="0.3">
      <c r="A32">
        <f>Crono_Seg!A30</f>
        <v>0</v>
      </c>
      <c r="B32">
        <f>Crono_Seg!B30</f>
        <v>0</v>
      </c>
      <c r="C32" s="17">
        <f>Crono_Seg!C30</f>
        <v>0</v>
      </c>
      <c r="D32" t="str">
        <f>IFERROR(VLOOKUP(B32,RECEITAS!A:C,$D$7,FALSE),"")</f>
        <v/>
      </c>
      <c r="E32" s="1" t="str">
        <f>IFERROR(E31+(VLOOKUP($D32,PROCESSO!$B:$P,AP_CRONO_SEG!E$8,FALSE)/24),"")</f>
        <v/>
      </c>
      <c r="F32" s="1">
        <f>Crono_Seg!E30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3">
      <c r="A33">
        <f>Crono_Seg!A31</f>
        <v>0</v>
      </c>
      <c r="B33">
        <f>Crono_Seg!B31</f>
        <v>0</v>
      </c>
      <c r="C33" s="17">
        <f>Crono_Seg!C31</f>
        <v>0</v>
      </c>
      <c r="D33" t="str">
        <f>IFERROR(VLOOKUP(B33,RECEITAS!A:C,$D$7,FALSE),"")</f>
        <v/>
      </c>
      <c r="E33" s="1" t="str">
        <f>IFERROR(E32+(VLOOKUP($D33,PROCESSO!$B:$P,AP_CRONO_SEG!E$8,FALSE)/24),"")</f>
        <v/>
      </c>
      <c r="F33" s="1">
        <f>Crono_Seg!E31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3">
      <c r="A34">
        <f>Crono_Seg!A32</f>
        <v>0</v>
      </c>
      <c r="B34">
        <f>Crono_Seg!B32</f>
        <v>0</v>
      </c>
      <c r="C34" s="17">
        <f>Crono_Seg!C32</f>
        <v>0</v>
      </c>
      <c r="D34" t="str">
        <f>IFERROR(VLOOKUP(B34,RECEITAS!A:C,$D$7,FALSE),"")</f>
        <v/>
      </c>
      <c r="E34" s="1" t="str">
        <f>IFERROR(E33+(VLOOKUP($D34,PROCESSO!$B:$P,AP_CRONO_SEG!E$8,FALSE)/24),"")</f>
        <v/>
      </c>
      <c r="F34" s="1">
        <f>Crono_Seg!E32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  <row r="35" spans="1:23" x14ac:dyDescent="0.3">
      <c r="C35" s="17">
        <f>Crono_Seg!C33</f>
        <v>0</v>
      </c>
      <c r="D35" t="str">
        <f>IFERROR(VLOOKUP(B35,RECEITAS!A:C,$D$7,FALSE),"")</f>
        <v/>
      </c>
      <c r="E35" s="1" t="str">
        <f>IFERROR(E34+(VLOOKUP($D35,PROCESSO!$B:$P,AP_CRONO_SEG!E$8,FALSE)/24),"")</f>
        <v/>
      </c>
      <c r="F35" s="1">
        <f>Crono_Seg!E33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6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7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8"/>
        <v/>
      </c>
    </row>
    <row r="36" spans="1:23" x14ac:dyDescent="0.3">
      <c r="C36" s="17">
        <f>Crono_Seg!C34</f>
        <v>0</v>
      </c>
      <c r="D36" t="str">
        <f>IFERROR(VLOOKUP(B36,RECEITAS!A:C,$D$7,FALSE),"")</f>
        <v/>
      </c>
      <c r="E36" s="1" t="str">
        <f>IFERROR(E35+(VLOOKUP($D36,PROCESSO!$B:$P,AP_CRONO_SEG!E$8,FALSE)/24),"")</f>
        <v/>
      </c>
      <c r="F36" s="1">
        <f>Crono_Seg!E34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6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7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8"/>
        <v/>
      </c>
    </row>
    <row r="37" spans="1:23" x14ac:dyDescent="0.3">
      <c r="C37" s="17">
        <f>Crono_Seg!C35</f>
        <v>0</v>
      </c>
      <c r="D37" t="str">
        <f>IFERROR(VLOOKUP(B37,RECEITAS!A:C,$D$7,FALSE),"")</f>
        <v/>
      </c>
      <c r="E37" s="1" t="str">
        <f>IFERROR(E36+(VLOOKUP($D37,PROCESSO!$B:$P,AP_CRONO_SEG!E$8,FALSE)/24),"")</f>
        <v/>
      </c>
      <c r="F37" s="1">
        <f>Crono_Seg!E35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6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7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8"/>
        <v/>
      </c>
    </row>
    <row r="38" spans="1:23" x14ac:dyDescent="0.3">
      <c r="C38" s="17">
        <f>Crono_Seg!C36</f>
        <v>0</v>
      </c>
      <c r="D38" t="str">
        <f>IFERROR(VLOOKUP(B38,RECEITAS!A:C,$D$7,FALSE),"")</f>
        <v/>
      </c>
      <c r="E38" s="1" t="str">
        <f>IFERROR(E37+(VLOOKUP($D38,PROCESSO!$B:$P,AP_CRONO_SEG!E$8,FALSE)/24),"")</f>
        <v/>
      </c>
      <c r="F38" s="1">
        <f>Crono_Seg!E36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6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7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8"/>
        <v/>
      </c>
    </row>
    <row r="39" spans="1:23" x14ac:dyDescent="0.3">
      <c r="C39" s="17">
        <f>Crono_Seg!C37</f>
        <v>0</v>
      </c>
      <c r="D39" t="str">
        <f>IFERROR(VLOOKUP(B39,RECEITAS!A:C,$D$7,FALSE),"")</f>
        <v/>
      </c>
      <c r="E39" s="1" t="str">
        <f>IFERROR(E38+(VLOOKUP($D39,PROCESSO!$B:$P,AP_CRONO_SEG!E$8,FALSE)/24),"")</f>
        <v/>
      </c>
      <c r="F39" s="1">
        <f>Crono_Seg!E37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6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7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8"/>
        <v/>
      </c>
    </row>
    <row r="40" spans="1:23" x14ac:dyDescent="0.3">
      <c r="C40" s="17">
        <f>Crono_Seg!C38</f>
        <v>0</v>
      </c>
      <c r="D40" t="str">
        <f>IFERROR(VLOOKUP(B40,RECEITAS!A:C,$D$7,FALSE),"")</f>
        <v/>
      </c>
      <c r="E40" s="1" t="str">
        <f>IFERROR(E39+(VLOOKUP($D40,PROCESSO!$B:$P,AP_CRONO_SEG!E$8,FALSE)/24),"")</f>
        <v/>
      </c>
      <c r="F40" s="1">
        <f>Crono_Seg!E38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6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7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8"/>
        <v/>
      </c>
    </row>
    <row r="41" spans="1:23" x14ac:dyDescent="0.3">
      <c r="C41" s="17">
        <f>Crono_Seg!C39</f>
        <v>0</v>
      </c>
      <c r="D41" t="str">
        <f>IFERROR(VLOOKUP(B41,RECEITAS!A:C,$D$7,FALSE),"")</f>
        <v/>
      </c>
      <c r="E41" s="1" t="str">
        <f>IFERROR(E40+(VLOOKUP($D41,PROCESSO!$B:$P,AP_CRONO_SEG!E$8,FALSE)/24),"")</f>
        <v/>
      </c>
      <c r="F41" s="1">
        <f>Crono_Seg!E39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6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7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8"/>
        <v/>
      </c>
    </row>
    <row r="42" spans="1:23" x14ac:dyDescent="0.3">
      <c r="C42" s="17">
        <f>Crono_Seg!C40</f>
        <v>0</v>
      </c>
      <c r="D42" t="str">
        <f>IFERROR(VLOOKUP(B42,RECEITAS!A:C,$D$7,FALSE),"")</f>
        <v/>
      </c>
      <c r="E42" s="1" t="str">
        <f>IFERROR(E41+(VLOOKUP($D42,PROCESSO!$B:$P,AP_CRONO_SEG!E$8,FALSE)/24),"")</f>
        <v/>
      </c>
      <c r="F42" s="1">
        <f>Crono_Seg!E40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6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7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8"/>
        <v/>
      </c>
    </row>
    <row r="43" spans="1:23" x14ac:dyDescent="0.3">
      <c r="C43" s="17">
        <f>Crono_Seg!C41</f>
        <v>0</v>
      </c>
      <c r="D43" t="str">
        <f>IFERROR(VLOOKUP(B43,RECEITAS!A:C,$D$7,FALSE),"")</f>
        <v/>
      </c>
      <c r="E43" s="1" t="str">
        <f>IFERROR(E42+(VLOOKUP($D43,PROCESSO!$B:$P,AP_CRONO_SEG!E$8,FALSE)/24),"")</f>
        <v/>
      </c>
      <c r="F43" s="1">
        <f>Crono_Seg!E41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6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7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8"/>
        <v/>
      </c>
    </row>
    <row r="44" spans="1:23" x14ac:dyDescent="0.3">
      <c r="C44" s="17">
        <f>Crono_Seg!C42</f>
        <v>0</v>
      </c>
      <c r="D44" t="str">
        <f>IFERROR(VLOOKUP(B44,RECEITAS!A:C,$D$7,FALSE),"")</f>
        <v/>
      </c>
      <c r="E44" s="1" t="str">
        <f>IFERROR(E43+(VLOOKUP($D44,PROCESSO!$B:$P,AP_CRONO_SEG!E$8,FALSE)/24),"")</f>
        <v/>
      </c>
      <c r="F44" s="1">
        <f>Crono_Seg!E42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6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7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8"/>
        <v/>
      </c>
    </row>
    <row r="45" spans="1:23" x14ac:dyDescent="0.3">
      <c r="C45" s="17">
        <f>Crono_Seg!C43</f>
        <v>0</v>
      </c>
      <c r="D45" t="str">
        <f>IFERROR(VLOOKUP(B45,RECEITAS!A:C,$D$7,FALSE),"")</f>
        <v/>
      </c>
      <c r="E45" s="1" t="str">
        <f>IFERROR(E44+(VLOOKUP($D45,PROCESSO!$B:$P,AP_CRONO_SEG!E$8,FALSE)/24),"")</f>
        <v/>
      </c>
      <c r="F45" s="1">
        <f>Crono_Seg!E43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6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7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8"/>
        <v/>
      </c>
    </row>
    <row r="46" spans="1:23" x14ac:dyDescent="0.3">
      <c r="C46" s="17">
        <f>Crono_Seg!C44</f>
        <v>0</v>
      </c>
      <c r="D46" t="str">
        <f>IFERROR(VLOOKUP(B46,RECEITAS!A:C,$D$7,FALSE),"")</f>
        <v/>
      </c>
      <c r="E46" s="1" t="str">
        <f>IFERROR(E45+(VLOOKUP($D46,PROCESSO!$B:$P,AP_CRONO_SEG!E$8,FALSE)/24),"")</f>
        <v/>
      </c>
      <c r="F46" s="1">
        <f>Crono_Seg!E44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6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7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8"/>
        <v/>
      </c>
    </row>
    <row r="47" spans="1:23" x14ac:dyDescent="0.3">
      <c r="C47" s="17">
        <f>Crono_Seg!C45</f>
        <v>0</v>
      </c>
      <c r="D47" t="str">
        <f>IFERROR(VLOOKUP(B47,RECEITAS!A:C,$D$7,FALSE),"")</f>
        <v/>
      </c>
      <c r="E47" s="1" t="str">
        <f>IFERROR(E46+(VLOOKUP($D47,PROCESSO!$B:$P,AP_CRONO_SEG!E$8,FALSE)/24),"")</f>
        <v/>
      </c>
      <c r="F47" s="1">
        <f>Crono_Seg!E45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6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7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8"/>
        <v/>
      </c>
    </row>
    <row r="48" spans="1:23" x14ac:dyDescent="0.3">
      <c r="C48" s="17">
        <f>Crono_Seg!C46</f>
        <v>0</v>
      </c>
      <c r="D48" t="str">
        <f>IFERROR(VLOOKUP(B48,RECEITAS!A:C,$D$7,FALSE),"")</f>
        <v/>
      </c>
      <c r="E48" s="1" t="str">
        <f>IFERROR(E47+(VLOOKUP($D48,PROCESSO!$B:$P,AP_CRONO_SEG!E$8,FALSE)/24),"")</f>
        <v/>
      </c>
      <c r="F48" s="1">
        <f>Crono_Seg!E46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6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7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8"/>
        <v/>
      </c>
    </row>
    <row r="49" spans="3:23" x14ac:dyDescent="0.3">
      <c r="C49" s="17">
        <f>Crono_Seg!C47</f>
        <v>0</v>
      </c>
      <c r="D49" t="str">
        <f>IFERROR(VLOOKUP(B49,RECEITAS!A:C,$D$7,FALSE),"")</f>
        <v/>
      </c>
      <c r="E49" s="1" t="str">
        <f>IFERROR(E48+(VLOOKUP($D49,PROCESSO!$B:$P,AP_CRONO_SEG!E$8,FALSE)/24),"")</f>
        <v/>
      </c>
      <c r="F49" s="1">
        <f>Crono_Seg!E47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6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7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8"/>
        <v/>
      </c>
    </row>
    <row r="50" spans="3:23" x14ac:dyDescent="0.3">
      <c r="C50" s="17">
        <f>Crono_Seg!C48</f>
        <v>0</v>
      </c>
      <c r="D50" t="str">
        <f>IFERROR(VLOOKUP(B50,RECEITAS!A:C,$D$7,FALSE),"")</f>
        <v/>
      </c>
      <c r="E50" s="1" t="str">
        <f>IFERROR(E49+(VLOOKUP($D50,PROCESSO!$B:$P,AP_CRONO_SEG!E$8,FALSE)/24),"")</f>
        <v/>
      </c>
      <c r="F50" s="1">
        <f>Crono_Seg!E48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6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7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8"/>
        <v/>
      </c>
    </row>
    <row r="51" spans="3:23" x14ac:dyDescent="0.3">
      <c r="C51" s="17">
        <f>Crono_Seg!C49</f>
        <v>0</v>
      </c>
      <c r="D51" t="str">
        <f>IFERROR(VLOOKUP(B51,RECEITAS!A:C,$D$7,FALSE),"")</f>
        <v/>
      </c>
      <c r="E51" s="1" t="str">
        <f>IFERROR(E50+(VLOOKUP($D51,PROCESSO!$B:$P,AP_CRONO_SEG!E$8,FALSE)/24),"")</f>
        <v/>
      </c>
      <c r="F51" s="1">
        <f>Crono_Seg!E49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6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7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8"/>
        <v/>
      </c>
    </row>
    <row r="52" spans="3:23" x14ac:dyDescent="0.3">
      <c r="C52" s="17">
        <f>Crono_Seg!C50</f>
        <v>0</v>
      </c>
      <c r="D52" t="str">
        <f>IFERROR(VLOOKUP(B52,RECEITAS!A:C,$D$7,FALSE),"")</f>
        <v/>
      </c>
      <c r="E52" s="1" t="str">
        <f>IFERROR(E51+(VLOOKUP($D52,PROCESSO!$B:$P,AP_CRONO_SEG!E$8,FALSE)/24),"")</f>
        <v/>
      </c>
      <c r="F52" s="1">
        <f>Crono_Seg!E50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6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7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8"/>
        <v/>
      </c>
    </row>
    <row r="53" spans="3:23" x14ac:dyDescent="0.3">
      <c r="C53" s="17">
        <f>Crono_Seg!C51</f>
        <v>0</v>
      </c>
      <c r="D53" t="str">
        <f>IFERROR(VLOOKUP(B53,RECEITAS!A:C,$D$7,FALSE),"")</f>
        <v/>
      </c>
      <c r="E53" s="1" t="str">
        <f>IFERROR(E52+(VLOOKUP($D53,PROCESSO!$B:$P,AP_CRONO_SEG!E$8,FALSE)/24),"")</f>
        <v/>
      </c>
      <c r="F53" s="1">
        <f>Crono_Seg!E51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6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7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8"/>
        <v/>
      </c>
    </row>
    <row r="54" spans="3:23" x14ac:dyDescent="0.3">
      <c r="C54" s="17">
        <f>Crono_Seg!C52</f>
        <v>0</v>
      </c>
      <c r="D54" t="str">
        <f>IFERROR(VLOOKUP(B54,RECEITAS!A:C,$D$7,FALSE),"")</f>
        <v/>
      </c>
      <c r="E54" s="1" t="str">
        <f>IFERROR(E53+(VLOOKUP($D54,PROCESSO!$B:$P,AP_CRONO_SEG!E$8,FALSE)/24),"")</f>
        <v/>
      </c>
      <c r="F54" s="1">
        <f>Crono_Seg!E52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6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7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8"/>
        <v/>
      </c>
    </row>
    <row r="55" spans="3:23" x14ac:dyDescent="0.3">
      <c r="C55" s="17">
        <f>Crono_Seg!C53</f>
        <v>0</v>
      </c>
      <c r="D55" t="str">
        <f>IFERROR(VLOOKUP(B55,RECEITAS!A:C,$D$7,FALSE),"")</f>
        <v/>
      </c>
      <c r="E55" s="1" t="str">
        <f>IFERROR(E54+(VLOOKUP($D55,PROCESSO!$B:$P,AP_CRONO_SEG!E$8,FALSE)/24),"")</f>
        <v/>
      </c>
      <c r="F55" s="1">
        <f>Crono_Seg!E53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6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7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8"/>
        <v/>
      </c>
    </row>
    <row r="56" spans="3:23" x14ac:dyDescent="0.3">
      <c r="C56" s="17">
        <f>Crono_Seg!C54</f>
        <v>0</v>
      </c>
      <c r="D56" t="str">
        <f>IFERROR(VLOOKUP(B56,RECEITAS!A:C,$D$7,FALSE),"")</f>
        <v/>
      </c>
      <c r="E56" s="1" t="str">
        <f>IFERROR(E55+(VLOOKUP($D56,PROCESSO!$B:$P,AP_CRONO_SEG!E$8,FALSE)/24),"")</f>
        <v/>
      </c>
      <c r="F56" s="1">
        <f>Crono_Seg!E54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6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7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8"/>
        <v/>
      </c>
    </row>
    <row r="57" spans="3:23" x14ac:dyDescent="0.3">
      <c r="C57" s="17">
        <f>Crono_Seg!C55</f>
        <v>0</v>
      </c>
      <c r="D57" t="str">
        <f>IFERROR(VLOOKUP(B57,RECEITAS!A:C,$D$7,FALSE),"")</f>
        <v/>
      </c>
      <c r="E57" s="1" t="str">
        <f>IFERROR(E56+(VLOOKUP($D57,PROCESSO!$B:$P,AP_CRONO_SEG!E$8,FALSE)/24),"")</f>
        <v/>
      </c>
      <c r="F57" s="1">
        <f>Crono_Seg!E55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6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7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8"/>
        <v/>
      </c>
    </row>
    <row r="58" spans="3:23" x14ac:dyDescent="0.3">
      <c r="C58" s="17">
        <f>Crono_Seg!C56</f>
        <v>0</v>
      </c>
      <c r="D58" t="str">
        <f>IFERROR(VLOOKUP(B58,RECEITAS!A:C,$D$7,FALSE),"")</f>
        <v/>
      </c>
      <c r="E58" s="1" t="str">
        <f>IFERROR(E57+(VLOOKUP($D58,PROCESSO!$B:$P,AP_CRONO_SEG!E$8,FALSE)/24),"")</f>
        <v/>
      </c>
      <c r="F58" s="1">
        <f>Crono_Seg!E56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6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7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8"/>
        <v/>
      </c>
    </row>
    <row r="59" spans="3:23" x14ac:dyDescent="0.3">
      <c r="C59" s="17">
        <f>Crono_Seg!C57</f>
        <v>0</v>
      </c>
      <c r="D59" t="str">
        <f>IFERROR(VLOOKUP(B59,RECEITAS!A:C,$D$7,FALSE),"")</f>
        <v/>
      </c>
      <c r="E59" s="1" t="str">
        <f>IFERROR(E58+(VLOOKUP($D59,PROCESSO!$B:$P,AP_CRONO_SEG!E$8,FALSE)/24),"")</f>
        <v/>
      </c>
      <c r="F59" s="1">
        <f>Crono_Seg!E57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6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7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8"/>
        <v/>
      </c>
    </row>
    <row r="60" spans="3:23" x14ac:dyDescent="0.3">
      <c r="C60" s="17">
        <f>Crono_Seg!C58</f>
        <v>0</v>
      </c>
      <c r="D60" t="str">
        <f>IFERROR(VLOOKUP(B60,RECEITAS!A:C,$D$7,FALSE),"")</f>
        <v/>
      </c>
      <c r="E60" s="1" t="str">
        <f>IFERROR(E59+(VLOOKUP($D60,PROCESSO!$B:$P,AP_CRONO_SEG!E$8,FALSE)/24),"")</f>
        <v/>
      </c>
      <c r="F60" s="1">
        <f>Crono_Seg!E58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6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7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8"/>
        <v/>
      </c>
    </row>
    <row r="61" spans="3:23" x14ac:dyDescent="0.3">
      <c r="C61" s="17">
        <f>Crono_Seg!C59</f>
        <v>0</v>
      </c>
      <c r="D61" t="str">
        <f>IFERROR(VLOOKUP(B61,RECEITAS!A:C,$D$7,FALSE),"")</f>
        <v/>
      </c>
      <c r="E61" s="1" t="str">
        <f>IFERROR(E60+(VLOOKUP($D61,PROCESSO!$B:$P,AP_CRONO_SEG!E$8,FALSE)/24),"")</f>
        <v/>
      </c>
      <c r="F61" s="1">
        <f>Crono_Seg!E59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6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7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8"/>
        <v/>
      </c>
    </row>
    <row r="62" spans="3:23" x14ac:dyDescent="0.3">
      <c r="C62" s="17">
        <f>Crono_Seg!C60</f>
        <v>0</v>
      </c>
      <c r="D62" t="str">
        <f>IFERROR(VLOOKUP(B62,RECEITAS!A:C,$D$7,FALSE),"")</f>
        <v/>
      </c>
      <c r="E62" s="1" t="str">
        <f>IFERROR(E61+(VLOOKUP($D62,PROCESSO!$B:$P,AP_CRONO_SEG!E$8,FALSE)/24),"")</f>
        <v/>
      </c>
      <c r="F62" s="1">
        <f>Crono_Seg!E60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6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7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8"/>
        <v/>
      </c>
    </row>
    <row r="63" spans="3:23" x14ac:dyDescent="0.3">
      <c r="C63" s="17">
        <f>Crono_Seg!C61</f>
        <v>0</v>
      </c>
      <c r="D63" t="str">
        <f>IFERROR(VLOOKUP(B63,RECEITAS!A:C,$D$7,FALSE),"")</f>
        <v/>
      </c>
      <c r="E63" s="1" t="str">
        <f>IFERROR(E62+(VLOOKUP($D63,PROCESSO!$B:$P,AP_CRONO_SEG!E$8,FALSE)/24),"")</f>
        <v/>
      </c>
      <c r="F63" s="1">
        <f>Crono_Seg!E61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6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7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8"/>
        <v/>
      </c>
    </row>
    <row r="64" spans="3:23" x14ac:dyDescent="0.3">
      <c r="C64" s="17">
        <f>Crono_Seg!C62</f>
        <v>0</v>
      </c>
      <c r="D64" t="str">
        <f>IFERROR(VLOOKUP(B64,RECEITAS!A:C,$D$7,FALSE),"")</f>
        <v/>
      </c>
      <c r="E64" s="1" t="str">
        <f>IFERROR(E63+(VLOOKUP($D64,PROCESSO!$B:$P,AP_CRONO_SEG!E$8,FALSE)/24),"")</f>
        <v/>
      </c>
      <c r="F64" s="1">
        <f>Crono_Seg!E62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6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7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8"/>
        <v/>
      </c>
    </row>
    <row r="65" spans="3:23" x14ac:dyDescent="0.3">
      <c r="C65" s="17">
        <f>Crono_Seg!C63</f>
        <v>0</v>
      </c>
      <c r="D65" t="str">
        <f>IFERROR(VLOOKUP(B65,RECEITAS!A:C,$D$7,FALSE),"")</f>
        <v/>
      </c>
      <c r="E65" s="1" t="str">
        <f>IFERROR(E64+(VLOOKUP($D65,PROCESSO!$B:$P,AP_CRONO_SEG!E$8,FALSE)/24),"")</f>
        <v/>
      </c>
      <c r="F65" s="1">
        <f>Crono_Seg!E63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6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7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8"/>
        <v/>
      </c>
    </row>
    <row r="66" spans="3:23" x14ac:dyDescent="0.3">
      <c r="C66" s="17">
        <f>Crono_Seg!C64</f>
        <v>0</v>
      </c>
      <c r="D66" t="str">
        <f>IFERROR(VLOOKUP(B66,RECEITAS!A:C,$D$7,FALSE),"")</f>
        <v/>
      </c>
      <c r="E66" s="1" t="str">
        <f>IFERROR(E65+(VLOOKUP($D66,PROCESSO!$B:$P,AP_CRONO_SEG!E$8,FALSE)/24),"")</f>
        <v/>
      </c>
      <c r="F66" s="1">
        <f>Crono_Seg!E64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6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7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8"/>
        <v/>
      </c>
    </row>
    <row r="67" spans="3:23" x14ac:dyDescent="0.3">
      <c r="C67" s="17">
        <f>Crono_Seg!C65</f>
        <v>0</v>
      </c>
      <c r="D67" t="str">
        <f>IFERROR(VLOOKUP(B67,RECEITAS!A:C,$D$7,FALSE),"")</f>
        <v/>
      </c>
      <c r="E67" s="1" t="str">
        <f>IFERROR(E66+(VLOOKUP($D67,PROCESSO!$B:$P,AP_CRONO_SEG!E$8,FALSE)/24),"")</f>
        <v/>
      </c>
      <c r="F67" s="1">
        <f>Crono_Seg!E65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6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7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8"/>
        <v/>
      </c>
    </row>
    <row r="68" spans="3:23" x14ac:dyDescent="0.3">
      <c r="C68" s="17">
        <f>Crono_Seg!C66</f>
        <v>0</v>
      </c>
      <c r="D68" t="str">
        <f>IFERROR(VLOOKUP(B68,RECEITAS!A:C,$D$7,FALSE),"")</f>
        <v/>
      </c>
      <c r="E68" s="1" t="str">
        <f>IFERROR(E67+(VLOOKUP($D68,PROCESSO!$B:$P,AP_CRONO_SEG!E$8,FALSE)/24),"")</f>
        <v/>
      </c>
      <c r="F68" s="1">
        <f>Crono_Seg!E66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6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7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8"/>
        <v/>
      </c>
    </row>
    <row r="69" spans="3:23" x14ac:dyDescent="0.3">
      <c r="C69" s="17">
        <f>Crono_Seg!C67</f>
        <v>0</v>
      </c>
      <c r="D69" t="str">
        <f>IFERROR(VLOOKUP(B69,RECEITAS!A:C,$D$7,FALSE),"")</f>
        <v/>
      </c>
      <c r="E69" s="1" t="str">
        <f>IFERROR(E68+(VLOOKUP($D69,PROCESSO!$B:$P,AP_CRONO_SEG!E$8,FALSE)/24),"")</f>
        <v/>
      </c>
      <c r="F69" s="1">
        <f>Crono_Seg!E67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6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7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8"/>
        <v/>
      </c>
    </row>
    <row r="70" spans="3:23" x14ac:dyDescent="0.3">
      <c r="C70" s="17">
        <f>Crono_Seg!C68</f>
        <v>0</v>
      </c>
      <c r="D70" t="str">
        <f>IFERROR(VLOOKUP(B70,RECEITAS!A:C,$D$7,FALSE),"")</f>
        <v/>
      </c>
      <c r="E70" s="1" t="str">
        <f>IFERROR(E69+(VLOOKUP($D70,PROCESSO!$B:$P,AP_CRONO_SEG!E$8,FALSE)/24),"")</f>
        <v/>
      </c>
      <c r="F70" s="1">
        <f>Crono_Seg!E68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6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7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8"/>
        <v/>
      </c>
    </row>
    <row r="71" spans="3:23" x14ac:dyDescent="0.3">
      <c r="C71" s="17">
        <f>Crono_Seg!C69</f>
        <v>0</v>
      </c>
      <c r="D71" t="str">
        <f>IFERROR(VLOOKUP(B71,RECEITAS!A:C,$D$7,FALSE),"")</f>
        <v/>
      </c>
      <c r="E71" s="1" t="str">
        <f>IFERROR(E70+(VLOOKUP($D71,PROCESSO!$B:$P,AP_CRONO_SEG!E$8,FALSE)/24),"")</f>
        <v/>
      </c>
      <c r="F71" s="1">
        <f>Crono_Seg!E69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6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7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8"/>
        <v/>
      </c>
    </row>
    <row r="72" spans="3:23" x14ac:dyDescent="0.3">
      <c r="C72" s="17">
        <f>Crono_Seg!C70</f>
        <v>0</v>
      </c>
      <c r="D72" t="str">
        <f>IFERROR(VLOOKUP(B72,RECEITAS!A:C,$D$7,FALSE),"")</f>
        <v/>
      </c>
      <c r="E72" s="1" t="str">
        <f>IFERROR(E71+(VLOOKUP($D72,PROCESSO!$B:$P,AP_CRONO_SEG!E$8,FALSE)/24),"")</f>
        <v/>
      </c>
      <c r="F72" s="1">
        <f>Crono_Seg!E70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6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7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8"/>
        <v/>
      </c>
    </row>
    <row r="73" spans="3:23" x14ac:dyDescent="0.3">
      <c r="C73" s="17">
        <f>Crono_Seg!C71</f>
        <v>0</v>
      </c>
      <c r="D73" t="str">
        <f>IFERROR(VLOOKUP(B73,RECEITAS!A:C,$D$7,FALSE),"")</f>
        <v/>
      </c>
      <c r="E73" s="1" t="str">
        <f>IFERROR(E72+(VLOOKUP($D73,PROCESSO!$B:$P,AP_CRONO_SEG!E$8,FALSE)/24),"")</f>
        <v/>
      </c>
      <c r="F73" s="1">
        <f>Crono_Seg!E71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6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7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8"/>
        <v/>
      </c>
    </row>
    <row r="74" spans="3:23" x14ac:dyDescent="0.3">
      <c r="C74" s="17">
        <f>Crono_Seg!C72</f>
        <v>0</v>
      </c>
      <c r="D74" t="str">
        <f>IFERROR(VLOOKUP(B74,RECEITAS!A:C,$D$7,FALSE),"")</f>
        <v/>
      </c>
      <c r="E74" s="1" t="str">
        <f>IFERROR(E73+(VLOOKUP($D74,PROCESSO!$B:$P,AP_CRONO_SEG!E$8,FALSE)/24),"")</f>
        <v/>
      </c>
      <c r="F74" s="1">
        <f>Crono_Seg!E72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6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7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8"/>
        <v/>
      </c>
    </row>
    <row r="75" spans="3:23" x14ac:dyDescent="0.3">
      <c r="C75" s="17">
        <f>Crono_Seg!C73</f>
        <v>0</v>
      </c>
      <c r="D75" t="str">
        <f>IFERROR(VLOOKUP(B75,RECEITAS!A:C,$D$7,FALSE),"")</f>
        <v/>
      </c>
      <c r="E75" s="1" t="str">
        <f>IFERROR(E74+(VLOOKUP($D75,PROCESSO!$B:$P,AP_CRONO_SEG!E$8,FALSE)/24),"")</f>
        <v/>
      </c>
      <c r="F75" s="1">
        <f>Crono_Seg!E73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6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7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8"/>
        <v/>
      </c>
    </row>
    <row r="76" spans="3:23" x14ac:dyDescent="0.3">
      <c r="C76" s="17">
        <f>Crono_Seg!C74</f>
        <v>0</v>
      </c>
      <c r="D76" t="str">
        <f>IFERROR(VLOOKUP(B76,RECEITAS!A:C,$D$7,FALSE),"")</f>
        <v/>
      </c>
      <c r="E76" s="1" t="str">
        <f>IFERROR(E75+(VLOOKUP($D76,PROCESSO!$B:$P,AP_CRONO_SEG!E$8,FALSE)/24),"")</f>
        <v/>
      </c>
      <c r="F76" s="1">
        <f>Crono_Seg!E74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6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7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370F-EDE3-4ABA-869C-3143310621B5}">
  <sheetPr codeName="Planilha11"/>
  <dimension ref="A7:W86"/>
  <sheetViews>
    <sheetView zoomScaleNormal="100" workbookViewId="0">
      <selection activeCell="I10" sqref="I10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3" max="23" width="17.88671875" bestFit="1" customWidth="1"/>
  </cols>
  <sheetData>
    <row r="7" spans="1:23" x14ac:dyDescent="0.3">
      <c r="A7" t="s">
        <v>69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0.65865740740740741</v>
      </c>
      <c r="T8" s="1">
        <v>6.9444444444444441E-3</v>
      </c>
    </row>
    <row r="9" spans="1:23" s="22" customFormat="1" ht="28.2" customHeight="1" x14ac:dyDescent="0.3">
      <c r="A9" s="22" t="s">
        <v>68</v>
      </c>
      <c r="B9" s="22" t="s">
        <v>19</v>
      </c>
      <c r="E9" s="23" t="s">
        <v>1</v>
      </c>
      <c r="F9" s="34" t="s">
        <v>78</v>
      </c>
      <c r="G9" s="34" t="s">
        <v>79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80</v>
      </c>
      <c r="R9" s="23" t="s">
        <v>81</v>
      </c>
      <c r="S9" s="22" t="s">
        <v>100</v>
      </c>
      <c r="T9" s="22" t="s">
        <v>101</v>
      </c>
      <c r="U9" s="22" t="s">
        <v>102</v>
      </c>
      <c r="V9" s="22" t="s">
        <v>103</v>
      </c>
      <c r="W9" s="22" t="s">
        <v>104</v>
      </c>
    </row>
    <row r="10" spans="1:23" x14ac:dyDescent="0.3">
      <c r="A10">
        <f>Crono_Ter!A8</f>
        <v>1</v>
      </c>
      <c r="B10" t="str">
        <f>Crono_Ter!B8</f>
        <v>AMANTEIGADO</v>
      </c>
      <c r="C10" s="17">
        <f>Crono_Ter!C8</f>
        <v>17.98</v>
      </c>
      <c r="D10" t="str">
        <f>IFERROR(VLOOKUP(B10,RECEITAS!A:C,$D$7,FALSE),"")</f>
        <v>DIRETO</v>
      </c>
      <c r="E10" s="1">
        <f>IFERROR(D8+(VLOOKUP($D10,PROCESSO!$B:$P,AP_CRONO_TER!E$8,FALSE)/24),"")</f>
        <v>0.19305555555555556</v>
      </c>
      <c r="F10" s="1">
        <f>Crono_Ter!E8</f>
        <v>0.20833333333333334</v>
      </c>
      <c r="G10" s="1">
        <f>IFERROR(IF(F10=0,"",VLOOKUP($D10,PROCESSO!$B:$P,G$8,FALSE)/24)*IFERROR(IF(#REF!&gt;$B$8,ROUNDUP(#REF!/$B$8,0),1),1)+($A$8/24)+F10,"")</f>
        <v>0.22222222222222224</v>
      </c>
      <c r="H10" s="1">
        <f>G10</f>
        <v>0.22222222222222224</v>
      </c>
      <c r="I10" s="1">
        <f>IFERROR(IF(H10=0,"",VLOOKUP($D10,PROCESSO!$B:$P,H$8,FALSE)/24)+($A$8/24)+H10,"")</f>
        <v>0.22569444444444445</v>
      </c>
      <c r="J10" s="1">
        <f>IFERROR(IF(I10=0,"",VLOOKUP($D10,PROCESSO!$B:$P,I$8,FALSE)/24)+($A$8/24)+I10,"")</f>
        <v>0.23402777777777778</v>
      </c>
      <c r="K10" s="1">
        <f>IFERROR(IF(J10=0,"",VLOOKUP($D10,PROCESSO!$B:$P,J$8,FALSE)/24)+($A$8/24)+J10,"")</f>
        <v>0.24236111111111111</v>
      </c>
      <c r="L10" s="1">
        <f>IFERROR(IF(K10=0,"",VLOOKUP($D10,PROCESSO!$B:$P,K$8,FALSE)/24)+($A$8/24)+K10,"")</f>
        <v>0.24583333333333332</v>
      </c>
      <c r="M10" s="1">
        <f>IFERROR(IF(L10=0,"",VLOOKUP($D10,PROCESSO!$B:$P,L$8,FALSE)/24)+($A$8/24)+L10,"")</f>
        <v>0.27361111111111108</v>
      </c>
      <c r="N10" s="1">
        <f>IFERROR(IF(M10=0,"",VLOOKUP($D10,PROCESSO!$B:$P,M$8,FALSE)/24)+($A$8/24)+M10,"")</f>
        <v>0.33958333333333329</v>
      </c>
      <c r="O10" s="1">
        <f>IFERROR(IF(N10=0,"",VLOOKUP($D10,PROCESSO!$B:$P,N$8,FALSE)/24)+($A$8/24)+N10,"")</f>
        <v>0.36388888888888882</v>
      </c>
      <c r="P10" s="1">
        <f>IFERROR(IF(O10=0,"",VLOOKUP($D10,PROCESSO!$B:$P,O$8,FALSE)/24)+($A$8/24)+O10,"")</f>
        <v>0.42986111111111103</v>
      </c>
      <c r="Q10" s="1">
        <f>IFERROR(IF(P10=0,"",VLOOKUP($D10,PROCESSO!$B:$P,P$8,FALSE)/24)+($A$8/24)+P10,"")</f>
        <v>0.46249999999999991</v>
      </c>
      <c r="R10" s="1">
        <f>IFERROR(IF(Q10=0,"",VLOOKUP($D10,PROCESSO!$B:$P,Q$8,FALSE)/24)+($A$8/24)+Q10,"")</f>
        <v>0.50763888888888875</v>
      </c>
      <c r="S10" s="45">
        <f>IFERROR(IFERROR(VLOOKUP(D10,PROCESSO!B:P,15,FALSE),"")/SUMIFS(C:C,A:A,A10),"")</f>
        <v>1.7368289999005897</v>
      </c>
      <c r="T10" s="45">
        <f>IFERROR(S10*C10,"")</f>
        <v>31.228185418212604</v>
      </c>
      <c r="U10" s="45">
        <f>IFERROR(VLOOKUP(B10,RECEITAS!A:C,3,FALSE),"")</f>
        <v>1.8031880400301454</v>
      </c>
      <c r="V10" s="45">
        <f>IFERROR((U10+S10)*(1-ANALISE!$I$4),"")</f>
        <v>3.5400170399307349</v>
      </c>
      <c r="W10" s="45">
        <f>IFERROR(V10*C10,"")</f>
        <v>63.649506377954616</v>
      </c>
    </row>
    <row r="11" spans="1:23" x14ac:dyDescent="0.3">
      <c r="A11">
        <f>Crono_Ter!A9</f>
        <v>1</v>
      </c>
      <c r="B11" t="str">
        <f>Crono_Ter!B9</f>
        <v>P. AO LEVAIN</v>
      </c>
      <c r="C11" s="17">
        <f>Crono_Ter!C9</f>
        <v>8.75</v>
      </c>
      <c r="D11" t="str">
        <f>IFERROR(VLOOKUP(B11,RECEITAS!A:C,$D$7,FALSE),"")</f>
        <v>RÚSTICO</v>
      </c>
      <c r="E11" s="1">
        <f>IFERROR(E10+(VLOOKUP($D11,PROCESSO!$B:$P,AP_CRONO_TER!E$8,FALSE)/24),"")</f>
        <v>0.19861111111111113</v>
      </c>
      <c r="F11" s="1">
        <f>Crono_Ter!E9</f>
        <v>0.21180555555555555</v>
      </c>
      <c r="G11" s="1">
        <f>IFERROR(IF(F11=0,"",VLOOKUP($D11,PROCESSO!$B:$P,G$8,FALSE)/24)*IFERROR(IF(#REF!&gt;$B$8,ROUNDUP(#REF!/$B$8,0),1),1)+($A$8/24)+F11,"")</f>
        <v>0.22569444444444445</v>
      </c>
      <c r="H11" s="1">
        <f t="shared" ref="H11:H21" si="0">G11</f>
        <v>0.22569444444444445</v>
      </c>
      <c r="I11" s="1">
        <f>IFERROR(IF(H11=0,"",VLOOKUP($D11,PROCESSO!$B:$P,H$8,FALSE)/24)+($A$8/24)+H11,"")</f>
        <v>0.22916666666666666</v>
      </c>
      <c r="J11" s="1">
        <f>IFERROR(IF(I11=0,"",VLOOKUP($D11,PROCESSO!$B:$P,I$8,FALSE)/24)+($A$8/24)+I11,"")</f>
        <v>0.27430555555555552</v>
      </c>
      <c r="K11" s="1">
        <f>IFERROR(IF(J11=0,"",VLOOKUP($D11,PROCESSO!$B:$P,J$8,FALSE)/24)+($A$8/24)+J11,"")</f>
        <v>0.29513888888888884</v>
      </c>
      <c r="L11" s="1">
        <f>IFERROR(IF(K11=0,"",VLOOKUP($D11,PROCESSO!$B:$P,K$8,FALSE)/24)+($A$8/24)+K11,"")</f>
        <v>0.32638888888888884</v>
      </c>
      <c r="M11" s="1">
        <f>IFERROR(IF(L11=0,"",VLOOKUP($D11,PROCESSO!$B:$P,L$8,FALSE)/24)+($A$8/24)+L11,"")</f>
        <v>0.34722222222222215</v>
      </c>
      <c r="N11" s="1">
        <f>IFERROR(IF(M11=0,"",VLOOKUP($D11,PROCESSO!$B:$P,M$8,FALSE)/24)+($A$8/24)+M11,"")</f>
        <v>0.39236111111111105</v>
      </c>
      <c r="O11" s="1">
        <f>IFERROR(IF(N11=0,"",VLOOKUP($D11,PROCESSO!$B:$P,N$8,FALSE)/24)+($A$8/24)+N11,"")</f>
        <v>0.42361111111111105</v>
      </c>
      <c r="P11" s="1">
        <f>IFERROR(IF(O11=0,"",VLOOKUP($D11,PROCESSO!$B:$P,O$8,FALSE)/24)+($A$8/24)+O11,"")</f>
        <v>0.48958333333333326</v>
      </c>
      <c r="Q11" s="1">
        <f>IFERROR(IF(P11=0,"",VLOOKUP($D11,PROCESSO!$B:$P,P$8,FALSE)/24)+($A$8/24)+P11,"")</f>
        <v>0.49305555555555547</v>
      </c>
      <c r="R11" s="1">
        <f>IFERROR(IF(Q11=0,"",VLOOKUP($D11,PROCESSO!$B:$P,Q$8,FALSE)/24)+($A$8/24)+Q11,"")</f>
        <v>0.53819444444444431</v>
      </c>
      <c r="S11" s="45">
        <f>IFERROR(IFERROR(VLOOKUP(D11,PROCESSO!B:P,15,FALSE),"")/SUMIFS(C:C,A:A,A11),"")</f>
        <v>1.8482378153099961</v>
      </c>
      <c r="T11" s="45">
        <f t="shared" ref="T11:T22" si="1">IFERROR(S11*C11,"")</f>
        <v>16.172080883962465</v>
      </c>
      <c r="U11" s="45">
        <f>IFERROR(VLOOKUP(B11,RECEITAS!A:C,3,FALSE),"")</f>
        <v>2.3235487959442338</v>
      </c>
      <c r="V11" s="45">
        <f>IFERROR((U11+S11)*(1-ANALISE!$I$4),"")</f>
        <v>4.1717866112542303</v>
      </c>
      <c r="W11" s="45">
        <f t="shared" ref="W11:W22" si="2">IFERROR(V11*C11,"")</f>
        <v>36.503132848474515</v>
      </c>
    </row>
    <row r="12" spans="1:23" x14ac:dyDescent="0.3">
      <c r="A12">
        <f>Crono_Ter!A10</f>
        <v>2</v>
      </c>
      <c r="B12" t="str">
        <f>Crono_Ter!B10</f>
        <v>P. AZEITE RUST.</v>
      </c>
      <c r="C12" s="17">
        <f>Crono_Ter!C10</f>
        <v>5</v>
      </c>
      <c r="D12" t="str">
        <f>IFERROR(VLOOKUP(B12,RECEITAS!A:C,$D$7,FALSE),"")</f>
        <v>RÚSTICO</v>
      </c>
      <c r="E12" s="1">
        <f>IFERROR(E11+(VLOOKUP($D12,PROCESSO!$B:$P,AP_CRONO_TER!E$8,FALSE)/24),"")</f>
        <v>0.20416666666666669</v>
      </c>
      <c r="F12" s="1">
        <f>Crono_Ter!E10</f>
        <v>0.22916666666666666</v>
      </c>
      <c r="G12" s="1">
        <f>IFERROR(IF(F12=0,"",VLOOKUP($D12,PROCESSO!$B:$P,G$8,FALSE)/24)*IFERROR(IF(#REF!&gt;$B$8,ROUNDUP(#REF!/$B$8,0),1),1)+($A$8/24)+F12,"")</f>
        <v>0.24305555555555555</v>
      </c>
      <c r="H12" s="1">
        <f t="shared" si="0"/>
        <v>0.24305555555555555</v>
      </c>
      <c r="I12" s="1">
        <f>IFERROR(IF(H12=0,"",VLOOKUP($D12,PROCESSO!$B:$P,H$8,FALSE)/24)+($A$8/24)+H12,"")</f>
        <v>0.24652777777777776</v>
      </c>
      <c r="J12" s="1">
        <f>IFERROR(IF(I12=0,"",VLOOKUP($D12,PROCESSO!$B:$P,I$8,FALSE)/24)+($A$8/24)+I12,"")</f>
        <v>0.29166666666666663</v>
      </c>
      <c r="K12" s="1">
        <f>IFERROR(IF(J12=0,"",VLOOKUP($D12,PROCESSO!$B:$P,J$8,FALSE)/24)+($A$8/24)+J12,"")</f>
        <v>0.31249999999999994</v>
      </c>
      <c r="L12" s="1">
        <f>IFERROR(IF(K12=0,"",VLOOKUP($D12,PROCESSO!$B:$P,K$8,FALSE)/24)+($A$8/24)+K12,"")</f>
        <v>0.34374999999999994</v>
      </c>
      <c r="M12" s="1">
        <f>IFERROR(IF(L12=0,"",VLOOKUP($D12,PROCESSO!$B:$P,L$8,FALSE)/24)+($A$8/24)+L12,"")</f>
        <v>0.36458333333333326</v>
      </c>
      <c r="N12" s="1">
        <f>IFERROR(IF(M12=0,"",VLOOKUP($D12,PROCESSO!$B:$P,M$8,FALSE)/24)+($A$8/24)+M12,"")</f>
        <v>0.40972222222222215</v>
      </c>
      <c r="O12" s="1">
        <f>IFERROR(IF(N12=0,"",VLOOKUP($D12,PROCESSO!$B:$P,N$8,FALSE)/24)+($A$8/24)+N12,"")</f>
        <v>0.44097222222222215</v>
      </c>
      <c r="P12" s="1">
        <f>IFERROR(IF(O12=0,"",VLOOKUP($D12,PROCESSO!$B:$P,O$8,FALSE)/24)+($A$8/24)+O12,"")</f>
        <v>0.50694444444444442</v>
      </c>
      <c r="Q12" s="1">
        <f>IFERROR(IF(P12=0,"",VLOOKUP($D12,PROCESSO!$B:$P,P$8,FALSE)/24)+($A$8/24)+P12,"")</f>
        <v>0.51041666666666663</v>
      </c>
      <c r="R12" s="1">
        <f>IFERROR(IF(Q12=0,"",VLOOKUP($D12,PROCESSO!$B:$P,Q$8,FALSE)/24)+($A$8/24)+Q12,"")</f>
        <v>0.55555555555555547</v>
      </c>
      <c r="S12" s="45">
        <f>IFERROR(IFERROR(VLOOKUP(D12,PROCESSO!B:P,15,FALSE),"")/SUMIFS(C:C,A:A,A12),"")</f>
        <v>3.5288140573740141</v>
      </c>
      <c r="T12" s="45">
        <f t="shared" si="1"/>
        <v>17.644070286870072</v>
      </c>
      <c r="U12" s="45">
        <f>IFERROR(VLOOKUP(B12,RECEITAS!A:C,3,FALSE),"")</f>
        <v>2.046595017783527</v>
      </c>
      <c r="V12" s="45">
        <f>IFERROR((U12+S12)*(1-ANALISE!$I$4),"")</f>
        <v>5.5754090751575411</v>
      </c>
      <c r="W12" s="45">
        <f t="shared" si="2"/>
        <v>27.877045375787706</v>
      </c>
    </row>
    <row r="13" spans="1:23" x14ac:dyDescent="0.3">
      <c r="A13">
        <f>Crono_Ter!A11</f>
        <v>2</v>
      </c>
      <c r="B13" t="str">
        <f>Crono_Ter!B11</f>
        <v>MALTADO</v>
      </c>
      <c r="C13" s="17">
        <f>Crono_Ter!C11</f>
        <v>9</v>
      </c>
      <c r="D13" t="str">
        <f>IFERROR(VLOOKUP(B13,RECEITAS!A:C,$D$7,FALSE),"")</f>
        <v>RÚSTICO</v>
      </c>
      <c r="E13" s="1">
        <f>IFERROR(E12+(VLOOKUP($D13,PROCESSO!$B:$P,AP_CRONO_TER!E$8,FALSE)/24),"")</f>
        <v>0.20972222222222225</v>
      </c>
      <c r="F13" s="1">
        <f>Crono_Ter!E11</f>
        <v>0.23263888888888887</v>
      </c>
      <c r="G13" s="1">
        <f>IFERROR(IF(F13=0,"",VLOOKUP($D13,PROCESSO!$B:$P,G$8,FALSE)/24)*IFERROR(IF(#REF!&gt;$B$8,ROUNDUP(#REF!/$B$8,0),1),1)+($A$8/24)+F13,"")</f>
        <v>0.24652777777777776</v>
      </c>
      <c r="H13" s="1">
        <f t="shared" si="0"/>
        <v>0.24652777777777776</v>
      </c>
      <c r="I13" s="1">
        <f>IFERROR(IF(H13=0,"",VLOOKUP($D13,PROCESSO!$B:$P,H$8,FALSE)/24)+($A$8/24)+H13,"")</f>
        <v>0.24999999999999997</v>
      </c>
      <c r="J13" s="1">
        <f>IFERROR(IF(I13=0,"",VLOOKUP($D13,PROCESSO!$B:$P,I$8,FALSE)/24)+($A$8/24)+I13,"")</f>
        <v>0.29513888888888884</v>
      </c>
      <c r="K13" s="1">
        <f>IFERROR(IF(J13=0,"",VLOOKUP($D13,PROCESSO!$B:$P,J$8,FALSE)/24)+($A$8/24)+J13,"")</f>
        <v>0.31597222222222215</v>
      </c>
      <c r="L13" s="1">
        <f>IFERROR(IF(K13=0,"",VLOOKUP($D13,PROCESSO!$B:$P,K$8,FALSE)/24)+($A$8/24)+K13,"")</f>
        <v>0.34722222222222215</v>
      </c>
      <c r="M13" s="1">
        <f>IFERROR(IF(L13=0,"",VLOOKUP($D13,PROCESSO!$B:$P,L$8,FALSE)/24)+($A$8/24)+L13,"")</f>
        <v>0.36805555555555547</v>
      </c>
      <c r="N13" s="1">
        <f>IFERROR(IF(M13=0,"",VLOOKUP($D13,PROCESSO!$B:$P,M$8,FALSE)/24)+($A$8/24)+M13,"")</f>
        <v>0.41319444444444436</v>
      </c>
      <c r="O13" s="1">
        <f>IFERROR(IF(N13=0,"",VLOOKUP($D13,PROCESSO!$B:$P,N$8,FALSE)/24)+($A$8/24)+N13,"")</f>
        <v>0.44444444444444436</v>
      </c>
      <c r="P13" s="1">
        <f>IFERROR(IF(O13=0,"",VLOOKUP($D13,PROCESSO!$B:$P,O$8,FALSE)/24)+($A$8/24)+O13,"")</f>
        <v>0.51041666666666663</v>
      </c>
      <c r="Q13" s="1">
        <f>IFERROR(IF(P13=0,"",VLOOKUP($D13,PROCESSO!$B:$P,P$8,FALSE)/24)+($A$8/24)+P13,"")</f>
        <v>0.51388888888888884</v>
      </c>
      <c r="R13" s="1">
        <f>IFERROR(IF(Q13=0,"",VLOOKUP($D13,PROCESSO!$B:$P,Q$8,FALSE)/24)+($A$8/24)+Q13,"")</f>
        <v>0.55902777777777768</v>
      </c>
      <c r="S13" s="45">
        <f>IFERROR(IFERROR(VLOOKUP(D13,PROCESSO!B:P,15,FALSE),"")/SUMIFS(C:C,A:A,A13),"")</f>
        <v>3.5288140573740141</v>
      </c>
      <c r="T13" s="45">
        <f t="shared" si="1"/>
        <v>31.759326516366126</v>
      </c>
      <c r="U13" s="45">
        <f>IFERROR(VLOOKUP(B13,RECEITAS!A:C,3,FALSE),"")</f>
        <v>2.6739550191991226</v>
      </c>
      <c r="V13" s="45">
        <f>IFERROR((U13+S13)*(1-ANALISE!$I$4),"")</f>
        <v>6.2027690765731371</v>
      </c>
      <c r="W13" s="45">
        <f t="shared" si="2"/>
        <v>55.824921689158231</v>
      </c>
    </row>
    <row r="14" spans="1:23" x14ac:dyDescent="0.3">
      <c r="A14">
        <f>Crono_Ter!A12</f>
        <v>3</v>
      </c>
      <c r="B14" t="str">
        <f>Crono_Ter!B12</f>
        <v>PÃO BAIANO</v>
      </c>
      <c r="C14" s="17">
        <f>Crono_Ter!C12</f>
        <v>2.6</v>
      </c>
      <c r="D14" t="str">
        <f>IFERROR(VLOOKUP(B14,RECEITAS!A:C,$D$7,FALSE),"")</f>
        <v>RÚSTICO</v>
      </c>
      <c r="E14" s="1">
        <f>IFERROR(E13+(VLOOKUP($D14,PROCESSO!$B:$P,AP_CRONO_TER!E$8,FALSE)/24),"")</f>
        <v>0.21527777777777782</v>
      </c>
      <c r="F14" s="1">
        <f>Crono_Ter!E12</f>
        <v>0.25694444444444448</v>
      </c>
      <c r="G14" s="1">
        <f>IFERROR(IF(F14=0,"",VLOOKUP($D14,PROCESSO!$B:$P,G$8,FALSE)/24)*IFERROR(IF(#REF!&gt;$B$8,ROUNDUP(#REF!/$B$8,0),1),1)+($A$8/24)+F14,"")</f>
        <v>0.27083333333333337</v>
      </c>
      <c r="H14" s="1">
        <f t="shared" si="0"/>
        <v>0.27083333333333337</v>
      </c>
      <c r="I14" s="1">
        <f>IFERROR(IF(H14=0,"",VLOOKUP($D14,PROCESSO!$B:$P,H$8,FALSE)/24)+($A$8/24)+H14,"")</f>
        <v>0.27430555555555558</v>
      </c>
      <c r="J14" s="1">
        <f>IFERROR(IF(I14=0,"",VLOOKUP($D14,PROCESSO!$B:$P,I$8,FALSE)/24)+($A$8/24)+I14,"")</f>
        <v>0.31944444444444448</v>
      </c>
      <c r="K14" s="1">
        <f>IFERROR(IF(J14=0,"",VLOOKUP($D14,PROCESSO!$B:$P,J$8,FALSE)/24)+($A$8/24)+J14,"")</f>
        <v>0.34027777777777779</v>
      </c>
      <c r="L14" s="1">
        <f>IFERROR(IF(K14=0,"",VLOOKUP($D14,PROCESSO!$B:$P,K$8,FALSE)/24)+($A$8/24)+K14,"")</f>
        <v>0.37152777777777779</v>
      </c>
      <c r="M14" s="1">
        <f>IFERROR(IF(L14=0,"",VLOOKUP($D14,PROCESSO!$B:$P,L$8,FALSE)/24)+($A$8/24)+L14,"")</f>
        <v>0.3923611111111111</v>
      </c>
      <c r="N14" s="1">
        <f>IFERROR(IF(M14=0,"",VLOOKUP($D14,PROCESSO!$B:$P,M$8,FALSE)/24)+($A$8/24)+M14,"")</f>
        <v>0.4375</v>
      </c>
      <c r="O14" s="1">
        <f>IFERROR(IF(N14=0,"",VLOOKUP($D14,PROCESSO!$B:$P,N$8,FALSE)/24)+($A$8/24)+N14,"")</f>
        <v>0.46875</v>
      </c>
      <c r="P14" s="1">
        <f>IFERROR(IF(O14=0,"",VLOOKUP($D14,PROCESSO!$B:$P,O$8,FALSE)/24)+($A$8/24)+O14,"")</f>
        <v>0.53472222222222221</v>
      </c>
      <c r="Q14" s="1">
        <f>IFERROR(IF(P14=0,"",VLOOKUP($D14,PROCESSO!$B:$P,P$8,FALSE)/24)+($A$8/24)+P14,"")</f>
        <v>0.53819444444444442</v>
      </c>
      <c r="R14" s="1">
        <f>IFERROR(IF(Q14=0,"",VLOOKUP($D14,PROCESSO!$B:$P,Q$8,FALSE)/24)+($A$8/24)+Q14,"")</f>
        <v>0.58333333333333326</v>
      </c>
      <c r="S14" s="45">
        <f>IFERROR(IFERROR(VLOOKUP(D14,PROCESSO!B:P,15,FALSE),"")/SUMIFS(C:C,A:A,A14),"")</f>
        <v>12.798807461978289</v>
      </c>
      <c r="T14" s="45">
        <f t="shared" si="1"/>
        <v>33.276899401143552</v>
      </c>
      <c r="U14" s="45">
        <f>IFERROR(VLOOKUP(B14,RECEITAS!A:C,3,FALSE),"")</f>
        <v>2.4490459229898076</v>
      </c>
      <c r="V14" s="45">
        <f>IFERROR((U14+S14)*(1-ANALISE!$I$4),"")</f>
        <v>15.247853384968096</v>
      </c>
      <c r="W14" s="45">
        <f t="shared" si="2"/>
        <v>39.644418800917052</v>
      </c>
    </row>
    <row r="15" spans="1:23" x14ac:dyDescent="0.3">
      <c r="A15">
        <f>Crono_Ter!A13</f>
        <v>3</v>
      </c>
      <c r="B15" t="str">
        <f>Crono_Ter!B13</f>
        <v>BROWN</v>
      </c>
      <c r="C15" s="17">
        <f>Crono_Ter!C13</f>
        <v>1.2600000000000002</v>
      </c>
      <c r="D15" t="str">
        <f>IFERROR(VLOOKUP(B15,RECEITAS!A:C,$D$7,FALSE),"")</f>
        <v>DIRETO</v>
      </c>
      <c r="E15" s="1">
        <f>IFERROR(E14+(VLOOKUP($D15,PROCESSO!$B:$P,AP_CRONO_TER!E$8,FALSE)/24),"")</f>
        <v>0.22083333333333338</v>
      </c>
      <c r="F15" s="1">
        <f>Crono_Ter!E13</f>
        <v>0.25833333333333336</v>
      </c>
      <c r="G15" s="1">
        <f>IFERROR(IF(F15=0,"",VLOOKUP($D15,PROCESSO!$B:$P,G$8,FALSE)/24)*IFERROR(IF(#REF!&gt;$B$8,ROUNDUP(#REF!/$B$8,0),1),1)+($A$8/24)+F15,"")</f>
        <v>0.27222222222222225</v>
      </c>
      <c r="H15" s="1">
        <f t="shared" si="0"/>
        <v>0.27222222222222225</v>
      </c>
      <c r="I15" s="1">
        <f>IFERROR(IF(H15=0,"",VLOOKUP($D15,PROCESSO!$B:$P,H$8,FALSE)/24)+($A$8/24)+H15,"")</f>
        <v>0.27569444444444446</v>
      </c>
      <c r="J15" s="1">
        <f>IFERROR(IF(I15=0,"",VLOOKUP($D15,PROCESSO!$B:$P,I$8,FALSE)/24)+($A$8/24)+I15,"")</f>
        <v>0.28402777777777782</v>
      </c>
      <c r="K15" s="1">
        <f>IFERROR(IF(J15=0,"",VLOOKUP($D15,PROCESSO!$B:$P,J$8,FALSE)/24)+($A$8/24)+J15,"")</f>
        <v>0.29236111111111118</v>
      </c>
      <c r="L15" s="1">
        <f>IFERROR(IF(K15=0,"",VLOOKUP($D15,PROCESSO!$B:$P,K$8,FALSE)/24)+($A$8/24)+K15,"")</f>
        <v>0.29583333333333339</v>
      </c>
      <c r="M15" s="1">
        <f>IFERROR(IF(L15=0,"",VLOOKUP($D15,PROCESSO!$B:$P,L$8,FALSE)/24)+($A$8/24)+L15,"")</f>
        <v>0.32361111111111118</v>
      </c>
      <c r="N15" s="1">
        <f>IFERROR(IF(M15=0,"",VLOOKUP($D15,PROCESSO!$B:$P,M$8,FALSE)/24)+($A$8/24)+M15,"")</f>
        <v>0.38958333333333339</v>
      </c>
      <c r="O15" s="1">
        <f>IFERROR(IF(N15=0,"",VLOOKUP($D15,PROCESSO!$B:$P,N$8,FALSE)/24)+($A$8/24)+N15,"")</f>
        <v>0.41388888888888897</v>
      </c>
      <c r="P15" s="1">
        <f>IFERROR(IF(O15=0,"",VLOOKUP($D15,PROCESSO!$B:$P,O$8,FALSE)/24)+($A$8/24)+O15,"")</f>
        <v>0.47986111111111118</v>
      </c>
      <c r="Q15" s="1">
        <f>IFERROR(IF(P15=0,"",VLOOKUP($D15,PROCESSO!$B:$P,P$8,FALSE)/24)+($A$8/24)+P15,"")</f>
        <v>0.51250000000000007</v>
      </c>
      <c r="R15" s="1">
        <f>IFERROR(IF(Q15=0,"",VLOOKUP($D15,PROCESSO!$B:$P,Q$8,FALSE)/24)+($A$8/24)+Q15,"")</f>
        <v>0.55763888888888891</v>
      </c>
      <c r="S15" s="45">
        <f>IFERROR(IFERROR(VLOOKUP(D15,PROCESSO!B:P,15,FALSE),"")/SUMIFS(C:C,A:A,A15),"")</f>
        <v>12.027315846461855</v>
      </c>
      <c r="T15" s="45">
        <f t="shared" si="1"/>
        <v>15.15441796654194</v>
      </c>
      <c r="U15" s="45">
        <f>IFERROR(VLOOKUP(B15,RECEITAS!A:C,3,FALSE),"")</f>
        <v>2.3452338811630851</v>
      </c>
      <c r="V15" s="45">
        <f>IFERROR((U15+S15)*(1-ANALISE!$I$4),"")</f>
        <v>14.372549727624939</v>
      </c>
      <c r="W15" s="45">
        <f t="shared" si="2"/>
        <v>18.109412656807425</v>
      </c>
    </row>
    <row r="16" spans="1:23" x14ac:dyDescent="0.3">
      <c r="A16">
        <f>Crono_Ter!A14</f>
        <v>4</v>
      </c>
      <c r="B16" t="str">
        <f>Crono_Ter!B14</f>
        <v>PH MALTE AROMA CARAMEL CACAU</v>
      </c>
      <c r="C16" s="17">
        <f>Crono_Ter!C14</f>
        <v>2.2400000000000002</v>
      </c>
      <c r="D16" t="str">
        <f>IFERROR(VLOOKUP(B16,RECEITAS!A:C,$D$7,FALSE),"")</f>
        <v>DIRETO</v>
      </c>
      <c r="E16" s="1">
        <f>IFERROR(E15+(VLOOKUP($D16,PROCESSO!$B:$P,AP_CRONO_TER!E$8,FALSE)/24),"")</f>
        <v>0.22638888888888895</v>
      </c>
      <c r="F16" s="1">
        <f>Crono_Ter!E14</f>
        <v>0.27777777777777779</v>
      </c>
      <c r="G16" s="1">
        <f>IFERROR(IF(F16=0,"",VLOOKUP($D16,PROCESSO!$B:$P,G$8,FALSE)/24)*IFERROR(IF(#REF!&gt;$B$8,ROUNDUP(#REF!/$B$8,0),1),1)+($A$8/24)+F16,"")</f>
        <v>0.29166666666666669</v>
      </c>
      <c r="H16" s="1">
        <f t="shared" si="0"/>
        <v>0.29166666666666669</v>
      </c>
      <c r="I16" s="1">
        <f>IFERROR(IF(H16=0,"",VLOOKUP($D16,PROCESSO!$B:$P,H$8,FALSE)/24)+($A$8/24)+H16,"")</f>
        <v>0.2951388888888889</v>
      </c>
      <c r="J16" s="1">
        <f>IFERROR(IF(I16=0,"",VLOOKUP($D16,PROCESSO!$B:$P,I$8,FALSE)/24)+($A$8/24)+I16,"")</f>
        <v>0.30347222222222225</v>
      </c>
      <c r="K16" s="1">
        <f>IFERROR(IF(J16=0,"",VLOOKUP($D16,PROCESSO!$B:$P,J$8,FALSE)/24)+($A$8/24)+J16,"")</f>
        <v>0.31180555555555561</v>
      </c>
      <c r="L16" s="1">
        <f>IFERROR(IF(K16=0,"",VLOOKUP($D16,PROCESSO!$B:$P,K$8,FALSE)/24)+($A$8/24)+K16,"")</f>
        <v>0.31527777777777782</v>
      </c>
      <c r="M16" s="1">
        <f>IFERROR(IF(L16=0,"",VLOOKUP($D16,PROCESSO!$B:$P,L$8,FALSE)/24)+($A$8/24)+L16,"")</f>
        <v>0.34305555555555561</v>
      </c>
      <c r="N16" s="1">
        <f>IFERROR(IF(M16=0,"",VLOOKUP($D16,PROCESSO!$B:$P,M$8,FALSE)/24)+($A$8/24)+M16,"")</f>
        <v>0.40902777777777782</v>
      </c>
      <c r="O16" s="1">
        <f>IFERROR(IF(N16=0,"",VLOOKUP($D16,PROCESSO!$B:$P,N$8,FALSE)/24)+($A$8/24)+N16,"")</f>
        <v>0.43333333333333335</v>
      </c>
      <c r="P16" s="1">
        <f>IFERROR(IF(O16=0,"",VLOOKUP($D16,PROCESSO!$B:$P,O$8,FALSE)/24)+($A$8/24)+O16,"")</f>
        <v>0.49930555555555556</v>
      </c>
      <c r="Q16" s="1">
        <f>IFERROR(IF(P16=0,"",VLOOKUP($D16,PROCESSO!$B:$P,P$8,FALSE)/24)+($A$8/24)+P16,"")</f>
        <v>0.53194444444444444</v>
      </c>
      <c r="R16" s="1">
        <f>IFERROR(IF(Q16=0,"",VLOOKUP($D16,PROCESSO!$B:$P,Q$8,FALSE)/24)+($A$8/24)+Q16,"")</f>
        <v>0.57708333333333328</v>
      </c>
      <c r="S16" s="45">
        <f>IFERROR(IFERROR(VLOOKUP(D16,PROCESSO!B:P,15,FALSE),"")/SUMIFS(C:C,A:A,A16),"")</f>
        <v>2.6498538337524407</v>
      </c>
      <c r="T16" s="45">
        <f t="shared" si="1"/>
        <v>5.9356725876054677</v>
      </c>
      <c r="U16" s="45">
        <f>IFERROR(VLOOKUP(B16,RECEITAS!A:C,3,FALSE),"")</f>
        <v>3.802317938072997</v>
      </c>
      <c r="V16" s="45">
        <f>IFERROR((U16+S16)*(1-ANALISE!$I$4),"")</f>
        <v>6.4521717718254372</v>
      </c>
      <c r="W16" s="45">
        <f t="shared" si="2"/>
        <v>14.452864768888981</v>
      </c>
    </row>
    <row r="17" spans="1:23" x14ac:dyDescent="0.3">
      <c r="A17">
        <f>Crono_Ter!A15</f>
        <v>4</v>
      </c>
      <c r="B17" t="str">
        <f>Crono_Ter!B15</f>
        <v>BRIOCHE MARGARINA</v>
      </c>
      <c r="C17" s="17">
        <f>Crono_Ter!C15</f>
        <v>15.280000000000003</v>
      </c>
      <c r="D17" t="str">
        <f>IFERROR(VLOOKUP(B17,RECEITAS!A:C,$D$7,FALSE),"")</f>
        <v>DIRETO</v>
      </c>
      <c r="E17" s="1">
        <f>IFERROR(E16+(VLOOKUP($D17,PROCESSO!$B:$P,AP_CRONO_TER!E$8,FALSE)/24),"")</f>
        <v>0.23194444444444451</v>
      </c>
      <c r="F17" s="1">
        <f>Crono_Ter!E15</f>
        <v>0.28125</v>
      </c>
      <c r="G17" s="1">
        <f>IFERROR(IF(F17=0,"",VLOOKUP($D17,PROCESSO!$B:$P,G$8,FALSE)/24)*IFERROR(IF(#REF!&gt;$B$8,ROUNDUP(#REF!/$B$8,0),1),1)+($A$8/24)+F17,"")</f>
        <v>0.2951388888888889</v>
      </c>
      <c r="H17" s="1">
        <f t="shared" si="0"/>
        <v>0.2951388888888889</v>
      </c>
      <c r="I17" s="1">
        <f>IFERROR(IF(H17=0,"",VLOOKUP($D17,PROCESSO!$B:$P,H$8,FALSE)/24)+($A$8/24)+H17,"")</f>
        <v>0.2986111111111111</v>
      </c>
      <c r="J17" s="1">
        <f>IFERROR(IF(I17=0,"",VLOOKUP($D17,PROCESSO!$B:$P,I$8,FALSE)/24)+($A$8/24)+I17,"")</f>
        <v>0.30694444444444446</v>
      </c>
      <c r="K17" s="1">
        <f>IFERROR(IF(J17=0,"",VLOOKUP($D17,PROCESSO!$B:$P,J$8,FALSE)/24)+($A$8/24)+J17,"")</f>
        <v>0.31527777777777782</v>
      </c>
      <c r="L17" s="1">
        <f>IFERROR(IF(K17=0,"",VLOOKUP($D17,PROCESSO!$B:$P,K$8,FALSE)/24)+($A$8/24)+K17,"")</f>
        <v>0.31875000000000003</v>
      </c>
      <c r="M17" s="1">
        <f>IFERROR(IF(L17=0,"",VLOOKUP($D17,PROCESSO!$B:$P,L$8,FALSE)/24)+($A$8/24)+L17,"")</f>
        <v>0.34652777777777782</v>
      </c>
      <c r="N17" s="1">
        <f>IFERROR(IF(M17=0,"",VLOOKUP($D17,PROCESSO!$B:$P,M$8,FALSE)/24)+($A$8/24)+M17,"")</f>
        <v>0.41250000000000003</v>
      </c>
      <c r="O17" s="1">
        <f>IFERROR(IF(N17=0,"",VLOOKUP($D17,PROCESSO!$B:$P,N$8,FALSE)/24)+($A$8/24)+N17,"")</f>
        <v>0.43680555555555556</v>
      </c>
      <c r="P17" s="1">
        <f>IFERROR(IF(O17=0,"",VLOOKUP($D17,PROCESSO!$B:$P,O$8,FALSE)/24)+($A$8/24)+O17,"")</f>
        <v>0.50277777777777777</v>
      </c>
      <c r="Q17" s="1">
        <f>IFERROR(IF(P17=0,"",VLOOKUP($D17,PROCESSO!$B:$P,P$8,FALSE)/24)+($A$8/24)+P17,"")</f>
        <v>0.53541666666666665</v>
      </c>
      <c r="R17" s="1">
        <f>IFERROR(IF(Q17=0,"",VLOOKUP($D17,PROCESSO!$B:$P,Q$8,FALSE)/24)+($A$8/24)+Q17,"")</f>
        <v>0.58055555555555549</v>
      </c>
      <c r="S17" s="45">
        <f>IFERROR(IFERROR(VLOOKUP(D17,PROCESSO!B:P,15,FALSE),"")/SUMIFS(C:C,A:A,A17),"")</f>
        <v>2.6498538337524407</v>
      </c>
      <c r="T17" s="45">
        <f t="shared" si="1"/>
        <v>40.489766579737299</v>
      </c>
      <c r="U17" s="45">
        <f>IFERROR(VLOOKUP(B17,RECEITAS!A:C,3,FALSE),"")</f>
        <v>2.8395295247239574</v>
      </c>
      <c r="V17" s="45">
        <f>IFERROR((U17+S17)*(1-ANALISE!$I$4),"")</f>
        <v>5.489383358476398</v>
      </c>
      <c r="W17" s="45">
        <f t="shared" si="2"/>
        <v>83.877777717519379</v>
      </c>
    </row>
    <row r="18" spans="1:23" x14ac:dyDescent="0.3">
      <c r="A18">
        <f>Crono_Ter!A16</f>
        <v>5</v>
      </c>
      <c r="B18" t="str">
        <f>Crono_Ter!B16</f>
        <v>PH VINHEDO</v>
      </c>
      <c r="C18" s="17">
        <f>Crono_Ter!C16</f>
        <v>2.8400000000000003</v>
      </c>
      <c r="D18" t="str">
        <f>IFERROR(VLOOKUP(B18,RECEITAS!A:C,$D$7,FALSE),"")</f>
        <v>DIRETO</v>
      </c>
      <c r="E18" s="1">
        <f>IFERROR(E17+(VLOOKUP($D18,PROCESSO!$B:$P,AP_CRONO_TER!E$8,FALSE)/24),"")</f>
        <v>0.23750000000000007</v>
      </c>
      <c r="F18" s="1">
        <f>Crono_Ter!E16</f>
        <v>0.31597222222222221</v>
      </c>
      <c r="G18" s="1">
        <f>IFERROR(IF(F18=0,"",VLOOKUP($D18,PROCESSO!$B:$P,G$8,FALSE)/24)*IFERROR(IF(#REF!&gt;$B$8,ROUNDUP(#REF!/$B$8,0),1),1)+($A$8/24)+F18,"")</f>
        <v>0.3298611111111111</v>
      </c>
      <c r="H18" s="1">
        <f t="shared" si="0"/>
        <v>0.3298611111111111</v>
      </c>
      <c r="I18" s="1">
        <f>IFERROR(IF(H18=0,"",VLOOKUP($D18,PROCESSO!$B:$P,H$8,FALSE)/24)+($A$8/24)+H18,"")</f>
        <v>0.33333333333333331</v>
      </c>
      <c r="J18" s="1">
        <f>IFERROR(IF(I18=0,"",VLOOKUP($D18,PROCESSO!$B:$P,I$8,FALSE)/24)+($A$8/24)+I18,"")</f>
        <v>0.34166666666666667</v>
      </c>
      <c r="K18" s="1">
        <f>IFERROR(IF(J18=0,"",VLOOKUP($D18,PROCESSO!$B:$P,J$8,FALSE)/24)+($A$8/24)+J18,"")</f>
        <v>0.35000000000000003</v>
      </c>
      <c r="L18" s="1">
        <f>IFERROR(IF(K18=0,"",VLOOKUP($D18,PROCESSO!$B:$P,K$8,FALSE)/24)+($A$8/24)+K18,"")</f>
        <v>0.35347222222222224</v>
      </c>
      <c r="M18" s="1">
        <f>IFERROR(IF(L18=0,"",VLOOKUP($D18,PROCESSO!$B:$P,L$8,FALSE)/24)+($A$8/24)+L18,"")</f>
        <v>0.38125000000000003</v>
      </c>
      <c r="N18" s="1">
        <f>IFERROR(IF(M18=0,"",VLOOKUP($D18,PROCESSO!$B:$P,M$8,FALSE)/24)+($A$8/24)+M18,"")</f>
        <v>0.44722222222222224</v>
      </c>
      <c r="O18" s="1">
        <f>IFERROR(IF(N18=0,"",VLOOKUP($D18,PROCESSO!$B:$P,N$8,FALSE)/24)+($A$8/24)+N18,"")</f>
        <v>0.47152777777777777</v>
      </c>
      <c r="P18" s="1">
        <f>IFERROR(IF(O18=0,"",VLOOKUP($D18,PROCESSO!$B:$P,O$8,FALSE)/24)+($A$8/24)+O18,"")</f>
        <v>0.53749999999999998</v>
      </c>
      <c r="Q18" s="1">
        <f>IFERROR(IF(P18=0,"",VLOOKUP($D18,PROCESSO!$B:$P,P$8,FALSE)/24)+($A$8/24)+P18,"")</f>
        <v>0.57013888888888886</v>
      </c>
      <c r="R18" s="1">
        <f>IFERROR(IF(Q18=0,"",VLOOKUP($D18,PROCESSO!$B:$P,Q$8,FALSE)/24)+($A$8/24)+Q18,"")</f>
        <v>0.6152777777777777</v>
      </c>
      <c r="S18" s="45">
        <f>IFERROR(IFERROR(VLOOKUP(D18,PROCESSO!B:P,15,FALSE),"")/SUMIFS(C:C,A:A,A18),"")</f>
        <v>12.413219028701274</v>
      </c>
      <c r="T18" s="45">
        <f t="shared" si="1"/>
        <v>35.253542041511622</v>
      </c>
      <c r="U18" s="45">
        <f>IFERROR(VLOOKUP(B18,RECEITAS!A:C,3,FALSE),"")</f>
        <v>4.2629144274493598</v>
      </c>
      <c r="V18" s="45">
        <f>IFERROR((U18+S18)*(1-ANALISE!$I$4),"")</f>
        <v>16.676133456150634</v>
      </c>
      <c r="W18" s="45">
        <f t="shared" si="2"/>
        <v>47.360219015467806</v>
      </c>
    </row>
    <row r="19" spans="1:23" x14ac:dyDescent="0.3">
      <c r="A19">
        <f>Crono_Ter!A17</f>
        <v>5</v>
      </c>
      <c r="B19" t="str">
        <f>Crono_Ter!B17</f>
        <v>PF INTEGRAL</v>
      </c>
      <c r="C19" s="17">
        <f>Crono_Ter!C17</f>
        <v>0.9</v>
      </c>
      <c r="D19" t="str">
        <f>IFERROR(VLOOKUP(B19,RECEITAS!A:C,$D$7,FALSE),"")</f>
        <v>DIRETO</v>
      </c>
      <c r="E19" s="1">
        <f>IFERROR(E18+(VLOOKUP($D19,PROCESSO!$B:$P,AP_CRONO_TER!E$8,FALSE)/24),"")</f>
        <v>0.24305555555555564</v>
      </c>
      <c r="F19" s="1">
        <f>Crono_Ter!E17</f>
        <v>0.34027777777777773</v>
      </c>
      <c r="G19" s="1">
        <f>IFERROR(IF(F19=0,"",VLOOKUP($D19,PROCESSO!$B:$P,G$8,FALSE)/24)*IFERROR(IF(#REF!&gt;$B$8,ROUNDUP(#REF!/$B$8,0),1),1)+($A$8/24)+F19,"")</f>
        <v>0.35416666666666663</v>
      </c>
      <c r="H19" s="1">
        <f t="shared" si="0"/>
        <v>0.35416666666666663</v>
      </c>
      <c r="I19" s="1">
        <f>IFERROR(IF(H19=0,"",VLOOKUP($D19,PROCESSO!$B:$P,H$8,FALSE)/24)+($A$8/24)+H19,"")</f>
        <v>0.35763888888888884</v>
      </c>
      <c r="J19" s="1">
        <f>IFERROR(IF(I19=0,"",VLOOKUP($D19,PROCESSO!$B:$P,I$8,FALSE)/24)+($A$8/24)+I19,"")</f>
        <v>0.3659722222222222</v>
      </c>
      <c r="K19" s="1">
        <f>IFERROR(IF(J19=0,"",VLOOKUP($D19,PROCESSO!$B:$P,J$8,FALSE)/24)+($A$8/24)+J19,"")</f>
        <v>0.37430555555555556</v>
      </c>
      <c r="L19" s="1">
        <f>IFERROR(IF(K19=0,"",VLOOKUP($D19,PROCESSO!$B:$P,K$8,FALSE)/24)+($A$8/24)+K19,"")</f>
        <v>0.37777777777777777</v>
      </c>
      <c r="M19" s="1">
        <f>IFERROR(IF(L19=0,"",VLOOKUP($D19,PROCESSO!$B:$P,L$8,FALSE)/24)+($A$8/24)+L19,"")</f>
        <v>0.40555555555555556</v>
      </c>
      <c r="N19" s="1">
        <f>IFERROR(IF(M19=0,"",VLOOKUP($D19,PROCESSO!$B:$P,M$8,FALSE)/24)+($A$8/24)+M19,"")</f>
        <v>0.47152777777777777</v>
      </c>
      <c r="O19" s="1">
        <f>IFERROR(IF(N19=0,"",VLOOKUP($D19,PROCESSO!$B:$P,N$8,FALSE)/24)+($A$8/24)+N19,"")</f>
        <v>0.49583333333333335</v>
      </c>
      <c r="P19" s="1">
        <f>IFERROR(IF(O19=0,"",VLOOKUP($D19,PROCESSO!$B:$P,O$8,FALSE)/24)+($A$8/24)+O19,"")</f>
        <v>0.56180555555555556</v>
      </c>
      <c r="Q19" s="1">
        <f>IFERROR(IF(P19=0,"",VLOOKUP($D19,PROCESSO!$B:$P,P$8,FALSE)/24)+($A$8/24)+P19,"")</f>
        <v>0.59444444444444444</v>
      </c>
      <c r="R19" s="1">
        <f>IFERROR(IF(Q19=0,"",VLOOKUP($D19,PROCESSO!$B:$P,Q$8,FALSE)/24)+($A$8/24)+Q19,"")</f>
        <v>0.63958333333333328</v>
      </c>
      <c r="S19" s="45">
        <f>IFERROR(IFERROR(VLOOKUP(D19,PROCESSO!B:P,15,FALSE),"")/SUMIFS(C:C,A:A,A19),"")</f>
        <v>12.413219028701274</v>
      </c>
      <c r="T19" s="45">
        <f t="shared" si="1"/>
        <v>11.171897125831148</v>
      </c>
      <c r="U19" s="45">
        <f>IFERROR(VLOOKUP(B19,RECEITAS!A:C,3,FALSE),"")</f>
        <v>2.6739550191991226</v>
      </c>
      <c r="V19" s="45">
        <f>IFERROR((U19+S19)*(1-ANALISE!$I$4),"")</f>
        <v>15.087174047900398</v>
      </c>
      <c r="W19" s="45">
        <f t="shared" si="2"/>
        <v>13.578456643110359</v>
      </c>
    </row>
    <row r="20" spans="1:23" x14ac:dyDescent="0.3">
      <c r="A20">
        <f>Crono_Ter!A18</f>
        <v>6</v>
      </c>
      <c r="B20" t="str">
        <f>Crono_Ter!B18</f>
        <v>CASEIRINHO</v>
      </c>
      <c r="C20" s="17">
        <f>Crono_Ter!C18</f>
        <v>56.68</v>
      </c>
      <c r="D20" t="str">
        <f>IFERROR(VLOOKUP(B20,RECEITAS!A:C,$D$7,FALSE),"")</f>
        <v>DIRETO</v>
      </c>
      <c r="E20" s="1">
        <f>IFERROR(E19+(VLOOKUP($D20,PROCESSO!$B:$P,AP_CRONO_TER!E$8,FALSE)/24),"")</f>
        <v>0.2486111111111112</v>
      </c>
      <c r="F20" s="1">
        <f>Crono_Ter!E18</f>
        <v>0.35347222222222219</v>
      </c>
      <c r="G20" s="1">
        <f>IFERROR(IF(F20=0,"",VLOOKUP($D20,PROCESSO!$B:$P,G$8,FALSE)/24)*IFERROR(IF(#REF!&gt;$B$8,ROUNDUP(#REF!/$B$8,0),1),1)+($A$8/24)+F20,"")</f>
        <v>0.36736111111111108</v>
      </c>
      <c r="H20" s="1">
        <f t="shared" si="0"/>
        <v>0.36736111111111108</v>
      </c>
      <c r="I20" s="1">
        <f>IFERROR(IF(H20=0,"",VLOOKUP($D20,PROCESSO!$B:$P,H$8,FALSE)/24)+($A$8/24)+H20,"")</f>
        <v>0.37083333333333329</v>
      </c>
      <c r="J20" s="1">
        <f>IFERROR(IF(I20=0,"",VLOOKUP($D20,PROCESSO!$B:$P,I$8,FALSE)/24)+($A$8/24)+I20,"")</f>
        <v>0.37916666666666665</v>
      </c>
      <c r="K20" s="1">
        <f>IFERROR(IF(J20=0,"",VLOOKUP($D20,PROCESSO!$B:$P,J$8,FALSE)/24)+($A$8/24)+J20,"")</f>
        <v>0.38750000000000001</v>
      </c>
      <c r="L20" s="1">
        <f>IFERROR(IF(K20=0,"",VLOOKUP($D20,PROCESSO!$B:$P,K$8,FALSE)/24)+($A$8/24)+K20,"")</f>
        <v>0.39097222222222222</v>
      </c>
      <c r="M20" s="1">
        <f>IFERROR(IF(L20=0,"",VLOOKUP($D20,PROCESSO!$B:$P,L$8,FALSE)/24)+($A$8/24)+L20,"")</f>
        <v>0.41875000000000001</v>
      </c>
      <c r="N20" s="1">
        <f>IFERROR(IF(M20=0,"",VLOOKUP($D20,PROCESSO!$B:$P,M$8,FALSE)/24)+($A$8/24)+M20,"")</f>
        <v>0.48472222222222222</v>
      </c>
      <c r="O20" s="1">
        <f>IFERROR(IF(N20=0,"",VLOOKUP($D20,PROCESSO!$B:$P,N$8,FALSE)/24)+($A$8/24)+N20,"")</f>
        <v>0.50902777777777775</v>
      </c>
      <c r="P20" s="1">
        <f>IFERROR(IF(O20=0,"",VLOOKUP($D20,PROCESSO!$B:$P,O$8,FALSE)/24)+($A$8/24)+O20,"")</f>
        <v>0.57499999999999996</v>
      </c>
      <c r="Q20" s="1">
        <f>IFERROR(IF(P20=0,"",VLOOKUP($D20,PROCESSO!$B:$P,P$8,FALSE)/24)+($A$8/24)+P20,"")</f>
        <v>0.60763888888888884</v>
      </c>
      <c r="R20" s="1">
        <f>IFERROR(IF(Q20=0,"",VLOOKUP($D20,PROCESSO!$B:$P,Q$8,FALSE)/24)+($A$8/24)+Q20,"")</f>
        <v>0.65277777777777768</v>
      </c>
      <c r="S20" s="45">
        <f>IFERROR(IFERROR(VLOOKUP(D20,PROCESSO!B:P,15,FALSE),"")/SUMIFS(C:C,A:A,A20),"")</f>
        <v>0.81907973125163669</v>
      </c>
      <c r="T20" s="45">
        <f t="shared" si="1"/>
        <v>46.425439167342766</v>
      </c>
      <c r="U20" s="45">
        <f>IFERROR(VLOOKUP(B20,RECEITAS!A:C,3,FALSE),"")</f>
        <v>2.38</v>
      </c>
      <c r="V20" s="45">
        <f>IFERROR((U20+S20)*(1-ANALISE!$I$4),"")</f>
        <v>3.1990797312516364</v>
      </c>
      <c r="W20" s="45">
        <f t="shared" si="2"/>
        <v>181.32383916734275</v>
      </c>
    </row>
    <row r="21" spans="1:23" x14ac:dyDescent="0.3">
      <c r="A21">
        <f>Crono_Ter!A19</f>
        <v>7</v>
      </c>
      <c r="B21" t="str">
        <f>Crono_Ter!B19</f>
        <v>CASEIRINHO</v>
      </c>
      <c r="C21" s="17">
        <f>Crono_Ter!C19</f>
        <v>56.68</v>
      </c>
      <c r="D21" t="str">
        <f>IFERROR(VLOOKUP(B21,RECEITAS!A:C,$D$7,FALSE),"")</f>
        <v>DIRETO</v>
      </c>
      <c r="E21" s="1">
        <f>IFERROR(E20+(VLOOKUP($D21,PROCESSO!$B:$P,AP_CRONO_TER!E$8,FALSE)/24),"")</f>
        <v>0.25416666666666676</v>
      </c>
      <c r="F21" s="1">
        <f>Crono_Ter!E19</f>
        <v>0.39583333333333331</v>
      </c>
      <c r="G21" s="1">
        <f>IFERROR(IF(F21=0,"",VLOOKUP($D21,PROCESSO!$B:$P,G$8,FALSE)/24)*IFERROR(IF(#REF!&gt;$B$8,ROUNDUP(#REF!/$B$8,0),1),1)+($A$8/24)+F21,"")</f>
        <v>0.40972222222222221</v>
      </c>
      <c r="H21" s="1">
        <f t="shared" si="0"/>
        <v>0.40972222222222221</v>
      </c>
      <c r="I21" s="1">
        <f>IFERROR(IF(H21=0,"",VLOOKUP($D21,PROCESSO!$B:$P,H$8,FALSE)/24)+($A$8/24)+H21,"")</f>
        <v>0.41319444444444442</v>
      </c>
      <c r="J21" s="1">
        <f>IFERROR(IF(I21=0,"",VLOOKUP($D21,PROCESSO!$B:$P,I$8,FALSE)/24)+($A$8/24)+I21,"")</f>
        <v>0.42152777777777778</v>
      </c>
      <c r="K21" s="1">
        <f>IFERROR(IF(J21=0,"",VLOOKUP($D21,PROCESSO!$B:$P,J$8,FALSE)/24)+($A$8/24)+J21,"")</f>
        <v>0.42986111111111114</v>
      </c>
      <c r="L21" s="1">
        <f>IFERROR(IF(K21=0,"",VLOOKUP($D21,PROCESSO!$B:$P,K$8,FALSE)/24)+($A$8/24)+K21,"")</f>
        <v>0.43333333333333335</v>
      </c>
      <c r="M21" s="1">
        <f>IFERROR(IF(L21=0,"",VLOOKUP($D21,PROCESSO!$B:$P,L$8,FALSE)/24)+($A$8/24)+L21,"")</f>
        <v>0.46111111111111114</v>
      </c>
      <c r="N21" s="1">
        <f>IFERROR(IF(M21=0,"",VLOOKUP($D21,PROCESSO!$B:$P,M$8,FALSE)/24)+($A$8/24)+M21,"")</f>
        <v>0.52708333333333335</v>
      </c>
      <c r="O21" s="1">
        <f>IFERROR(IF(N21=0,"",VLOOKUP($D21,PROCESSO!$B:$P,N$8,FALSE)/24)+($A$8/24)+N21,"")</f>
        <v>0.55138888888888893</v>
      </c>
      <c r="P21" s="1">
        <f>IFERROR(IF(O21=0,"",VLOOKUP($D21,PROCESSO!$B:$P,O$8,FALSE)/24)+($A$8/24)+O21,"")</f>
        <v>0.61736111111111114</v>
      </c>
      <c r="Q21" s="1">
        <f>IFERROR(IF(P21=0,"",VLOOKUP($D21,PROCESSO!$B:$P,P$8,FALSE)/24)+($A$8/24)+P21,"")</f>
        <v>0.65</v>
      </c>
      <c r="R21" s="1">
        <f>IFERROR(IF(Q21=0,"",VLOOKUP($D21,PROCESSO!$B:$P,Q$8,FALSE)/24)+($A$8/24)+Q21,"")</f>
        <v>0.69513888888888886</v>
      </c>
      <c r="S21" s="45">
        <f>IFERROR(IFERROR(VLOOKUP(D21,PROCESSO!B:P,15,FALSE),"")/SUMIFS(C:C,A:A,A21),"")</f>
        <v>0.81907973125163669</v>
      </c>
      <c r="T21" s="45">
        <f t="shared" si="1"/>
        <v>46.425439167342766</v>
      </c>
      <c r="U21" s="45">
        <f>IFERROR(VLOOKUP(B21,RECEITAS!A:C,3,FALSE),"")</f>
        <v>2.38</v>
      </c>
      <c r="V21" s="45">
        <f>IFERROR((U21+S21)*(1-ANALISE!$I$4),"")</f>
        <v>3.1990797312516364</v>
      </c>
      <c r="W21" s="45">
        <f t="shared" si="2"/>
        <v>181.32383916734275</v>
      </c>
    </row>
    <row r="22" spans="1:23" x14ac:dyDescent="0.3">
      <c r="A22">
        <f>Crono_Ter!A20</f>
        <v>8</v>
      </c>
      <c r="B22" t="str">
        <f>Crono_Ter!B20</f>
        <v>BREZEL</v>
      </c>
      <c r="C22" s="17">
        <f>Crono_Ter!C20</f>
        <v>1</v>
      </c>
      <c r="D22" t="str">
        <f>IFERROR(VLOOKUP(B22,RECEITAS!A:C,$D$7,FALSE),"")</f>
        <v>RÚSTICO</v>
      </c>
      <c r="E22" s="1">
        <f>IFERROR(E21+(VLOOKUP($D22,PROCESSO!$B:$P,AP_CRONO_TER!E$8,FALSE)/24),"")</f>
        <v>0.2597222222222223</v>
      </c>
      <c r="F22" s="1">
        <f>Crono_Ter!E20</f>
        <v>0.41666666666666669</v>
      </c>
      <c r="G22" s="1">
        <f>IFERROR(IF(F22=0,"",VLOOKUP($D22,PROCESSO!$B:$P,G$8,FALSE)/24)*IFERROR(IF(#REF!&gt;$B$8,ROUNDUP(#REF!/$B$8,0),1),1)+($A$8/24)+F22,"")</f>
        <v>0.43055555555555558</v>
      </c>
      <c r="H22" s="1">
        <f t="shared" ref="H22" si="3">G22</f>
        <v>0.43055555555555558</v>
      </c>
      <c r="I22" s="1">
        <f>IFERROR(IF(H22=0,"",VLOOKUP($D22,PROCESSO!$B:$P,H$8,FALSE)/24)+($A$8/24)+H22,"")</f>
        <v>0.43402777777777779</v>
      </c>
      <c r="J22" s="1">
        <f>IFERROR(IF(I22=0,"",VLOOKUP($D22,PROCESSO!$B:$P,I$8,FALSE)/24)+($A$8/24)+I22,"")</f>
        <v>0.47916666666666669</v>
      </c>
      <c r="K22" s="1">
        <f>IFERROR(IF(J22=0,"",VLOOKUP($D22,PROCESSO!$B:$P,J$8,FALSE)/24)+($A$8/24)+J22,"")</f>
        <v>0.5</v>
      </c>
      <c r="L22" s="1">
        <f>IFERROR(IF(K22=0,"",VLOOKUP($D22,PROCESSO!$B:$P,K$8,FALSE)/24)+($A$8/24)+K22,"")</f>
        <v>0.53125</v>
      </c>
      <c r="M22" s="1">
        <f>IFERROR(IF(L22=0,"",VLOOKUP($D22,PROCESSO!$B:$P,L$8,FALSE)/24)+($A$8/24)+L22,"")</f>
        <v>0.55208333333333337</v>
      </c>
      <c r="N22" s="1">
        <f>IFERROR(IF(M22=0,"",VLOOKUP($D22,PROCESSO!$B:$P,M$8,FALSE)/24)+($A$8/24)+M22,"")</f>
        <v>0.59722222222222221</v>
      </c>
      <c r="O22" s="1">
        <f>IFERROR(IF(N22=0,"",VLOOKUP($D22,PROCESSO!$B:$P,N$8,FALSE)/24)+($A$8/24)+N22,"")</f>
        <v>0.62847222222222221</v>
      </c>
      <c r="P22" s="1">
        <f>IFERROR(IF(O22=0,"",VLOOKUP($D22,PROCESSO!$B:$P,O$8,FALSE)/24)+($A$8/24)+O22,"")</f>
        <v>0.69444444444444442</v>
      </c>
      <c r="Q22" s="1">
        <f>IFERROR(IF(P22=0,"",VLOOKUP($D22,PROCESSO!$B:$P,P$8,FALSE)/24)+($A$8/24)+P22,"")</f>
        <v>0.69791666666666663</v>
      </c>
      <c r="R22" s="1">
        <f>IFERROR(IF(Q22=0,"",VLOOKUP($D22,PROCESSO!$B:$P,Q$8,FALSE)/24)+($A$8/24)+Q22,"")</f>
        <v>0.74305555555555547</v>
      </c>
      <c r="S22" s="45">
        <f>IFERROR(IFERROR(VLOOKUP(D22,PROCESSO!B:P,15,FALSE),"")/SUMIFS(C:C,A:A,A22),"")</f>
        <v>49.403396803236198</v>
      </c>
      <c r="T22" s="45">
        <f t="shared" si="1"/>
        <v>49.403396803236198</v>
      </c>
      <c r="U22" s="45">
        <f>IFERROR(VLOOKUP(B22,RECEITAS!A:C,3,FALSE),"")</f>
        <v>2.21</v>
      </c>
      <c r="V22" s="45">
        <f>IFERROR((U22+S22)*(1-ANALISE!$I$4),"")</f>
        <v>51.613396803236199</v>
      </c>
      <c r="W22" s="45">
        <f t="shared" si="2"/>
        <v>51.613396803236199</v>
      </c>
    </row>
    <row r="23" spans="1:23" x14ac:dyDescent="0.3">
      <c r="A23">
        <f>Crono_Ter!A21</f>
        <v>0</v>
      </c>
      <c r="B23">
        <f>Crono_Ter!B21</f>
        <v>0</v>
      </c>
      <c r="C23" s="17">
        <f>Crono_Ter!C21</f>
        <v>0</v>
      </c>
      <c r="D23" t="str">
        <f>IFERROR(VLOOKUP(B23,RECEITAS!A:C,$D$7,FALSE),"")</f>
        <v/>
      </c>
      <c r="E23" s="1" t="str">
        <f>IFERROR(E22+(VLOOKUP($D23,PROCESSO!$B:$P,AP_CRONO_TER!E$8,FALSE)/24),"")</f>
        <v/>
      </c>
      <c r="F23" s="1">
        <f>Crono_Ter!E21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ref="H23:H86" si="4">G23</f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86" si="5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86" si="6">IFERROR(V23*C23,"")</f>
        <v/>
      </c>
    </row>
    <row r="24" spans="1:23" x14ac:dyDescent="0.3">
      <c r="A24">
        <f>Crono_Ter!A22</f>
        <v>0</v>
      </c>
      <c r="B24">
        <f>Crono_Ter!B22</f>
        <v>0</v>
      </c>
      <c r="C24" s="17">
        <f>Crono_Ter!C22</f>
        <v>0</v>
      </c>
      <c r="D24" t="str">
        <f>IFERROR(VLOOKUP(B24,RECEITAS!A:C,$D$7,FALSE),"")</f>
        <v/>
      </c>
      <c r="E24" s="1" t="str">
        <f>IFERROR(E23+(VLOOKUP($D24,PROCESSO!$B:$P,AP_CRONO_TER!E$8,FALSE)/24),"")</f>
        <v/>
      </c>
      <c r="F24" s="1">
        <f>Crono_Ter!E22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4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5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6"/>
        <v/>
      </c>
    </row>
    <row r="25" spans="1:23" x14ac:dyDescent="0.3">
      <c r="A25">
        <f>Crono_Ter!A23</f>
        <v>0</v>
      </c>
      <c r="B25">
        <f>Crono_Ter!B23</f>
        <v>0</v>
      </c>
      <c r="C25" s="17">
        <f>Crono_Ter!C23</f>
        <v>0</v>
      </c>
      <c r="D25" t="str">
        <f>IFERROR(VLOOKUP(B25,RECEITAS!A:C,$D$7,FALSE),"")</f>
        <v/>
      </c>
      <c r="E25" s="1" t="str">
        <f>IFERROR(E24+(VLOOKUP($D25,PROCESSO!$B:$P,AP_CRONO_TER!E$8,FALSE)/24),"")</f>
        <v/>
      </c>
      <c r="F25" s="1">
        <f>Crono_Ter!E23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4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5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6"/>
        <v/>
      </c>
    </row>
    <row r="26" spans="1:23" x14ac:dyDescent="0.3">
      <c r="A26">
        <f>Crono_Ter!A24</f>
        <v>0</v>
      </c>
      <c r="B26">
        <f>Crono_Ter!B24</f>
        <v>0</v>
      </c>
      <c r="C26" s="17">
        <f>Crono_Ter!C24</f>
        <v>0</v>
      </c>
      <c r="D26" t="str">
        <f>IFERROR(VLOOKUP(B26,RECEITAS!A:C,$D$7,FALSE),"")</f>
        <v/>
      </c>
      <c r="E26" s="1" t="str">
        <f>IFERROR(E25+(VLOOKUP($D26,PROCESSO!$B:$P,AP_CRONO_TER!E$8,FALSE)/24),"")</f>
        <v/>
      </c>
      <c r="F26" s="1">
        <f>Crono_Ter!E24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4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5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6"/>
        <v/>
      </c>
    </row>
    <row r="27" spans="1:23" x14ac:dyDescent="0.3">
      <c r="A27">
        <f>Crono_Ter!A25</f>
        <v>0</v>
      </c>
      <c r="B27">
        <f>Crono_Ter!B25</f>
        <v>0</v>
      </c>
      <c r="C27" s="17">
        <f>Crono_Ter!C25</f>
        <v>0</v>
      </c>
      <c r="D27" t="str">
        <f>IFERROR(VLOOKUP(B27,RECEITAS!A:C,$D$7,FALSE),"")</f>
        <v/>
      </c>
      <c r="E27" s="1" t="str">
        <f>IFERROR(E26+(VLOOKUP($D27,PROCESSO!$B:$P,AP_CRONO_TER!E$8,FALSE)/24),"")</f>
        <v/>
      </c>
      <c r="F27" s="1">
        <f>Crono_Ter!E25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4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5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6"/>
        <v/>
      </c>
    </row>
    <row r="28" spans="1:23" x14ac:dyDescent="0.3">
      <c r="A28">
        <f>Crono_Ter!A26</f>
        <v>0</v>
      </c>
      <c r="B28">
        <f>Crono_Ter!B26</f>
        <v>0</v>
      </c>
      <c r="C28" s="17">
        <f>Crono_Ter!C26</f>
        <v>0</v>
      </c>
      <c r="D28" t="str">
        <f>IFERROR(VLOOKUP(B28,RECEITAS!A:C,$D$7,FALSE),"")</f>
        <v/>
      </c>
      <c r="E28" s="1" t="str">
        <f>IFERROR(E27+(VLOOKUP($D28,PROCESSO!$B:$P,AP_CRONO_TER!E$8,FALSE)/24),"")</f>
        <v/>
      </c>
      <c r="F28" s="1">
        <f>Crono_Ter!E26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4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5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6"/>
        <v/>
      </c>
    </row>
    <row r="29" spans="1:23" x14ac:dyDescent="0.3">
      <c r="A29">
        <f>Crono_Ter!A27</f>
        <v>0</v>
      </c>
      <c r="B29">
        <f>Crono_Ter!B27</f>
        <v>0</v>
      </c>
      <c r="C29" s="17">
        <f>Crono_Ter!C27</f>
        <v>0</v>
      </c>
      <c r="D29" t="str">
        <f>IFERROR(VLOOKUP(B29,RECEITAS!A:C,$D$7,FALSE),"")</f>
        <v/>
      </c>
      <c r="E29" s="1" t="str">
        <f>IFERROR(E28+(VLOOKUP($D29,PROCESSO!$B:$P,AP_CRONO_TER!E$8,FALSE)/24),"")</f>
        <v/>
      </c>
      <c r="F29" s="1">
        <f>Crono_Ter!E27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4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5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6"/>
        <v/>
      </c>
    </row>
    <row r="30" spans="1:23" x14ac:dyDescent="0.3">
      <c r="A30">
        <f>Crono_Ter!A28</f>
        <v>0</v>
      </c>
      <c r="B30">
        <f>Crono_Ter!B28</f>
        <v>0</v>
      </c>
      <c r="C30" s="17">
        <f>Crono_Ter!C28</f>
        <v>0</v>
      </c>
      <c r="D30" t="str">
        <f>IFERROR(VLOOKUP(B30,RECEITAS!A:C,$D$7,FALSE),"")</f>
        <v/>
      </c>
      <c r="E30" s="1" t="str">
        <f>IFERROR(E29+(VLOOKUP($D30,PROCESSO!$B:$P,AP_CRONO_TER!E$8,FALSE)/24),"")</f>
        <v/>
      </c>
      <c r="F30" s="1">
        <f>Crono_Ter!E28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4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5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6"/>
        <v/>
      </c>
    </row>
    <row r="31" spans="1:23" x14ac:dyDescent="0.3">
      <c r="A31">
        <f>Crono_Ter!A29</f>
        <v>0</v>
      </c>
      <c r="B31">
        <f>Crono_Ter!B29</f>
        <v>0</v>
      </c>
      <c r="C31" s="17">
        <f>Crono_Ter!C29</f>
        <v>0</v>
      </c>
      <c r="D31" t="str">
        <f>IFERROR(VLOOKUP(B31,RECEITAS!A:C,$D$7,FALSE),"")</f>
        <v/>
      </c>
      <c r="E31" s="1" t="str">
        <f>IFERROR(E30+(VLOOKUP($D31,PROCESSO!$B:$P,AP_CRONO_TER!E$8,FALSE)/24),"")</f>
        <v/>
      </c>
      <c r="F31" s="1">
        <f>Crono_Ter!E29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4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5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6"/>
        <v/>
      </c>
    </row>
    <row r="32" spans="1:23" x14ac:dyDescent="0.3">
      <c r="A32">
        <f>Crono_Ter!A30</f>
        <v>0</v>
      </c>
      <c r="B32">
        <f>Crono_Ter!B30</f>
        <v>0</v>
      </c>
      <c r="C32" s="17">
        <f>Crono_Ter!C30</f>
        <v>0</v>
      </c>
      <c r="D32" t="str">
        <f>IFERROR(VLOOKUP(B32,RECEITAS!A:C,$D$7,FALSE),"")</f>
        <v/>
      </c>
      <c r="E32" s="1" t="str">
        <f>IFERROR(E31+(VLOOKUP($D32,PROCESSO!$B:$P,AP_CRONO_TER!E$8,FALSE)/24),"")</f>
        <v/>
      </c>
      <c r="F32" s="1">
        <f>Crono_Ter!E30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4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5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6"/>
        <v/>
      </c>
    </row>
    <row r="33" spans="1:23" x14ac:dyDescent="0.3">
      <c r="A33">
        <f>Crono_Ter!A31</f>
        <v>0</v>
      </c>
      <c r="B33">
        <f>Crono_Ter!B31</f>
        <v>0</v>
      </c>
      <c r="C33" s="17">
        <f>Crono_Ter!C31</f>
        <v>0</v>
      </c>
      <c r="D33" t="str">
        <f>IFERROR(VLOOKUP(B33,RECEITAS!A:C,$D$7,FALSE),"")</f>
        <v/>
      </c>
      <c r="E33" s="1" t="str">
        <f>IFERROR(E32+(VLOOKUP($D33,PROCESSO!$B:$P,AP_CRONO_TER!E$8,FALSE)/24),"")</f>
        <v/>
      </c>
      <c r="F33" s="1">
        <f>Crono_Ter!E31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4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5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6"/>
        <v/>
      </c>
    </row>
    <row r="34" spans="1:23" x14ac:dyDescent="0.3">
      <c r="A34">
        <f>Crono_Ter!A32</f>
        <v>0</v>
      </c>
      <c r="B34">
        <f>Crono_Ter!B32</f>
        <v>0</v>
      </c>
      <c r="C34" s="17">
        <f>Crono_Ter!C32</f>
        <v>0</v>
      </c>
      <c r="D34" t="str">
        <f>IFERROR(VLOOKUP(B34,RECEITAS!A:C,$D$7,FALSE),"")</f>
        <v/>
      </c>
      <c r="E34" s="1" t="str">
        <f>IFERROR(E33+(VLOOKUP($D34,PROCESSO!$B:$P,AP_CRONO_TER!E$8,FALSE)/24),"")</f>
        <v/>
      </c>
      <c r="F34" s="1">
        <f>Crono_Ter!E32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4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5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6"/>
        <v/>
      </c>
    </row>
    <row r="35" spans="1:23" x14ac:dyDescent="0.3">
      <c r="A35">
        <f>Crono_Ter!A33</f>
        <v>0</v>
      </c>
      <c r="B35">
        <f>Crono_Ter!B33</f>
        <v>0</v>
      </c>
      <c r="C35" s="17">
        <f>Crono_Ter!C33</f>
        <v>0</v>
      </c>
      <c r="D35" t="str">
        <f>IFERROR(VLOOKUP(B35,RECEITAS!A:C,$D$7,FALSE),"")</f>
        <v/>
      </c>
      <c r="E35" s="1" t="str">
        <f>IFERROR(E34+(VLOOKUP($D35,PROCESSO!$B:$P,AP_CRONO_TER!E$8,FALSE)/24),"")</f>
        <v/>
      </c>
      <c r="F35" s="1">
        <f>Crono_Ter!E33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4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5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6"/>
        <v/>
      </c>
    </row>
    <row r="36" spans="1:23" x14ac:dyDescent="0.3">
      <c r="A36">
        <f>Crono_Ter!A34</f>
        <v>0</v>
      </c>
      <c r="B36">
        <f>Crono_Ter!B34</f>
        <v>0</v>
      </c>
      <c r="C36" s="17">
        <f>Crono_Ter!C34</f>
        <v>0</v>
      </c>
      <c r="D36" t="str">
        <f>IFERROR(VLOOKUP(B36,RECEITAS!A:C,$D$7,FALSE),"")</f>
        <v/>
      </c>
      <c r="E36" s="1" t="str">
        <f>IFERROR(E35+(VLOOKUP($D36,PROCESSO!$B:$P,AP_CRONO_TER!E$8,FALSE)/24),"")</f>
        <v/>
      </c>
      <c r="F36" s="1">
        <f>Crono_Ter!E34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4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5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6"/>
        <v/>
      </c>
    </row>
    <row r="37" spans="1:23" x14ac:dyDescent="0.3">
      <c r="A37">
        <f>Crono_Ter!A35</f>
        <v>0</v>
      </c>
      <c r="B37">
        <f>Crono_Ter!B35</f>
        <v>0</v>
      </c>
      <c r="C37" s="17">
        <f>Crono_Ter!C35</f>
        <v>0</v>
      </c>
      <c r="D37" t="str">
        <f>IFERROR(VLOOKUP(B37,RECEITAS!A:C,$D$7,FALSE),"")</f>
        <v/>
      </c>
      <c r="E37" s="1" t="str">
        <f>IFERROR(E36+(VLOOKUP($D37,PROCESSO!$B:$P,AP_CRONO_TER!E$8,FALSE)/24),"")</f>
        <v/>
      </c>
      <c r="F37" s="1">
        <f>Crono_Ter!E35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4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5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6"/>
        <v/>
      </c>
    </row>
    <row r="38" spans="1:23" x14ac:dyDescent="0.3">
      <c r="A38">
        <f>Crono_Ter!A36</f>
        <v>0</v>
      </c>
      <c r="B38">
        <f>Crono_Ter!B36</f>
        <v>0</v>
      </c>
      <c r="C38" s="17">
        <f>Crono_Ter!C36</f>
        <v>0</v>
      </c>
      <c r="D38" t="str">
        <f>IFERROR(VLOOKUP(B38,RECEITAS!A:C,$D$7,FALSE),"")</f>
        <v/>
      </c>
      <c r="E38" s="1" t="str">
        <f>IFERROR(E37+(VLOOKUP($D38,PROCESSO!$B:$P,AP_CRONO_TER!E$8,FALSE)/24),"")</f>
        <v/>
      </c>
      <c r="F38" s="1">
        <f>Crono_Ter!E36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4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5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6"/>
        <v/>
      </c>
    </row>
    <row r="39" spans="1:23" x14ac:dyDescent="0.3">
      <c r="A39">
        <f>Crono_Ter!A37</f>
        <v>0</v>
      </c>
      <c r="B39">
        <f>Crono_Ter!B37</f>
        <v>0</v>
      </c>
      <c r="C39" s="17">
        <f>Crono_Ter!C37</f>
        <v>0</v>
      </c>
      <c r="D39" t="str">
        <f>IFERROR(VLOOKUP(B39,RECEITAS!A:C,$D$7,FALSE),"")</f>
        <v/>
      </c>
      <c r="E39" s="1" t="str">
        <f>IFERROR(E38+(VLOOKUP($D39,PROCESSO!$B:$P,AP_CRONO_TER!E$8,FALSE)/24),"")</f>
        <v/>
      </c>
      <c r="F39" s="1">
        <f>Crono_Ter!E37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4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5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6"/>
        <v/>
      </c>
    </row>
    <row r="40" spans="1:23" x14ac:dyDescent="0.3">
      <c r="A40">
        <f>Crono_Ter!A38</f>
        <v>0</v>
      </c>
      <c r="B40">
        <f>Crono_Ter!B38</f>
        <v>0</v>
      </c>
      <c r="C40" s="17">
        <f>Crono_Ter!C38</f>
        <v>0</v>
      </c>
      <c r="D40" t="str">
        <f>IFERROR(VLOOKUP(B40,RECEITAS!A:C,$D$7,FALSE),"")</f>
        <v/>
      </c>
      <c r="E40" s="1" t="str">
        <f>IFERROR(E39+(VLOOKUP($D40,PROCESSO!$B:$P,AP_CRONO_TER!E$8,FALSE)/24),"")</f>
        <v/>
      </c>
      <c r="F40" s="1">
        <f>Crono_Ter!E38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4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5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6"/>
        <v/>
      </c>
    </row>
    <row r="41" spans="1:23" x14ac:dyDescent="0.3">
      <c r="A41">
        <f>Crono_Ter!A39</f>
        <v>0</v>
      </c>
      <c r="B41">
        <f>Crono_Ter!B39</f>
        <v>0</v>
      </c>
      <c r="C41" s="17">
        <f>Crono_Ter!C39</f>
        <v>0</v>
      </c>
      <c r="D41" t="str">
        <f>IFERROR(VLOOKUP(B41,RECEITAS!A:C,$D$7,FALSE),"")</f>
        <v/>
      </c>
      <c r="E41" s="1" t="str">
        <f>IFERROR(E40+(VLOOKUP($D41,PROCESSO!$B:$P,AP_CRONO_TER!E$8,FALSE)/24),"")</f>
        <v/>
      </c>
      <c r="F41" s="1">
        <f>Crono_Ter!E39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4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5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6"/>
        <v/>
      </c>
    </row>
    <row r="42" spans="1:23" x14ac:dyDescent="0.3">
      <c r="A42">
        <f>Crono_Ter!A40</f>
        <v>0</v>
      </c>
      <c r="B42">
        <f>Crono_Ter!B40</f>
        <v>0</v>
      </c>
      <c r="C42" s="17">
        <f>Crono_Ter!C40</f>
        <v>0</v>
      </c>
      <c r="D42" t="str">
        <f>IFERROR(VLOOKUP(B42,RECEITAS!A:C,$D$7,FALSE),"")</f>
        <v/>
      </c>
      <c r="E42" s="1" t="str">
        <f>IFERROR(E41+(VLOOKUP($D42,PROCESSO!$B:$P,AP_CRONO_TER!E$8,FALSE)/24),"")</f>
        <v/>
      </c>
      <c r="F42" s="1">
        <f>Crono_Ter!E40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4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5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6"/>
        <v/>
      </c>
    </row>
    <row r="43" spans="1:23" x14ac:dyDescent="0.3">
      <c r="A43">
        <f>Crono_Ter!A41</f>
        <v>0</v>
      </c>
      <c r="B43">
        <f>Crono_Ter!B41</f>
        <v>0</v>
      </c>
      <c r="C43" s="17">
        <f>Crono_Ter!C41</f>
        <v>0</v>
      </c>
      <c r="D43" t="str">
        <f>IFERROR(VLOOKUP(B43,RECEITAS!A:C,$D$7,FALSE),"")</f>
        <v/>
      </c>
      <c r="E43" s="1" t="str">
        <f>IFERROR(E42+(VLOOKUP($D43,PROCESSO!$B:$P,AP_CRONO_TER!E$8,FALSE)/24),"")</f>
        <v/>
      </c>
      <c r="F43" s="1">
        <f>Crono_Ter!E41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4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5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6"/>
        <v/>
      </c>
    </row>
    <row r="44" spans="1:23" x14ac:dyDescent="0.3">
      <c r="A44">
        <f>Crono_Ter!A42</f>
        <v>0</v>
      </c>
      <c r="B44">
        <f>Crono_Ter!B42</f>
        <v>0</v>
      </c>
      <c r="C44" s="17">
        <f>Crono_Ter!C42</f>
        <v>0</v>
      </c>
      <c r="D44" t="str">
        <f>IFERROR(VLOOKUP(B44,RECEITAS!A:C,$D$7,FALSE),"")</f>
        <v/>
      </c>
      <c r="E44" s="1" t="str">
        <f>IFERROR(E43+(VLOOKUP($D44,PROCESSO!$B:$P,AP_CRONO_TER!E$8,FALSE)/24),"")</f>
        <v/>
      </c>
      <c r="F44" s="1">
        <f>Crono_Ter!E42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4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5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6"/>
        <v/>
      </c>
    </row>
    <row r="45" spans="1:23" x14ac:dyDescent="0.3">
      <c r="A45">
        <f>Crono_Ter!A43</f>
        <v>0</v>
      </c>
      <c r="B45">
        <f>Crono_Ter!B43</f>
        <v>0</v>
      </c>
      <c r="C45" s="17">
        <f>Crono_Ter!C43</f>
        <v>0</v>
      </c>
      <c r="D45" t="str">
        <f>IFERROR(VLOOKUP(B45,RECEITAS!A:C,$D$7,FALSE),"")</f>
        <v/>
      </c>
      <c r="E45" s="1" t="str">
        <f>IFERROR(E44+(VLOOKUP($D45,PROCESSO!$B:$P,AP_CRONO_TER!E$8,FALSE)/24),"")</f>
        <v/>
      </c>
      <c r="F45" s="1">
        <f>Crono_Ter!E43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4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5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6"/>
        <v/>
      </c>
    </row>
    <row r="46" spans="1:23" x14ac:dyDescent="0.3">
      <c r="A46">
        <f>Crono_Ter!A44</f>
        <v>0</v>
      </c>
      <c r="B46">
        <f>Crono_Ter!B44</f>
        <v>0</v>
      </c>
      <c r="C46" s="17">
        <f>Crono_Ter!C44</f>
        <v>0</v>
      </c>
      <c r="D46" t="str">
        <f>IFERROR(VLOOKUP(B46,RECEITAS!A:C,$D$7,FALSE),"")</f>
        <v/>
      </c>
      <c r="E46" s="1" t="str">
        <f>IFERROR(E45+(VLOOKUP($D46,PROCESSO!$B:$P,AP_CRONO_TER!E$8,FALSE)/24),"")</f>
        <v/>
      </c>
      <c r="F46" s="1">
        <f>Crono_Ter!E44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4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5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6"/>
        <v/>
      </c>
    </row>
    <row r="47" spans="1:23" x14ac:dyDescent="0.3">
      <c r="A47">
        <f>Crono_Ter!A45</f>
        <v>0</v>
      </c>
      <c r="B47">
        <f>Crono_Ter!B45</f>
        <v>0</v>
      </c>
      <c r="C47" s="17">
        <f>Crono_Ter!C45</f>
        <v>0</v>
      </c>
      <c r="D47" t="str">
        <f>IFERROR(VLOOKUP(B47,RECEITAS!A:C,$D$7,FALSE),"")</f>
        <v/>
      </c>
      <c r="E47" s="1" t="str">
        <f>IFERROR(E46+(VLOOKUP($D47,PROCESSO!$B:$P,AP_CRONO_TER!E$8,FALSE)/24),"")</f>
        <v/>
      </c>
      <c r="F47" s="1">
        <f>Crono_Ter!E45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4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5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6"/>
        <v/>
      </c>
    </row>
    <row r="48" spans="1:23" x14ac:dyDescent="0.3">
      <c r="A48">
        <f>Crono_Ter!A46</f>
        <v>0</v>
      </c>
      <c r="B48">
        <f>Crono_Ter!B46</f>
        <v>0</v>
      </c>
      <c r="C48" s="17">
        <f>Crono_Ter!C46</f>
        <v>0</v>
      </c>
      <c r="D48" t="str">
        <f>IFERROR(VLOOKUP(B48,RECEITAS!A:C,$D$7,FALSE),"")</f>
        <v/>
      </c>
      <c r="E48" s="1" t="str">
        <f>IFERROR(E47+(VLOOKUP($D48,PROCESSO!$B:$P,AP_CRONO_TER!E$8,FALSE)/24),"")</f>
        <v/>
      </c>
      <c r="F48" s="1">
        <f>Crono_Ter!E46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4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5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6"/>
        <v/>
      </c>
    </row>
    <row r="49" spans="1:23" x14ac:dyDescent="0.3">
      <c r="A49">
        <f>Crono_Ter!A47</f>
        <v>0</v>
      </c>
      <c r="B49">
        <f>Crono_Ter!B47</f>
        <v>0</v>
      </c>
      <c r="C49" s="17">
        <f>Crono_Ter!C47</f>
        <v>0</v>
      </c>
      <c r="D49" t="str">
        <f>IFERROR(VLOOKUP(B49,RECEITAS!A:C,$D$7,FALSE),"")</f>
        <v/>
      </c>
      <c r="E49" s="1" t="str">
        <f>IFERROR(E48+(VLOOKUP($D49,PROCESSO!$B:$P,AP_CRONO_TER!E$8,FALSE)/24),"")</f>
        <v/>
      </c>
      <c r="F49" s="1">
        <f>Crono_Ter!E47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4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5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6"/>
        <v/>
      </c>
    </row>
    <row r="50" spans="1:23" x14ac:dyDescent="0.3">
      <c r="A50">
        <f>Crono_Ter!A48</f>
        <v>0</v>
      </c>
      <c r="B50">
        <f>Crono_Ter!B48</f>
        <v>0</v>
      </c>
      <c r="C50" s="17">
        <f>Crono_Ter!C48</f>
        <v>0</v>
      </c>
      <c r="D50" t="str">
        <f>IFERROR(VLOOKUP(B50,RECEITAS!A:C,$D$7,FALSE),"")</f>
        <v/>
      </c>
      <c r="E50" s="1" t="str">
        <f>IFERROR(E49+(VLOOKUP($D50,PROCESSO!$B:$P,AP_CRONO_TER!E$8,FALSE)/24),"")</f>
        <v/>
      </c>
      <c r="F50" s="1">
        <f>Crono_Ter!E48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4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5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6"/>
        <v/>
      </c>
    </row>
    <row r="51" spans="1:23" x14ac:dyDescent="0.3">
      <c r="A51">
        <f>Crono_Ter!A49</f>
        <v>0</v>
      </c>
      <c r="B51">
        <f>Crono_Ter!B49</f>
        <v>0</v>
      </c>
      <c r="C51" s="17">
        <f>Crono_Ter!C49</f>
        <v>0</v>
      </c>
      <c r="D51" t="str">
        <f>IFERROR(VLOOKUP(B51,RECEITAS!A:C,$D$7,FALSE),"")</f>
        <v/>
      </c>
      <c r="E51" s="1" t="str">
        <f>IFERROR(E50+(VLOOKUP($D51,PROCESSO!$B:$P,AP_CRONO_TER!E$8,FALSE)/24),"")</f>
        <v/>
      </c>
      <c r="F51" s="1">
        <f>Crono_Ter!E49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4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5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6"/>
        <v/>
      </c>
    </row>
    <row r="52" spans="1:23" x14ac:dyDescent="0.3">
      <c r="A52">
        <f>Crono_Ter!A50</f>
        <v>0</v>
      </c>
      <c r="B52">
        <f>Crono_Ter!B50</f>
        <v>0</v>
      </c>
      <c r="C52" s="17">
        <f>Crono_Ter!C50</f>
        <v>0</v>
      </c>
      <c r="D52" t="str">
        <f>IFERROR(VLOOKUP(B52,RECEITAS!A:C,$D$7,FALSE),"")</f>
        <v/>
      </c>
      <c r="E52" s="1" t="str">
        <f>IFERROR(E51+(VLOOKUP($D52,PROCESSO!$B:$P,AP_CRONO_TER!E$8,FALSE)/24),"")</f>
        <v/>
      </c>
      <c r="F52" s="1">
        <f>Crono_Ter!E50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4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5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6"/>
        <v/>
      </c>
    </row>
    <row r="53" spans="1:23" x14ac:dyDescent="0.3">
      <c r="A53">
        <f>Crono_Ter!A51</f>
        <v>0</v>
      </c>
      <c r="B53">
        <f>Crono_Ter!B51</f>
        <v>0</v>
      </c>
      <c r="C53" s="17">
        <f>Crono_Ter!C51</f>
        <v>0</v>
      </c>
      <c r="D53" t="str">
        <f>IFERROR(VLOOKUP(B53,RECEITAS!A:C,$D$7,FALSE),"")</f>
        <v/>
      </c>
      <c r="E53" s="1" t="str">
        <f>IFERROR(E52+(VLOOKUP($D53,PROCESSO!$B:$P,AP_CRONO_TER!E$8,FALSE)/24),"")</f>
        <v/>
      </c>
      <c r="F53" s="1">
        <f>Crono_Ter!E51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4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5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6"/>
        <v/>
      </c>
    </row>
    <row r="54" spans="1:23" x14ac:dyDescent="0.3">
      <c r="A54">
        <f>Crono_Ter!A52</f>
        <v>0</v>
      </c>
      <c r="B54">
        <f>Crono_Ter!B52</f>
        <v>0</v>
      </c>
      <c r="C54" s="17">
        <f>Crono_Ter!C52</f>
        <v>0</v>
      </c>
      <c r="D54" t="str">
        <f>IFERROR(VLOOKUP(B54,RECEITAS!A:C,$D$7,FALSE),"")</f>
        <v/>
      </c>
      <c r="E54" s="1" t="str">
        <f>IFERROR(E53+(VLOOKUP($D54,PROCESSO!$B:$P,AP_CRONO_TER!E$8,FALSE)/24),"")</f>
        <v/>
      </c>
      <c r="F54" s="1">
        <f>Crono_Ter!E52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4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5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6"/>
        <v/>
      </c>
    </row>
    <row r="55" spans="1:23" x14ac:dyDescent="0.3">
      <c r="A55">
        <f>Crono_Ter!A53</f>
        <v>0</v>
      </c>
      <c r="B55">
        <f>Crono_Ter!B53</f>
        <v>0</v>
      </c>
      <c r="C55" s="17">
        <f>Crono_Ter!C53</f>
        <v>0</v>
      </c>
      <c r="D55" t="str">
        <f>IFERROR(VLOOKUP(B55,RECEITAS!A:C,$D$7,FALSE),"")</f>
        <v/>
      </c>
      <c r="E55" s="1" t="str">
        <f>IFERROR(E54+(VLOOKUP($D55,PROCESSO!$B:$P,AP_CRONO_TER!E$8,FALSE)/24),"")</f>
        <v/>
      </c>
      <c r="F55" s="1">
        <f>Crono_Ter!E53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4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5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6"/>
        <v/>
      </c>
    </row>
    <row r="56" spans="1:23" x14ac:dyDescent="0.3">
      <c r="A56">
        <f>Crono_Ter!A54</f>
        <v>0</v>
      </c>
      <c r="B56">
        <f>Crono_Ter!B54</f>
        <v>0</v>
      </c>
      <c r="C56" s="17">
        <f>Crono_Ter!C54</f>
        <v>0</v>
      </c>
      <c r="D56" t="str">
        <f>IFERROR(VLOOKUP(B56,RECEITAS!A:C,$D$7,FALSE),"")</f>
        <v/>
      </c>
      <c r="E56" s="1" t="str">
        <f>IFERROR(E55+(VLOOKUP($D56,PROCESSO!$B:$P,AP_CRONO_TER!E$8,FALSE)/24),"")</f>
        <v/>
      </c>
      <c r="F56" s="1">
        <f>Crono_Ter!E54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4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5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6"/>
        <v/>
      </c>
    </row>
    <row r="57" spans="1:23" x14ac:dyDescent="0.3">
      <c r="A57">
        <f>Crono_Ter!A55</f>
        <v>0</v>
      </c>
      <c r="B57">
        <f>Crono_Ter!B55</f>
        <v>0</v>
      </c>
      <c r="C57" s="17">
        <f>Crono_Ter!C55</f>
        <v>0</v>
      </c>
      <c r="D57" t="str">
        <f>IFERROR(VLOOKUP(B57,RECEITAS!A:C,$D$7,FALSE),"")</f>
        <v/>
      </c>
      <c r="E57" s="1" t="str">
        <f>IFERROR(E56+(VLOOKUP($D57,PROCESSO!$B:$P,AP_CRONO_TER!E$8,FALSE)/24),"")</f>
        <v/>
      </c>
      <c r="F57" s="1">
        <f>Crono_Ter!E55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4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5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6"/>
        <v/>
      </c>
    </row>
    <row r="58" spans="1:23" x14ac:dyDescent="0.3">
      <c r="A58">
        <f>Crono_Ter!A56</f>
        <v>0</v>
      </c>
      <c r="B58">
        <f>Crono_Ter!B56</f>
        <v>0</v>
      </c>
      <c r="C58" s="17">
        <f>Crono_Ter!C56</f>
        <v>0</v>
      </c>
      <c r="D58" t="str">
        <f>IFERROR(VLOOKUP(B58,RECEITAS!A:C,$D$7,FALSE),"")</f>
        <v/>
      </c>
      <c r="E58" s="1" t="str">
        <f>IFERROR(E57+(VLOOKUP($D58,PROCESSO!$B:$P,AP_CRONO_TER!E$8,FALSE)/24),"")</f>
        <v/>
      </c>
      <c r="F58" s="1">
        <f>Crono_Ter!E56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4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5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6"/>
        <v/>
      </c>
    </row>
    <row r="59" spans="1:23" x14ac:dyDescent="0.3">
      <c r="A59">
        <f>Crono_Ter!A57</f>
        <v>0</v>
      </c>
      <c r="B59">
        <f>Crono_Ter!B57</f>
        <v>0</v>
      </c>
      <c r="C59" s="17">
        <f>Crono_Ter!C57</f>
        <v>0</v>
      </c>
      <c r="D59" t="str">
        <f>IFERROR(VLOOKUP(B59,RECEITAS!A:C,$D$7,FALSE),"")</f>
        <v/>
      </c>
      <c r="E59" s="1" t="str">
        <f>IFERROR(E58+(VLOOKUP($D59,PROCESSO!$B:$P,AP_CRONO_TER!E$8,FALSE)/24),"")</f>
        <v/>
      </c>
      <c r="F59" s="1">
        <f>Crono_Ter!E57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4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5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6"/>
        <v/>
      </c>
    </row>
    <row r="60" spans="1:23" x14ac:dyDescent="0.3">
      <c r="A60">
        <f>Crono_Ter!A58</f>
        <v>0</v>
      </c>
      <c r="B60">
        <f>Crono_Ter!B58</f>
        <v>0</v>
      </c>
      <c r="C60" s="17">
        <f>Crono_Ter!C58</f>
        <v>0</v>
      </c>
      <c r="D60" t="str">
        <f>IFERROR(VLOOKUP(B60,RECEITAS!A:C,$D$7,FALSE),"")</f>
        <v/>
      </c>
      <c r="E60" s="1" t="str">
        <f>IFERROR(E59+(VLOOKUP($D60,PROCESSO!$B:$P,AP_CRONO_TER!E$8,FALSE)/24),"")</f>
        <v/>
      </c>
      <c r="F60" s="1">
        <f>Crono_Ter!E58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4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5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6"/>
        <v/>
      </c>
    </row>
    <row r="61" spans="1:23" x14ac:dyDescent="0.3">
      <c r="A61">
        <f>Crono_Ter!A59</f>
        <v>0</v>
      </c>
      <c r="B61">
        <f>Crono_Ter!B59</f>
        <v>0</v>
      </c>
      <c r="C61" s="17">
        <f>Crono_Ter!C59</f>
        <v>0</v>
      </c>
      <c r="D61" t="str">
        <f>IFERROR(VLOOKUP(B61,RECEITAS!A:C,$D$7,FALSE),"")</f>
        <v/>
      </c>
      <c r="E61" s="1" t="str">
        <f>IFERROR(E60+(VLOOKUP($D61,PROCESSO!$B:$P,AP_CRONO_TER!E$8,FALSE)/24),"")</f>
        <v/>
      </c>
      <c r="F61" s="1">
        <f>Crono_Ter!E59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4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5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6"/>
        <v/>
      </c>
    </row>
    <row r="62" spans="1:23" x14ac:dyDescent="0.3">
      <c r="A62">
        <f>Crono_Ter!A60</f>
        <v>0</v>
      </c>
      <c r="B62">
        <f>Crono_Ter!B60</f>
        <v>0</v>
      </c>
      <c r="C62" s="17">
        <f>Crono_Ter!C60</f>
        <v>0</v>
      </c>
      <c r="D62" t="str">
        <f>IFERROR(VLOOKUP(B62,RECEITAS!A:C,$D$7,FALSE),"")</f>
        <v/>
      </c>
      <c r="E62" s="1" t="str">
        <f>IFERROR(E61+(VLOOKUP($D62,PROCESSO!$B:$P,AP_CRONO_TER!E$8,FALSE)/24),"")</f>
        <v/>
      </c>
      <c r="F62" s="1">
        <f>Crono_Ter!E60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4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5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6"/>
        <v/>
      </c>
    </row>
    <row r="63" spans="1:23" x14ac:dyDescent="0.3">
      <c r="A63">
        <f>Crono_Ter!A61</f>
        <v>0</v>
      </c>
      <c r="B63">
        <f>Crono_Ter!B61</f>
        <v>0</v>
      </c>
      <c r="C63" s="17">
        <f>Crono_Ter!C61</f>
        <v>0</v>
      </c>
      <c r="D63" t="str">
        <f>IFERROR(VLOOKUP(B63,RECEITAS!A:C,$D$7,FALSE),"")</f>
        <v/>
      </c>
      <c r="E63" s="1" t="str">
        <f>IFERROR(E62+(VLOOKUP($D63,PROCESSO!$B:$P,AP_CRONO_TER!E$8,FALSE)/24),"")</f>
        <v/>
      </c>
      <c r="F63" s="1">
        <f>Crono_Ter!E61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4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5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6"/>
        <v/>
      </c>
    </row>
    <row r="64" spans="1:23" x14ac:dyDescent="0.3">
      <c r="A64">
        <f>Crono_Ter!A62</f>
        <v>0</v>
      </c>
      <c r="B64">
        <f>Crono_Ter!B62</f>
        <v>0</v>
      </c>
      <c r="C64" s="17">
        <f>Crono_Ter!C62</f>
        <v>0</v>
      </c>
      <c r="D64" t="str">
        <f>IFERROR(VLOOKUP(B64,RECEITAS!A:C,$D$7,FALSE),"")</f>
        <v/>
      </c>
      <c r="E64" s="1" t="str">
        <f>IFERROR(E63+(VLOOKUP($D64,PROCESSO!$B:$P,AP_CRONO_TER!E$8,FALSE)/24),"")</f>
        <v/>
      </c>
      <c r="F64" s="1">
        <f>Crono_Ter!E62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4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5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6"/>
        <v/>
      </c>
    </row>
    <row r="65" spans="1:23" x14ac:dyDescent="0.3">
      <c r="A65">
        <f>Crono_Ter!A63</f>
        <v>0</v>
      </c>
      <c r="B65">
        <f>Crono_Ter!B63</f>
        <v>0</v>
      </c>
      <c r="C65" s="17">
        <f>Crono_Ter!C63</f>
        <v>0</v>
      </c>
      <c r="D65" t="str">
        <f>IFERROR(VLOOKUP(B65,RECEITAS!A:C,$D$7,FALSE),"")</f>
        <v/>
      </c>
      <c r="E65" s="1" t="str">
        <f>IFERROR(E64+(VLOOKUP($D65,PROCESSO!$B:$P,AP_CRONO_TER!E$8,FALSE)/24),"")</f>
        <v/>
      </c>
      <c r="F65" s="1">
        <f>Crono_Ter!E63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4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5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6"/>
        <v/>
      </c>
    </row>
    <row r="66" spans="1:23" x14ac:dyDescent="0.3">
      <c r="A66">
        <f>Crono_Ter!A64</f>
        <v>0</v>
      </c>
      <c r="B66">
        <f>Crono_Ter!B64</f>
        <v>0</v>
      </c>
      <c r="C66" s="17">
        <f>Crono_Ter!C64</f>
        <v>0</v>
      </c>
      <c r="D66" t="str">
        <f>IFERROR(VLOOKUP(B66,RECEITAS!A:C,$D$7,FALSE),"")</f>
        <v/>
      </c>
      <c r="E66" s="1" t="str">
        <f>IFERROR(E65+(VLOOKUP($D66,PROCESSO!$B:$P,AP_CRONO_TER!E$8,FALSE)/24),"")</f>
        <v/>
      </c>
      <c r="F66" s="1">
        <f>Crono_Ter!E64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4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5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6"/>
        <v/>
      </c>
    </row>
    <row r="67" spans="1:23" x14ac:dyDescent="0.3">
      <c r="A67">
        <f>Crono_Ter!A65</f>
        <v>0</v>
      </c>
      <c r="B67">
        <f>Crono_Ter!B65</f>
        <v>0</v>
      </c>
      <c r="C67" s="17">
        <f>Crono_Ter!C65</f>
        <v>0</v>
      </c>
      <c r="D67" t="str">
        <f>IFERROR(VLOOKUP(B67,RECEITAS!A:C,$D$7,FALSE),"")</f>
        <v/>
      </c>
      <c r="E67" s="1" t="str">
        <f>IFERROR(E66+(VLOOKUP($D67,PROCESSO!$B:$P,AP_CRONO_TER!E$8,FALSE)/24),"")</f>
        <v/>
      </c>
      <c r="F67" s="1">
        <f>Crono_Ter!E65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4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5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6"/>
        <v/>
      </c>
    </row>
    <row r="68" spans="1:23" x14ac:dyDescent="0.3">
      <c r="A68">
        <f>Crono_Ter!A66</f>
        <v>0</v>
      </c>
      <c r="B68">
        <f>Crono_Ter!B66</f>
        <v>0</v>
      </c>
      <c r="C68" s="17">
        <f>Crono_Ter!C66</f>
        <v>0</v>
      </c>
      <c r="D68" t="str">
        <f>IFERROR(VLOOKUP(B68,RECEITAS!A:C,$D$7,FALSE),"")</f>
        <v/>
      </c>
      <c r="E68" s="1" t="str">
        <f>IFERROR(E67+(VLOOKUP($D68,PROCESSO!$B:$P,AP_CRONO_TER!E$8,FALSE)/24),"")</f>
        <v/>
      </c>
      <c r="F68" s="1">
        <f>Crono_Ter!E66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4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5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6"/>
        <v/>
      </c>
    </row>
    <row r="69" spans="1:23" x14ac:dyDescent="0.3">
      <c r="A69">
        <f>Crono_Ter!A67</f>
        <v>0</v>
      </c>
      <c r="B69">
        <f>Crono_Ter!B67</f>
        <v>0</v>
      </c>
      <c r="C69" s="17">
        <f>Crono_Ter!C67</f>
        <v>0</v>
      </c>
      <c r="D69" t="str">
        <f>IFERROR(VLOOKUP(B69,RECEITAS!A:C,$D$7,FALSE),"")</f>
        <v/>
      </c>
      <c r="E69" s="1" t="str">
        <f>IFERROR(E68+(VLOOKUP($D69,PROCESSO!$B:$P,AP_CRONO_TER!E$8,FALSE)/24),"")</f>
        <v/>
      </c>
      <c r="F69" s="1">
        <f>Crono_Ter!E67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4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5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6"/>
        <v/>
      </c>
    </row>
    <row r="70" spans="1:23" x14ac:dyDescent="0.3">
      <c r="A70">
        <f>Crono_Ter!A68</f>
        <v>0</v>
      </c>
      <c r="B70">
        <f>Crono_Ter!B68</f>
        <v>0</v>
      </c>
      <c r="C70" s="17">
        <f>Crono_Ter!C68</f>
        <v>0</v>
      </c>
      <c r="D70" t="str">
        <f>IFERROR(VLOOKUP(B70,RECEITAS!A:C,$D$7,FALSE),"")</f>
        <v/>
      </c>
      <c r="E70" s="1" t="str">
        <f>IFERROR(E69+(VLOOKUP($D70,PROCESSO!$B:$P,AP_CRONO_TER!E$8,FALSE)/24),"")</f>
        <v/>
      </c>
      <c r="F70" s="1">
        <f>Crono_Ter!E68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4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5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6"/>
        <v/>
      </c>
    </row>
    <row r="71" spans="1:23" x14ac:dyDescent="0.3">
      <c r="A71">
        <f>Crono_Ter!A69</f>
        <v>0</v>
      </c>
      <c r="B71">
        <f>Crono_Ter!B69</f>
        <v>0</v>
      </c>
      <c r="C71" s="17">
        <f>Crono_Ter!C69</f>
        <v>0</v>
      </c>
      <c r="D71" t="str">
        <f>IFERROR(VLOOKUP(B71,RECEITAS!A:C,$D$7,FALSE),"")</f>
        <v/>
      </c>
      <c r="E71" s="1" t="str">
        <f>IFERROR(E70+(VLOOKUP($D71,PROCESSO!$B:$P,AP_CRONO_TER!E$8,FALSE)/24),"")</f>
        <v/>
      </c>
      <c r="F71" s="1">
        <f>Crono_Ter!E69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4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5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6"/>
        <v/>
      </c>
    </row>
    <row r="72" spans="1:23" x14ac:dyDescent="0.3">
      <c r="A72">
        <f>Crono_Ter!A70</f>
        <v>0</v>
      </c>
      <c r="B72">
        <f>Crono_Ter!B70</f>
        <v>0</v>
      </c>
      <c r="C72" s="17">
        <f>Crono_Ter!C70</f>
        <v>0</v>
      </c>
      <c r="D72" t="str">
        <f>IFERROR(VLOOKUP(B72,RECEITAS!A:C,$D$7,FALSE),"")</f>
        <v/>
      </c>
      <c r="E72" s="1" t="str">
        <f>IFERROR(E71+(VLOOKUP($D72,PROCESSO!$B:$P,AP_CRONO_TER!E$8,FALSE)/24),"")</f>
        <v/>
      </c>
      <c r="F72" s="1">
        <f>Crono_Ter!E70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4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5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6"/>
        <v/>
      </c>
    </row>
    <row r="73" spans="1:23" x14ac:dyDescent="0.3">
      <c r="A73">
        <f>Crono_Ter!A71</f>
        <v>0</v>
      </c>
      <c r="B73">
        <f>Crono_Ter!B71</f>
        <v>0</v>
      </c>
      <c r="C73" s="17">
        <f>Crono_Ter!C71</f>
        <v>0</v>
      </c>
      <c r="D73" t="str">
        <f>IFERROR(VLOOKUP(B73,RECEITAS!A:C,$D$7,FALSE),"")</f>
        <v/>
      </c>
      <c r="E73" s="1" t="str">
        <f>IFERROR(E72+(VLOOKUP($D73,PROCESSO!$B:$P,AP_CRONO_TER!E$8,FALSE)/24),"")</f>
        <v/>
      </c>
      <c r="F73" s="1">
        <f>Crono_Ter!E71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4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5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6"/>
        <v/>
      </c>
    </row>
    <row r="74" spans="1:23" x14ac:dyDescent="0.3">
      <c r="A74">
        <f>Crono_Ter!A72</f>
        <v>0</v>
      </c>
      <c r="B74">
        <f>Crono_Ter!B72</f>
        <v>0</v>
      </c>
      <c r="C74" s="17">
        <f>Crono_Ter!C72</f>
        <v>0</v>
      </c>
      <c r="D74" t="str">
        <f>IFERROR(VLOOKUP(B74,RECEITAS!A:C,$D$7,FALSE),"")</f>
        <v/>
      </c>
      <c r="E74" s="1" t="str">
        <f>IFERROR(E73+(VLOOKUP($D74,PROCESSO!$B:$P,AP_CRONO_TER!E$8,FALSE)/24),"")</f>
        <v/>
      </c>
      <c r="F74" s="1">
        <f>Crono_Ter!E72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4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5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6"/>
        <v/>
      </c>
    </row>
    <row r="75" spans="1:23" x14ac:dyDescent="0.3">
      <c r="A75">
        <f>Crono_Ter!A73</f>
        <v>0</v>
      </c>
      <c r="B75">
        <f>Crono_Ter!B73</f>
        <v>0</v>
      </c>
      <c r="C75" s="17">
        <f>Crono_Ter!C73</f>
        <v>0</v>
      </c>
      <c r="D75" t="str">
        <f>IFERROR(VLOOKUP(B75,RECEITAS!A:C,$D$7,FALSE),"")</f>
        <v/>
      </c>
      <c r="E75" s="1" t="str">
        <f>IFERROR(E74+(VLOOKUP($D75,PROCESSO!$B:$P,AP_CRONO_TER!E$8,FALSE)/24),"")</f>
        <v/>
      </c>
      <c r="F75" s="1">
        <f>Crono_Ter!E73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4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5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6"/>
        <v/>
      </c>
    </row>
    <row r="76" spans="1:23" x14ac:dyDescent="0.3">
      <c r="A76">
        <f>Crono_Ter!A74</f>
        <v>0</v>
      </c>
      <c r="B76">
        <f>Crono_Ter!B74</f>
        <v>0</v>
      </c>
      <c r="C76" s="17">
        <f>Crono_Ter!C74</f>
        <v>0</v>
      </c>
      <c r="D76" t="str">
        <f>IFERROR(VLOOKUP(B76,RECEITAS!A:C,$D$7,FALSE),"")</f>
        <v/>
      </c>
      <c r="E76" s="1" t="str">
        <f>IFERROR(E75+(VLOOKUP($D76,PROCESSO!$B:$P,AP_CRONO_TER!E$8,FALSE)/24),"")</f>
        <v/>
      </c>
      <c r="F76" s="1">
        <f>Crono_Ter!E74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4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5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6"/>
        <v/>
      </c>
    </row>
    <row r="77" spans="1:23" x14ac:dyDescent="0.3">
      <c r="A77">
        <f>Crono_Ter!A75</f>
        <v>0</v>
      </c>
      <c r="B77">
        <f>Crono_Ter!B75</f>
        <v>0</v>
      </c>
      <c r="C77" s="17">
        <f>Crono_Ter!C75</f>
        <v>0</v>
      </c>
      <c r="D77" t="str">
        <f>IFERROR(VLOOKUP(B77,RECEITAS!A:C,$D$7,FALSE),"")</f>
        <v/>
      </c>
      <c r="E77" s="1" t="str">
        <f>IFERROR(E76+(VLOOKUP($D77,PROCESSO!$B:$P,AP_CRONO_TER!E$8,FALSE)/24),"")</f>
        <v/>
      </c>
      <c r="F77" s="1">
        <f>Crono_Ter!E75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4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5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6"/>
        <v/>
      </c>
    </row>
    <row r="78" spans="1:23" x14ac:dyDescent="0.3">
      <c r="A78">
        <f>Crono_Ter!A76</f>
        <v>0</v>
      </c>
      <c r="B78">
        <f>Crono_Ter!B76</f>
        <v>0</v>
      </c>
      <c r="C78" s="17">
        <f>Crono_Ter!C76</f>
        <v>0</v>
      </c>
      <c r="D78" t="str">
        <f>IFERROR(VLOOKUP(B78,RECEITAS!A:C,$D$7,FALSE),"")</f>
        <v/>
      </c>
      <c r="E78" s="1" t="str">
        <f>IFERROR(E77+(VLOOKUP($D78,PROCESSO!$B:$P,AP_CRONO_TER!E$8,FALSE)/24),"")</f>
        <v/>
      </c>
      <c r="F78" s="1">
        <f>Crono_Ter!E76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4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5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6"/>
        <v/>
      </c>
    </row>
    <row r="79" spans="1:23" x14ac:dyDescent="0.3">
      <c r="A79">
        <f>Crono_Ter!A77</f>
        <v>0</v>
      </c>
      <c r="B79">
        <f>Crono_Ter!B77</f>
        <v>0</v>
      </c>
      <c r="C79" s="17">
        <f>Crono_Ter!C77</f>
        <v>0</v>
      </c>
      <c r="D79" t="str">
        <f>IFERROR(VLOOKUP(B79,RECEITAS!A:C,$D$7,FALSE),"")</f>
        <v/>
      </c>
      <c r="E79" s="1" t="str">
        <f>IFERROR(E78+(VLOOKUP($D79,PROCESSO!$B:$P,AP_CRONO_TER!E$8,FALSE)/24),"")</f>
        <v/>
      </c>
      <c r="F79" s="1">
        <f>Crono_Ter!E77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4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5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6"/>
        <v/>
      </c>
    </row>
    <row r="80" spans="1:23" x14ac:dyDescent="0.3">
      <c r="A80">
        <f>Crono_Ter!A78</f>
        <v>0</v>
      </c>
      <c r="B80">
        <f>Crono_Ter!B78</f>
        <v>0</v>
      </c>
      <c r="C80" s="17">
        <f>Crono_Ter!C78</f>
        <v>0</v>
      </c>
      <c r="D80" t="str">
        <f>IFERROR(VLOOKUP(B80,RECEITAS!A:C,$D$7,FALSE),"")</f>
        <v/>
      </c>
      <c r="E80" s="1" t="str">
        <f>IFERROR(E79+(VLOOKUP($D80,PROCESSO!$B:$P,AP_CRONO_TER!E$8,FALSE)/24),"")</f>
        <v/>
      </c>
      <c r="F80" s="1">
        <f>Crono_Ter!E78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4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5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6"/>
        <v/>
      </c>
    </row>
    <row r="81" spans="1:23" x14ac:dyDescent="0.3">
      <c r="A81">
        <f>Crono_Ter!A79</f>
        <v>0</v>
      </c>
      <c r="B81">
        <f>Crono_Ter!B79</f>
        <v>0</v>
      </c>
      <c r="C81" s="17">
        <f>Crono_Ter!C79</f>
        <v>0</v>
      </c>
      <c r="D81" t="str">
        <f>IFERROR(VLOOKUP(B81,RECEITAS!A:C,$D$7,FALSE),"")</f>
        <v/>
      </c>
      <c r="E81" s="1" t="str">
        <f>IFERROR(E80+(VLOOKUP($D81,PROCESSO!$B:$P,AP_CRONO_TER!E$8,FALSE)/24),"")</f>
        <v/>
      </c>
      <c r="F81" s="1">
        <f>Crono_Ter!E79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4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5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6"/>
        <v/>
      </c>
    </row>
    <row r="82" spans="1:23" x14ac:dyDescent="0.3">
      <c r="A82">
        <f>Crono_Ter!A80</f>
        <v>0</v>
      </c>
      <c r="B82">
        <f>Crono_Ter!B80</f>
        <v>0</v>
      </c>
      <c r="C82" s="17">
        <f>Crono_Ter!C80</f>
        <v>0</v>
      </c>
      <c r="D82" t="str">
        <f>IFERROR(VLOOKUP(B82,RECEITAS!A:C,$D$7,FALSE),"")</f>
        <v/>
      </c>
      <c r="E82" s="1" t="str">
        <f>IFERROR(E81+(VLOOKUP($D82,PROCESSO!$B:$P,AP_CRONO_TER!E$8,FALSE)/24),"")</f>
        <v/>
      </c>
      <c r="F82" s="1">
        <f>Crono_Ter!E80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4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5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6"/>
        <v/>
      </c>
    </row>
    <row r="83" spans="1:23" x14ac:dyDescent="0.3">
      <c r="A83">
        <f>Crono_Ter!A81</f>
        <v>0</v>
      </c>
      <c r="B83">
        <f>Crono_Ter!B81</f>
        <v>0</v>
      </c>
      <c r="C83" s="17">
        <f>Crono_Ter!C81</f>
        <v>0</v>
      </c>
      <c r="D83" t="str">
        <f>IFERROR(VLOOKUP(B83,RECEITAS!A:C,$D$7,FALSE),"")</f>
        <v/>
      </c>
      <c r="E83" s="1" t="str">
        <f>IFERROR(E82+(VLOOKUP($D83,PROCESSO!$B:$P,AP_CRONO_TER!E$8,FALSE)/24),"")</f>
        <v/>
      </c>
      <c r="F83" s="1">
        <f>Crono_Ter!E81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4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5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6"/>
        <v/>
      </c>
    </row>
    <row r="84" spans="1:23" x14ac:dyDescent="0.3">
      <c r="A84">
        <f>Crono_Ter!A82</f>
        <v>0</v>
      </c>
      <c r="B84">
        <f>Crono_Ter!B82</f>
        <v>0</v>
      </c>
      <c r="C84" s="17">
        <f>Crono_Ter!C82</f>
        <v>0</v>
      </c>
      <c r="D84" t="str">
        <f>IFERROR(VLOOKUP(B84,RECEITAS!A:C,$D$7,FALSE),"")</f>
        <v/>
      </c>
      <c r="E84" s="1" t="str">
        <f>IFERROR(E83+(VLOOKUP($D84,PROCESSO!$B:$P,AP_CRONO_TER!E$8,FALSE)/24),"")</f>
        <v/>
      </c>
      <c r="F84" s="1">
        <f>Crono_Ter!E82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4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5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6"/>
        <v/>
      </c>
    </row>
    <row r="85" spans="1:23" x14ac:dyDescent="0.3">
      <c r="A85">
        <f>Crono_Ter!A83</f>
        <v>0</v>
      </c>
      <c r="B85">
        <f>Crono_Ter!B83</f>
        <v>0</v>
      </c>
      <c r="C85" s="17">
        <f>Crono_Ter!C83</f>
        <v>0</v>
      </c>
      <c r="D85" t="str">
        <f>IFERROR(VLOOKUP(B85,RECEITAS!A:C,$D$7,FALSE),"")</f>
        <v/>
      </c>
      <c r="E85" s="1" t="str">
        <f>IFERROR(E84+(VLOOKUP($D85,PROCESSO!$B:$P,AP_CRONO_TER!E$8,FALSE)/24),"")</f>
        <v/>
      </c>
      <c r="F85" s="1">
        <f>Crono_Ter!E83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4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5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6"/>
        <v/>
      </c>
    </row>
    <row r="86" spans="1:23" x14ac:dyDescent="0.3">
      <c r="A86">
        <f>Crono_Ter!A84</f>
        <v>0</v>
      </c>
      <c r="B86">
        <f>Crono_Ter!B84</f>
        <v>0</v>
      </c>
      <c r="C86" s="17">
        <f>Crono_Ter!C84</f>
        <v>0</v>
      </c>
      <c r="D86" t="str">
        <f>IFERROR(VLOOKUP(B86,RECEITAS!A:C,$D$7,FALSE),"")</f>
        <v/>
      </c>
      <c r="E86" s="1" t="str">
        <f>IFERROR(E85+(VLOOKUP($D86,PROCESSO!$B:$P,AP_CRONO_TER!E$8,FALSE)/24),"")</f>
        <v/>
      </c>
      <c r="F86" s="1">
        <f>Crono_Ter!E84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4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5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6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5D95-C9A5-4663-8D77-25D491F47D3F}">
  <sheetPr codeName="Planilha12"/>
  <dimension ref="A7:W31"/>
  <sheetViews>
    <sheetView zoomScaleNormal="100" workbookViewId="0">
      <pane xSplit="2" ySplit="9" topLeftCell="C13" activePane="bottomRight" state="frozen"/>
      <selection pane="topRight" activeCell="C1" sqref="C1"/>
      <selection pane="bottomLeft" activeCell="A10" sqref="A10"/>
      <selection pane="bottomRight" activeCell="B28" sqref="B28:B31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</cols>
  <sheetData>
    <row r="7" spans="1:23" x14ac:dyDescent="0.3">
      <c r="A7" t="s">
        <v>69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0.5393634259259259</v>
      </c>
      <c r="T8" s="1">
        <v>6.9444444444444441E-3</v>
      </c>
    </row>
    <row r="9" spans="1:23" s="22" customFormat="1" ht="28.2" customHeight="1" x14ac:dyDescent="0.3">
      <c r="A9" s="22" t="s">
        <v>68</v>
      </c>
      <c r="B9" s="22" t="s">
        <v>19</v>
      </c>
      <c r="E9" s="23" t="s">
        <v>1</v>
      </c>
      <c r="F9" s="34" t="s">
        <v>78</v>
      </c>
      <c r="G9" s="34" t="s">
        <v>79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80</v>
      </c>
      <c r="R9" s="23" t="s">
        <v>81</v>
      </c>
      <c r="S9" s="22" t="s">
        <v>100</v>
      </c>
      <c r="T9" s="22" t="s">
        <v>101</v>
      </c>
      <c r="U9" s="22" t="s">
        <v>102</v>
      </c>
      <c r="V9" s="22" t="s">
        <v>103</v>
      </c>
      <c r="W9" s="22" t="s">
        <v>104</v>
      </c>
    </row>
    <row r="10" spans="1:23" x14ac:dyDescent="0.3">
      <c r="A10">
        <f>Crono_Qua!A8</f>
        <v>1</v>
      </c>
      <c r="B10" t="str">
        <f>Crono_Qua!B8</f>
        <v>AMANTEIGADO</v>
      </c>
      <c r="C10" s="17">
        <f>Crono_Qua!C8</f>
        <v>31.200000000000003</v>
      </c>
      <c r="D10" t="str">
        <f>IFERROR(VLOOKUP(B10,RECEITAS!A:C,$D$7,FALSE),"")</f>
        <v>DIRETO</v>
      </c>
      <c r="E10" s="1">
        <f>IFERROR(D8+(VLOOKUP($D10,PROCESSO!$B:$P,AP_CRONO_qua!E$8,FALSE)/24),"")</f>
        <v>0.19305555555555556</v>
      </c>
      <c r="F10" s="1">
        <f>Crono_Qua!E8</f>
        <v>0.20833333333333334</v>
      </c>
      <c r="G10" s="1">
        <f>IFERROR(IF(F10=0,"",VLOOKUP($D10,PROCESSO!$B:$P,G$8,FALSE)/24)*IFERROR(IF(#REF!&gt;$B$8,ROUNDUP(#REF!/$B$8,0),1),1)+($A$8/24)+F10,"")</f>
        <v>0.22222222222222224</v>
      </c>
      <c r="H10" s="1">
        <f>G10</f>
        <v>0.22222222222222224</v>
      </c>
      <c r="I10" s="1">
        <f>IFERROR(IF(H10=0,"",VLOOKUP($D10,PROCESSO!$B:$P,H$8,FALSE)/24)+($A$8/24)+H10,"")</f>
        <v>0.22569444444444445</v>
      </c>
      <c r="J10" s="1">
        <f>IFERROR(IF(I10=0,"",VLOOKUP($D10,PROCESSO!$B:$P,I$8,FALSE)/24)+($A$8/24)+I10,"")</f>
        <v>0.23402777777777778</v>
      </c>
      <c r="K10" s="1">
        <f>IFERROR(IF(J10=0,"",VLOOKUP($D10,PROCESSO!$B:$P,J$8,FALSE)/24)+($A$8/24)+J10,"")</f>
        <v>0.24236111111111111</v>
      </c>
      <c r="L10" s="1">
        <f>IFERROR(IF(K10=0,"",VLOOKUP($D10,PROCESSO!$B:$P,K$8,FALSE)/24)+($A$8/24)+K10,"")</f>
        <v>0.24583333333333332</v>
      </c>
      <c r="M10" s="1">
        <f>IFERROR(IF(L10=0,"",VLOOKUP($D10,PROCESSO!$B:$P,L$8,FALSE)/24)+($A$8/24)+L10,"")</f>
        <v>0.27361111111111108</v>
      </c>
      <c r="N10" s="1">
        <f>IFERROR(IF(M10=0,"",VLOOKUP($D10,PROCESSO!$B:$P,M$8,FALSE)/24)+($A$8/24)+M10,"")</f>
        <v>0.33958333333333329</v>
      </c>
      <c r="O10" s="1">
        <f>IFERROR(IF(N10=0,"",VLOOKUP($D10,PROCESSO!$B:$P,N$8,FALSE)/24)+($A$8/24)+N10,"")</f>
        <v>0.36388888888888882</v>
      </c>
      <c r="P10" s="1">
        <f>IFERROR(IF(O10=0,"",VLOOKUP($D10,PROCESSO!$B:$P,O$8,FALSE)/24)+($A$8/24)+O10,"")</f>
        <v>0.42986111111111103</v>
      </c>
      <c r="Q10" s="1">
        <f>IFERROR(IF(P10=0,"",VLOOKUP($D10,PROCESSO!$B:$P,P$8,FALSE)/24)+($A$8/24)+P10,"")</f>
        <v>0.46249999999999991</v>
      </c>
      <c r="R10" s="1">
        <f>IFERROR(IF(Q10=0,"",VLOOKUP($D10,PROCESSO!$B:$P,Q$8,FALSE)/24)+($A$8/24)+Q10,"")</f>
        <v>0.50763888888888875</v>
      </c>
      <c r="S10" s="45">
        <f>IFERROR(IFERROR(VLOOKUP(D10,PROCESSO!B:P,15,FALSE),"")/SUMIFS(C:C,A:A,A10),"")</f>
        <v>1.4879948451071399</v>
      </c>
      <c r="T10" s="45">
        <f>IFERROR(S10*C10,"")</f>
        <v>46.425439167342766</v>
      </c>
      <c r="U10" s="45">
        <f>IFERROR(VLOOKUP(B10,RECEITAS!A:C,3,FALSE),"")</f>
        <v>1.8031880400301454</v>
      </c>
      <c r="V10" s="45">
        <f>IFERROR((U10+S10)*(1-ANALISE!$I$4),"")</f>
        <v>3.2911828851372853</v>
      </c>
      <c r="W10" s="45">
        <f>IFERROR(V10*C10,"")</f>
        <v>102.68490601628331</v>
      </c>
    </row>
    <row r="11" spans="1:23" x14ac:dyDescent="0.3">
      <c r="A11">
        <f>Crono_Qua!A9</f>
        <v>2</v>
      </c>
      <c r="B11" t="str">
        <f>Crono_Qua!B9</f>
        <v>MALTA AMANTEIGADO</v>
      </c>
      <c r="C11" s="17">
        <f>Crono_Qua!C9</f>
        <v>25.2</v>
      </c>
      <c r="D11" t="str">
        <f>IFERROR(VLOOKUP(B11,RECEITAS!A:C,$D$7,FALSE),"")</f>
        <v>DIRETO</v>
      </c>
      <c r="E11" s="1">
        <f>IFERROR(E10+(VLOOKUP($D11,PROCESSO!$B:$P,AP_CRONO_qua!E$8,FALSE)/24),"")</f>
        <v>0.19861111111111113</v>
      </c>
      <c r="F11" s="1">
        <f>Crono_Qua!E9</f>
        <v>0.24652777777777779</v>
      </c>
      <c r="G11" s="1">
        <f>IFERROR(IF(F11=0,"",VLOOKUP($D11,PROCESSO!$B:$P,G$8,FALSE)/24)*IFERROR(IF(#REF!&gt;$B$8,ROUNDUP(#REF!/$B$8,0),1),1)+($A$8/24)+F11,"")</f>
        <v>0.26041666666666669</v>
      </c>
      <c r="H11" s="1">
        <f t="shared" ref="H11:H18" si="0">G11</f>
        <v>0.26041666666666669</v>
      </c>
      <c r="I11" s="1">
        <f>IFERROR(IF(H11=0,"",VLOOKUP($D11,PROCESSO!$B:$P,H$8,FALSE)/24)+($A$8/24)+H11,"")</f>
        <v>0.2638888888888889</v>
      </c>
      <c r="J11" s="1">
        <f>IFERROR(IF(I11=0,"",VLOOKUP($D11,PROCESSO!$B:$P,I$8,FALSE)/24)+($A$8/24)+I11,"")</f>
        <v>0.27222222222222225</v>
      </c>
      <c r="K11" s="1">
        <f>IFERROR(IF(J11=0,"",VLOOKUP($D11,PROCESSO!$B:$P,J$8,FALSE)/24)+($A$8/24)+J11,"")</f>
        <v>0.28055555555555561</v>
      </c>
      <c r="L11" s="1">
        <f>IFERROR(IF(K11=0,"",VLOOKUP($D11,PROCESSO!$B:$P,K$8,FALSE)/24)+($A$8/24)+K11,"")</f>
        <v>0.28402777777777782</v>
      </c>
      <c r="M11" s="1">
        <f>IFERROR(IF(L11=0,"",VLOOKUP($D11,PROCESSO!$B:$P,L$8,FALSE)/24)+($A$8/24)+L11,"")</f>
        <v>0.31180555555555561</v>
      </c>
      <c r="N11" s="1">
        <f>IFERROR(IF(M11=0,"",VLOOKUP($D11,PROCESSO!$B:$P,M$8,FALSE)/24)+($A$8/24)+M11,"")</f>
        <v>0.37777777777777782</v>
      </c>
      <c r="O11" s="1">
        <f>IFERROR(IF(N11=0,"",VLOOKUP($D11,PROCESSO!$B:$P,N$8,FALSE)/24)+($A$8/24)+N11,"")</f>
        <v>0.40208333333333335</v>
      </c>
      <c r="P11" s="1">
        <f>IFERROR(IF(O11=0,"",VLOOKUP($D11,PROCESSO!$B:$P,O$8,FALSE)/24)+($A$8/24)+O11,"")</f>
        <v>0.46805555555555556</v>
      </c>
      <c r="Q11" s="1">
        <f>IFERROR(IF(P11=0,"",VLOOKUP($D11,PROCESSO!$B:$P,P$8,FALSE)/24)+($A$8/24)+P11,"")</f>
        <v>0.50069444444444444</v>
      </c>
      <c r="R11" s="1">
        <f>IFERROR(IF(Q11=0,"",VLOOKUP($D11,PROCESSO!$B:$P,Q$8,FALSE)/24)+($A$8/24)+Q11,"")</f>
        <v>0.54583333333333328</v>
      </c>
      <c r="S11" s="45">
        <f>IFERROR(IFERROR(VLOOKUP(D11,PROCESSO!B:P,15,FALSE),"")/SUMIFS(C:C,A:A,A11),"")</f>
        <v>1.8422793320374113</v>
      </c>
      <c r="T11" s="45">
        <f t="shared" ref="T11:T22" si="1">IFERROR(S11*C11,"")</f>
        <v>46.425439167342766</v>
      </c>
      <c r="U11" s="45">
        <f>IFERROR(VLOOKUP(B11,RECEITAS!A:C,3,FALSE),"")</f>
        <v>2.3235487959442338</v>
      </c>
      <c r="V11" s="45">
        <f>IFERROR((U11+S11)*(1-ANALISE!$I$4),"")</f>
        <v>4.1658281279816451</v>
      </c>
      <c r="W11" s="45">
        <f t="shared" ref="W11:W22" si="2">IFERROR(V11*C11,"")</f>
        <v>104.97886882513745</v>
      </c>
    </row>
    <row r="12" spans="1:23" x14ac:dyDescent="0.3">
      <c r="A12">
        <f>Crono_Qua!A10</f>
        <v>3</v>
      </c>
      <c r="B12" t="str">
        <f>Crono_Qua!B10</f>
        <v>AUSTRALIANO</v>
      </c>
      <c r="C12" s="17">
        <f>Crono_Qua!C10</f>
        <v>23.040000000000006</v>
      </c>
      <c r="D12" t="str">
        <f>IFERROR(VLOOKUP(B12,RECEITAS!A:C,$D$7,FALSE),"")</f>
        <v>DIRETO</v>
      </c>
      <c r="E12" s="1">
        <f>IFERROR(E11+(VLOOKUP($D12,PROCESSO!$B:$P,AP_CRONO_qua!E$8,FALSE)/24),"")</f>
        <v>0.20416666666666669</v>
      </c>
      <c r="F12" s="1">
        <f>Crono_Qua!E10</f>
        <v>0.28194444444444444</v>
      </c>
      <c r="G12" s="1">
        <f>IFERROR(IF(F12=0,"",VLOOKUP($D12,PROCESSO!$B:$P,G$8,FALSE)/24)*IFERROR(IF(#REF!&gt;$B$8,ROUNDUP(#REF!/$B$8,0),1),1)+($A$8/24)+F12,"")</f>
        <v>0.29583333333333334</v>
      </c>
      <c r="H12" s="1">
        <f t="shared" si="0"/>
        <v>0.29583333333333334</v>
      </c>
      <c r="I12" s="1">
        <f>IFERROR(IF(H12=0,"",VLOOKUP($D12,PROCESSO!$B:$P,H$8,FALSE)/24)+($A$8/24)+H12,"")</f>
        <v>0.29930555555555555</v>
      </c>
      <c r="J12" s="1">
        <f>IFERROR(IF(I12=0,"",VLOOKUP($D12,PROCESSO!$B:$P,I$8,FALSE)/24)+($A$8/24)+I12,"")</f>
        <v>0.30763888888888891</v>
      </c>
      <c r="K12" s="1">
        <f>IFERROR(IF(J12=0,"",VLOOKUP($D12,PROCESSO!$B:$P,J$8,FALSE)/24)+($A$8/24)+J12,"")</f>
        <v>0.31597222222222227</v>
      </c>
      <c r="L12" s="1">
        <f>IFERROR(IF(K12=0,"",VLOOKUP($D12,PROCESSO!$B:$P,K$8,FALSE)/24)+($A$8/24)+K12,"")</f>
        <v>0.31944444444444448</v>
      </c>
      <c r="M12" s="1">
        <f>IFERROR(IF(L12=0,"",VLOOKUP($D12,PROCESSO!$B:$P,L$8,FALSE)/24)+($A$8/24)+L12,"")</f>
        <v>0.34722222222222227</v>
      </c>
      <c r="N12" s="1">
        <f>IFERROR(IF(M12=0,"",VLOOKUP($D12,PROCESSO!$B:$P,M$8,FALSE)/24)+($A$8/24)+M12,"")</f>
        <v>0.41319444444444448</v>
      </c>
      <c r="O12" s="1">
        <f>IFERROR(IF(N12=0,"",VLOOKUP($D12,PROCESSO!$B:$P,N$8,FALSE)/24)+($A$8/24)+N12,"")</f>
        <v>0.4375</v>
      </c>
      <c r="P12" s="1">
        <f>IFERROR(IF(O12=0,"",VLOOKUP($D12,PROCESSO!$B:$P,O$8,FALSE)/24)+($A$8/24)+O12,"")</f>
        <v>0.50347222222222221</v>
      </c>
      <c r="Q12" s="1">
        <f>IFERROR(IF(P12=0,"",VLOOKUP($D12,PROCESSO!$B:$P,P$8,FALSE)/24)+($A$8/24)+P12,"")</f>
        <v>0.53611111111111109</v>
      </c>
      <c r="R12" s="1">
        <f>IFERROR(IF(Q12=0,"",VLOOKUP($D12,PROCESSO!$B:$P,Q$8,FALSE)/24)+($A$8/24)+Q12,"")</f>
        <v>0.58124999999999993</v>
      </c>
      <c r="S12" s="45">
        <f>IFERROR(IFERROR(VLOOKUP(D12,PROCESSO!B:P,15,FALSE),"")/SUMIFS(C:C,A:A,A12),"")</f>
        <v>1.4995296888676599</v>
      </c>
      <c r="T12" s="45">
        <f t="shared" si="1"/>
        <v>34.549164031510891</v>
      </c>
      <c r="U12" s="45">
        <f>IFERROR(VLOOKUP(B12,RECEITAS!A:C,3,FALSE),"")</f>
        <v>2.4</v>
      </c>
      <c r="V12" s="45">
        <f>IFERROR((U12+S12)*(1-ANALISE!$I$4),"")</f>
        <v>3.89952968886766</v>
      </c>
      <c r="W12" s="45">
        <f t="shared" si="2"/>
        <v>89.845164031510919</v>
      </c>
    </row>
    <row r="13" spans="1:23" x14ac:dyDescent="0.3">
      <c r="A13">
        <f>Crono_Qua!A11</f>
        <v>3</v>
      </c>
      <c r="B13" t="str">
        <f>Crono_Qua!B11</f>
        <v>EGGBREAD</v>
      </c>
      <c r="C13" s="17">
        <f>Crono_Qua!C11</f>
        <v>7.9200000000000008</v>
      </c>
      <c r="D13" t="str">
        <f>IFERROR(VLOOKUP(B13,RECEITAS!A:C,$D$7,FALSE),"")</f>
        <v>DIRETO</v>
      </c>
      <c r="E13" s="1">
        <f>IFERROR(E12+(VLOOKUP($D13,PROCESSO!$B:$P,AP_CRONO_qua!E$8,FALSE)/24),"")</f>
        <v>0.20972222222222225</v>
      </c>
      <c r="F13" s="1">
        <f>Crono_Qua!E11</f>
        <v>0.28194444444444444</v>
      </c>
      <c r="G13" s="1">
        <f>IFERROR(IF(F13=0,"",VLOOKUP($D13,PROCESSO!$B:$P,G$8,FALSE)/24)*IFERROR(IF(#REF!&gt;$B$8,ROUNDUP(#REF!/$B$8,0),1),1)+($A$8/24)+F13,"")</f>
        <v>0.29583333333333334</v>
      </c>
      <c r="H13" s="1">
        <f t="shared" si="0"/>
        <v>0.29583333333333334</v>
      </c>
      <c r="I13" s="1">
        <f>IFERROR(IF(H13=0,"",VLOOKUP($D13,PROCESSO!$B:$P,H$8,FALSE)/24)+($A$8/24)+H13,"")</f>
        <v>0.29930555555555555</v>
      </c>
      <c r="J13" s="1">
        <f>IFERROR(IF(I13=0,"",VLOOKUP($D13,PROCESSO!$B:$P,I$8,FALSE)/24)+($A$8/24)+I13,"")</f>
        <v>0.30763888888888891</v>
      </c>
      <c r="K13" s="1">
        <f>IFERROR(IF(J13=0,"",VLOOKUP($D13,PROCESSO!$B:$P,J$8,FALSE)/24)+($A$8/24)+J13,"")</f>
        <v>0.31597222222222227</v>
      </c>
      <c r="L13" s="1">
        <f>IFERROR(IF(K13=0,"",VLOOKUP($D13,PROCESSO!$B:$P,K$8,FALSE)/24)+($A$8/24)+K13,"")</f>
        <v>0.31944444444444448</v>
      </c>
      <c r="M13" s="1">
        <f>IFERROR(IF(L13=0,"",VLOOKUP($D13,PROCESSO!$B:$P,L$8,FALSE)/24)+($A$8/24)+L13,"")</f>
        <v>0.34722222222222227</v>
      </c>
      <c r="N13" s="1">
        <f>IFERROR(IF(M13=0,"",VLOOKUP($D13,PROCESSO!$B:$P,M$8,FALSE)/24)+($A$8/24)+M13,"")</f>
        <v>0.41319444444444448</v>
      </c>
      <c r="O13" s="1">
        <f>IFERROR(IF(N13=0,"",VLOOKUP($D13,PROCESSO!$B:$P,N$8,FALSE)/24)+($A$8/24)+N13,"")</f>
        <v>0.4375</v>
      </c>
      <c r="P13" s="1">
        <f>IFERROR(IF(O13=0,"",VLOOKUP($D13,PROCESSO!$B:$P,O$8,FALSE)/24)+($A$8/24)+O13,"")</f>
        <v>0.50347222222222221</v>
      </c>
      <c r="Q13" s="1">
        <f>IFERROR(IF(P13=0,"",VLOOKUP($D13,PROCESSO!$B:$P,P$8,FALSE)/24)+($A$8/24)+P13,"")</f>
        <v>0.53611111111111109</v>
      </c>
      <c r="R13" s="1">
        <f>IFERROR(IF(Q13=0,"",VLOOKUP($D13,PROCESSO!$B:$P,Q$8,FALSE)/24)+($A$8/24)+Q13,"")</f>
        <v>0.58124999999999993</v>
      </c>
      <c r="S13" s="45">
        <f>IFERROR(IFERROR(VLOOKUP(D13,PROCESSO!B:P,15,FALSE),"")/SUMIFS(C:C,A:A,A13),"")</f>
        <v>1.4995296888676599</v>
      </c>
      <c r="T13" s="45">
        <f t="shared" si="1"/>
        <v>11.876275135831868</v>
      </c>
      <c r="U13" s="45">
        <f>IFERROR(VLOOKUP(B13,RECEITAS!A:C,3,FALSE),"")</f>
        <v>3.3569775902496781</v>
      </c>
      <c r="V13" s="45">
        <f>IFERROR((U13+S13)*(1-ANALISE!$I$4),"")</f>
        <v>4.8565072791173378</v>
      </c>
      <c r="W13" s="45">
        <f t="shared" si="2"/>
        <v>38.463537650609318</v>
      </c>
    </row>
    <row r="14" spans="1:23" x14ac:dyDescent="0.3">
      <c r="A14">
        <f>Crono_Qua!A12</f>
        <v>4</v>
      </c>
      <c r="B14" t="str">
        <f>Crono_Qua!B12</f>
        <v>CASEIRINHO</v>
      </c>
      <c r="C14" s="17">
        <f>Crono_Qua!C12</f>
        <v>32.400000000000006</v>
      </c>
      <c r="D14" t="str">
        <f>IFERROR(VLOOKUP(B14,RECEITAS!A:C,$D$7,FALSE),"")</f>
        <v>DIRETO</v>
      </c>
      <c r="E14" s="1">
        <f>IFERROR(E13+(VLOOKUP($D14,PROCESSO!$B:$P,AP_CRONO_qua!E$8,FALSE)/24),"")</f>
        <v>0.21527777777777782</v>
      </c>
      <c r="F14" s="1">
        <f>Crono_Qua!E12</f>
        <v>0.3215277777777778</v>
      </c>
      <c r="G14" s="1">
        <f>IFERROR(IF(F14=0,"",VLOOKUP($D14,PROCESSO!$B:$P,G$8,FALSE)/24)*IFERROR(IF(#REF!&gt;$B$8,ROUNDUP(#REF!/$B$8,0),1),1)+($A$8/24)+F14,"")</f>
        <v>0.3354166666666667</v>
      </c>
      <c r="H14" s="1">
        <f t="shared" si="0"/>
        <v>0.3354166666666667</v>
      </c>
      <c r="I14" s="1">
        <f>IFERROR(IF(H14=0,"",VLOOKUP($D14,PROCESSO!$B:$P,H$8,FALSE)/24)+($A$8/24)+H14,"")</f>
        <v>0.33888888888888891</v>
      </c>
      <c r="J14" s="1">
        <f>IFERROR(IF(I14=0,"",VLOOKUP($D14,PROCESSO!$B:$P,I$8,FALSE)/24)+($A$8/24)+I14,"")</f>
        <v>0.34722222222222227</v>
      </c>
      <c r="K14" s="1">
        <f>IFERROR(IF(J14=0,"",VLOOKUP($D14,PROCESSO!$B:$P,J$8,FALSE)/24)+($A$8/24)+J14,"")</f>
        <v>0.35555555555555562</v>
      </c>
      <c r="L14" s="1">
        <f>IFERROR(IF(K14=0,"",VLOOKUP($D14,PROCESSO!$B:$P,K$8,FALSE)/24)+($A$8/24)+K14,"")</f>
        <v>0.35902777777777783</v>
      </c>
      <c r="M14" s="1">
        <f>IFERROR(IF(L14=0,"",VLOOKUP($D14,PROCESSO!$B:$P,L$8,FALSE)/24)+($A$8/24)+L14,"")</f>
        <v>0.38680555555555562</v>
      </c>
      <c r="N14" s="1">
        <f>IFERROR(IF(M14=0,"",VLOOKUP($D14,PROCESSO!$B:$P,M$8,FALSE)/24)+($A$8/24)+M14,"")</f>
        <v>0.45277777777777783</v>
      </c>
      <c r="O14" s="1">
        <f>IFERROR(IF(N14=0,"",VLOOKUP($D14,PROCESSO!$B:$P,N$8,FALSE)/24)+($A$8/24)+N14,"")</f>
        <v>0.47708333333333341</v>
      </c>
      <c r="P14" s="1">
        <f>IFERROR(IF(O14=0,"",VLOOKUP($D14,PROCESSO!$B:$P,O$8,FALSE)/24)+($A$8/24)+O14,"")</f>
        <v>0.54305555555555562</v>
      </c>
      <c r="Q14" s="1">
        <f>IFERROR(IF(P14=0,"",VLOOKUP($D14,PROCESSO!$B:$P,P$8,FALSE)/24)+($A$8/24)+P14,"")</f>
        <v>0.57569444444444451</v>
      </c>
      <c r="R14" s="1">
        <f>IFERROR(IF(Q14=0,"",VLOOKUP($D14,PROCESSO!$B:$P,Q$8,FALSE)/24)+($A$8/24)+Q14,"")</f>
        <v>0.62083333333333335</v>
      </c>
      <c r="S14" s="45">
        <f>IFERROR(IFERROR(VLOOKUP(D14,PROCESSO!B:P,15,FALSE),"")/SUMIFS(C:C,A:A,A14),"")</f>
        <v>1.1117202865742999</v>
      </c>
      <c r="T14" s="45">
        <f t="shared" si="1"/>
        <v>36.019737285007324</v>
      </c>
      <c r="U14" s="45">
        <f>IFERROR(VLOOKUP(B14,RECEITAS!A:C,3,FALSE),"")</f>
        <v>2.38</v>
      </c>
      <c r="V14" s="45">
        <f>IFERROR((U14+S14)*(1-ANALISE!$I$4),"")</f>
        <v>3.4917202865742998</v>
      </c>
      <c r="W14" s="45">
        <f t="shared" si="2"/>
        <v>113.13173728500733</v>
      </c>
    </row>
    <row r="15" spans="1:23" x14ac:dyDescent="0.3">
      <c r="A15">
        <f>Crono_Qua!A13</f>
        <v>4</v>
      </c>
      <c r="B15" t="str">
        <f>Crono_Qua!B13</f>
        <v>PH AZUL</v>
      </c>
      <c r="C15" s="17">
        <f>Crono_Qua!C13</f>
        <v>1.2600000000000002</v>
      </c>
      <c r="D15" t="str">
        <f>IFERROR(VLOOKUP(B15,RECEITAS!A:C,$D$7,FALSE),"")</f>
        <v>DIRETO</v>
      </c>
      <c r="E15" s="1">
        <f>IFERROR(E14+(VLOOKUP($D15,PROCESSO!$B:$P,AP_CRONO_qua!E$8,FALSE)/24),"")</f>
        <v>0.22083333333333338</v>
      </c>
      <c r="F15" s="1">
        <f>Crono_Qua!E13</f>
        <v>0.3215277777777778</v>
      </c>
      <c r="G15" s="1">
        <f>IFERROR(IF(F15=0,"",VLOOKUP($D15,PROCESSO!$B:$P,G$8,FALSE)/24)*IFERROR(IF(#REF!&gt;$B$8,ROUNDUP(#REF!/$B$8,0),1),1)+($A$8/24)+F15,"")</f>
        <v>0.3354166666666667</v>
      </c>
      <c r="H15" s="1">
        <f t="shared" si="0"/>
        <v>0.3354166666666667</v>
      </c>
      <c r="I15" s="1">
        <f>IFERROR(IF(H15=0,"",VLOOKUP($D15,PROCESSO!$B:$P,H$8,FALSE)/24)+($A$8/24)+H15,"")</f>
        <v>0.33888888888888891</v>
      </c>
      <c r="J15" s="1">
        <f>IFERROR(IF(I15=0,"",VLOOKUP($D15,PROCESSO!$B:$P,I$8,FALSE)/24)+($A$8/24)+I15,"")</f>
        <v>0.34722222222222227</v>
      </c>
      <c r="K15" s="1">
        <f>IFERROR(IF(J15=0,"",VLOOKUP($D15,PROCESSO!$B:$P,J$8,FALSE)/24)+($A$8/24)+J15,"")</f>
        <v>0.35555555555555562</v>
      </c>
      <c r="L15" s="1">
        <f>IFERROR(IF(K15=0,"",VLOOKUP($D15,PROCESSO!$B:$P,K$8,FALSE)/24)+($A$8/24)+K15,"")</f>
        <v>0.35902777777777783</v>
      </c>
      <c r="M15" s="1">
        <f>IFERROR(IF(L15=0,"",VLOOKUP($D15,PROCESSO!$B:$P,L$8,FALSE)/24)+($A$8/24)+L15,"")</f>
        <v>0.38680555555555562</v>
      </c>
      <c r="N15" s="1">
        <f>IFERROR(IF(M15=0,"",VLOOKUP($D15,PROCESSO!$B:$P,M$8,FALSE)/24)+($A$8/24)+M15,"")</f>
        <v>0.45277777777777783</v>
      </c>
      <c r="O15" s="1">
        <f>IFERROR(IF(N15=0,"",VLOOKUP($D15,PROCESSO!$B:$P,N$8,FALSE)/24)+($A$8/24)+N15,"")</f>
        <v>0.47708333333333341</v>
      </c>
      <c r="P15" s="1">
        <f>IFERROR(IF(O15=0,"",VLOOKUP($D15,PROCESSO!$B:$P,O$8,FALSE)/24)+($A$8/24)+O15,"")</f>
        <v>0.54305555555555562</v>
      </c>
      <c r="Q15" s="1">
        <f>IFERROR(IF(P15=0,"",VLOOKUP($D15,PROCESSO!$B:$P,P$8,FALSE)/24)+($A$8/24)+P15,"")</f>
        <v>0.57569444444444451</v>
      </c>
      <c r="R15" s="1">
        <f>IFERROR(IF(Q15=0,"",VLOOKUP($D15,PROCESSO!$B:$P,Q$8,FALSE)/24)+($A$8/24)+Q15,"")</f>
        <v>0.62083333333333335</v>
      </c>
      <c r="S15" s="45">
        <f>IFERROR(IFERROR(VLOOKUP(D15,PROCESSO!B:P,15,FALSE),"")/SUMIFS(C:C,A:A,A15),"")</f>
        <v>1.1117202865742999</v>
      </c>
      <c r="T15" s="45">
        <f t="shared" si="1"/>
        <v>1.4007675610836181</v>
      </c>
      <c r="U15" s="45">
        <f>IFERROR(VLOOKUP(B15,RECEITAS!A:C,3,FALSE),"")</f>
        <v>2.3235487959442338</v>
      </c>
      <c r="V15" s="45">
        <f>IFERROR((U15+S15)*(1-ANALISE!$I$4),"")</f>
        <v>3.4352690825185337</v>
      </c>
      <c r="W15" s="45">
        <f t="shared" si="2"/>
        <v>4.3284390439733533</v>
      </c>
    </row>
    <row r="16" spans="1:23" x14ac:dyDescent="0.3">
      <c r="A16">
        <f>Crono_Qua!A14</f>
        <v>4</v>
      </c>
      <c r="B16" t="str">
        <f>Crono_Qua!B14</f>
        <v>PH VERDE</v>
      </c>
      <c r="C16" s="17">
        <f>Crono_Qua!C14</f>
        <v>4.2</v>
      </c>
      <c r="D16" t="str">
        <f>IFERROR(VLOOKUP(B16,RECEITAS!A:C,$D$7,FALSE),"")</f>
        <v>DIRETO</v>
      </c>
      <c r="E16" s="1">
        <f>IFERROR(E15+(VLOOKUP($D16,PROCESSO!$B:$P,AP_CRONO_qua!E$8,FALSE)/24),"")</f>
        <v>0.22638888888888895</v>
      </c>
      <c r="F16" s="1">
        <f>Crono_Qua!E14</f>
        <v>0.3215277777777778</v>
      </c>
      <c r="G16" s="1">
        <f>IFERROR(IF(F16=0,"",VLOOKUP($D16,PROCESSO!$B:$P,G$8,FALSE)/24)*IFERROR(IF(#REF!&gt;$B$8,ROUNDUP(#REF!/$B$8,0),1),1)+($A$8/24)+F16,"")</f>
        <v>0.3354166666666667</v>
      </c>
      <c r="H16" s="1">
        <f t="shared" si="0"/>
        <v>0.3354166666666667</v>
      </c>
      <c r="I16" s="1">
        <f>IFERROR(IF(H16=0,"",VLOOKUP($D16,PROCESSO!$B:$P,H$8,FALSE)/24)+($A$8/24)+H16,"")</f>
        <v>0.33888888888888891</v>
      </c>
      <c r="J16" s="1">
        <f>IFERROR(IF(I16=0,"",VLOOKUP($D16,PROCESSO!$B:$P,I$8,FALSE)/24)+($A$8/24)+I16,"")</f>
        <v>0.34722222222222227</v>
      </c>
      <c r="K16" s="1">
        <f>IFERROR(IF(J16=0,"",VLOOKUP($D16,PROCESSO!$B:$P,J$8,FALSE)/24)+($A$8/24)+J16,"")</f>
        <v>0.35555555555555562</v>
      </c>
      <c r="L16" s="1">
        <f>IFERROR(IF(K16=0,"",VLOOKUP($D16,PROCESSO!$B:$P,K$8,FALSE)/24)+($A$8/24)+K16,"")</f>
        <v>0.35902777777777783</v>
      </c>
      <c r="M16" s="1">
        <f>IFERROR(IF(L16=0,"",VLOOKUP($D16,PROCESSO!$B:$P,L$8,FALSE)/24)+($A$8/24)+L16,"")</f>
        <v>0.38680555555555562</v>
      </c>
      <c r="N16" s="1">
        <f>IFERROR(IF(M16=0,"",VLOOKUP($D16,PROCESSO!$B:$P,M$8,FALSE)/24)+($A$8/24)+M16,"")</f>
        <v>0.45277777777777783</v>
      </c>
      <c r="O16" s="1">
        <f>IFERROR(IF(N16=0,"",VLOOKUP($D16,PROCESSO!$B:$P,N$8,FALSE)/24)+($A$8/24)+N16,"")</f>
        <v>0.47708333333333341</v>
      </c>
      <c r="P16" s="1">
        <f>IFERROR(IF(O16=0,"",VLOOKUP($D16,PROCESSO!$B:$P,O$8,FALSE)/24)+($A$8/24)+O16,"")</f>
        <v>0.54305555555555562</v>
      </c>
      <c r="Q16" s="1">
        <f>IFERROR(IF(P16=0,"",VLOOKUP($D16,PROCESSO!$B:$P,P$8,FALSE)/24)+($A$8/24)+P16,"")</f>
        <v>0.57569444444444451</v>
      </c>
      <c r="R16" s="1">
        <f>IFERROR(IF(Q16=0,"",VLOOKUP($D16,PROCESSO!$B:$P,Q$8,FALSE)/24)+($A$8/24)+Q16,"")</f>
        <v>0.62083333333333335</v>
      </c>
      <c r="S16" s="45">
        <f>IFERROR(IFERROR(VLOOKUP(D16,PROCESSO!B:P,15,FALSE),"")/SUMIFS(C:C,A:A,A16),"")</f>
        <v>1.1117202865742999</v>
      </c>
      <c r="T16" s="45">
        <f t="shared" si="1"/>
        <v>4.6692252036120596</v>
      </c>
      <c r="U16" s="45">
        <f>IFERROR(VLOOKUP(B16,RECEITAS!A:C,3,FALSE),"")</f>
        <v>2.3235487959442338</v>
      </c>
      <c r="V16" s="45">
        <f>IFERROR((U16+S16)*(1-ANALISE!$I$4),"")</f>
        <v>3.4352690825185337</v>
      </c>
      <c r="W16" s="45">
        <f t="shared" si="2"/>
        <v>14.428130146577843</v>
      </c>
    </row>
    <row r="17" spans="1:23" x14ac:dyDescent="0.3">
      <c r="A17">
        <f>Crono_Qua!A15</f>
        <v>4</v>
      </c>
      <c r="B17" t="str">
        <f>Crono_Qua!B15</f>
        <v>PH VERMELHO</v>
      </c>
      <c r="C17" s="17">
        <f>Crono_Qua!C15</f>
        <v>1.2600000000000002</v>
      </c>
      <c r="D17" t="str">
        <f>IFERROR(VLOOKUP(B17,RECEITAS!A:C,$D$7,FALSE),"")</f>
        <v>DIRETO</v>
      </c>
      <c r="E17" s="1">
        <f>IFERROR(E16+(VLOOKUP($D17,PROCESSO!$B:$P,AP_CRONO_qua!E$8,FALSE)/24),"")</f>
        <v>0.23194444444444451</v>
      </c>
      <c r="F17" s="1">
        <f>Crono_Qua!E15</f>
        <v>0.3215277777777778</v>
      </c>
      <c r="G17" s="1">
        <f>IFERROR(IF(F17=0,"",VLOOKUP($D17,PROCESSO!$B:$P,G$8,FALSE)/24)*IFERROR(IF(#REF!&gt;$B$8,ROUNDUP(#REF!/$B$8,0),1),1)+($A$8/24)+F17,"")</f>
        <v>0.3354166666666667</v>
      </c>
      <c r="H17" s="1">
        <f t="shared" si="0"/>
        <v>0.3354166666666667</v>
      </c>
      <c r="I17" s="1">
        <f>IFERROR(IF(H17=0,"",VLOOKUP($D17,PROCESSO!$B:$P,H$8,FALSE)/24)+($A$8/24)+H17,"")</f>
        <v>0.33888888888888891</v>
      </c>
      <c r="J17" s="1">
        <f>IFERROR(IF(I17=0,"",VLOOKUP($D17,PROCESSO!$B:$P,I$8,FALSE)/24)+($A$8/24)+I17,"")</f>
        <v>0.34722222222222227</v>
      </c>
      <c r="K17" s="1">
        <f>IFERROR(IF(J17=0,"",VLOOKUP($D17,PROCESSO!$B:$P,J$8,FALSE)/24)+($A$8/24)+J17,"")</f>
        <v>0.35555555555555562</v>
      </c>
      <c r="L17" s="1">
        <f>IFERROR(IF(K17=0,"",VLOOKUP($D17,PROCESSO!$B:$P,K$8,FALSE)/24)+($A$8/24)+K17,"")</f>
        <v>0.35902777777777783</v>
      </c>
      <c r="M17" s="1">
        <f>IFERROR(IF(L17=0,"",VLOOKUP($D17,PROCESSO!$B:$P,L$8,FALSE)/24)+($A$8/24)+L17,"")</f>
        <v>0.38680555555555562</v>
      </c>
      <c r="N17" s="1">
        <f>IFERROR(IF(M17=0,"",VLOOKUP($D17,PROCESSO!$B:$P,M$8,FALSE)/24)+($A$8/24)+M17,"")</f>
        <v>0.45277777777777783</v>
      </c>
      <c r="O17" s="1">
        <f>IFERROR(IF(N17=0,"",VLOOKUP($D17,PROCESSO!$B:$P,N$8,FALSE)/24)+($A$8/24)+N17,"")</f>
        <v>0.47708333333333341</v>
      </c>
      <c r="P17" s="1">
        <f>IFERROR(IF(O17=0,"",VLOOKUP($D17,PROCESSO!$B:$P,O$8,FALSE)/24)+($A$8/24)+O17,"")</f>
        <v>0.54305555555555562</v>
      </c>
      <c r="Q17" s="1">
        <f>IFERROR(IF(P17=0,"",VLOOKUP($D17,PROCESSO!$B:$P,P$8,FALSE)/24)+($A$8/24)+P17,"")</f>
        <v>0.57569444444444451</v>
      </c>
      <c r="R17" s="1">
        <f>IFERROR(IF(Q17=0,"",VLOOKUP($D17,PROCESSO!$B:$P,Q$8,FALSE)/24)+($A$8/24)+Q17,"")</f>
        <v>0.62083333333333335</v>
      </c>
      <c r="S17" s="45">
        <f>IFERROR(IFERROR(VLOOKUP(D17,PROCESSO!B:P,15,FALSE),"")/SUMIFS(C:C,A:A,A17),"")</f>
        <v>1.1117202865742999</v>
      </c>
      <c r="T17" s="45">
        <f t="shared" si="1"/>
        <v>1.4007675610836181</v>
      </c>
      <c r="U17" s="45">
        <f>IFERROR(VLOOKUP(B17,RECEITAS!A:C,3,FALSE),"")</f>
        <v>2.3235487959442338</v>
      </c>
      <c r="V17" s="45">
        <f>IFERROR((U17+S17)*(1-ANALISE!$I$4),"")</f>
        <v>3.4352690825185337</v>
      </c>
      <c r="W17" s="45">
        <f t="shared" si="2"/>
        <v>4.3284390439733533</v>
      </c>
    </row>
    <row r="18" spans="1:23" x14ac:dyDescent="0.3">
      <c r="A18">
        <f>Crono_Qua!A16</f>
        <v>4</v>
      </c>
      <c r="B18" t="str">
        <f>Crono_Qua!B16</f>
        <v>PH VINHEDO</v>
      </c>
      <c r="C18" s="17">
        <f>Crono_Qua!C16</f>
        <v>1.6800000000000002</v>
      </c>
      <c r="D18" t="str">
        <f>IFERROR(VLOOKUP(B18,RECEITAS!A:C,$D$7,FALSE),"")</f>
        <v>DIRETO</v>
      </c>
      <c r="E18" s="1">
        <f>IFERROR(E17+(VLOOKUP($D18,PROCESSO!$B:$P,AP_CRONO_qua!E$8,FALSE)/24),"")</f>
        <v>0.23750000000000007</v>
      </c>
      <c r="F18" s="1">
        <f>Crono_Qua!E16</f>
        <v>0.3215277777777778</v>
      </c>
      <c r="G18" s="1">
        <f>IFERROR(IF(F18=0,"",VLOOKUP($D18,PROCESSO!$B:$P,G$8,FALSE)/24)*IFERROR(IF(#REF!&gt;$B$8,ROUNDUP(#REF!/$B$8,0),1),1)+($A$8/24)+F18,"")</f>
        <v>0.3354166666666667</v>
      </c>
      <c r="H18" s="1">
        <f t="shared" si="0"/>
        <v>0.3354166666666667</v>
      </c>
      <c r="I18" s="1">
        <f>IFERROR(IF(H18=0,"",VLOOKUP($D18,PROCESSO!$B:$P,H$8,FALSE)/24)+($A$8/24)+H18,"")</f>
        <v>0.33888888888888891</v>
      </c>
      <c r="J18" s="1">
        <f>IFERROR(IF(I18=0,"",VLOOKUP($D18,PROCESSO!$B:$P,I$8,FALSE)/24)+($A$8/24)+I18,"")</f>
        <v>0.34722222222222227</v>
      </c>
      <c r="K18" s="1">
        <f>IFERROR(IF(J18=0,"",VLOOKUP($D18,PROCESSO!$B:$P,J$8,FALSE)/24)+($A$8/24)+J18,"")</f>
        <v>0.35555555555555562</v>
      </c>
      <c r="L18" s="1">
        <f>IFERROR(IF(K18=0,"",VLOOKUP($D18,PROCESSO!$B:$P,K$8,FALSE)/24)+($A$8/24)+K18,"")</f>
        <v>0.35902777777777783</v>
      </c>
      <c r="M18" s="1">
        <f>IFERROR(IF(L18=0,"",VLOOKUP($D18,PROCESSO!$B:$P,L$8,FALSE)/24)+($A$8/24)+L18,"")</f>
        <v>0.38680555555555562</v>
      </c>
      <c r="N18" s="1">
        <f>IFERROR(IF(M18=0,"",VLOOKUP($D18,PROCESSO!$B:$P,M$8,FALSE)/24)+($A$8/24)+M18,"")</f>
        <v>0.45277777777777783</v>
      </c>
      <c r="O18" s="1">
        <f>IFERROR(IF(N18=0,"",VLOOKUP($D18,PROCESSO!$B:$P,N$8,FALSE)/24)+($A$8/24)+N18,"")</f>
        <v>0.47708333333333341</v>
      </c>
      <c r="P18" s="1">
        <f>IFERROR(IF(O18=0,"",VLOOKUP($D18,PROCESSO!$B:$P,O$8,FALSE)/24)+($A$8/24)+O18,"")</f>
        <v>0.54305555555555562</v>
      </c>
      <c r="Q18" s="1">
        <f>IFERROR(IF(P18=0,"",VLOOKUP($D18,PROCESSO!$B:$P,P$8,FALSE)/24)+($A$8/24)+P18,"")</f>
        <v>0.57569444444444451</v>
      </c>
      <c r="R18" s="1">
        <f>IFERROR(IF(Q18=0,"",VLOOKUP($D18,PROCESSO!$B:$P,Q$8,FALSE)/24)+($A$8/24)+Q18,"")</f>
        <v>0.62083333333333335</v>
      </c>
      <c r="S18" s="45">
        <f>IFERROR(IFERROR(VLOOKUP(D18,PROCESSO!B:P,15,FALSE),"")/SUMIFS(C:C,A:A,A18),"")</f>
        <v>1.1117202865742999</v>
      </c>
      <c r="T18" s="45">
        <f t="shared" si="1"/>
        <v>1.8676900814448241</v>
      </c>
      <c r="U18" s="45">
        <f>IFERROR(VLOOKUP(B18,RECEITAS!A:C,3,FALSE),"")</f>
        <v>4.2629144274493598</v>
      </c>
      <c r="V18" s="45">
        <f>IFERROR((U18+S18)*(1-ANALISE!$I$4),"")</f>
        <v>5.3746347140236601</v>
      </c>
      <c r="W18" s="45">
        <f t="shared" si="2"/>
        <v>9.0293863195597499</v>
      </c>
    </row>
    <row r="19" spans="1:23" x14ac:dyDescent="0.3">
      <c r="A19">
        <f>Crono_Qua!A17</f>
        <v>4</v>
      </c>
      <c r="B19" t="str">
        <f>Crono_Qua!B17</f>
        <v>VEGANO TRAD.</v>
      </c>
      <c r="C19" s="17">
        <f>Crono_Qua!C17</f>
        <v>0.96</v>
      </c>
      <c r="D19" t="str">
        <f>IFERROR(VLOOKUP(B19,RECEITAS!A:C,$D$7,FALSE),"")</f>
        <v>DIRETO</v>
      </c>
      <c r="E19" s="1">
        <f>IFERROR(E18+(VLOOKUP($D19,PROCESSO!$B:$P,AP_CRONO_qua!E$8,FALSE)/24),"")</f>
        <v>0.24305555555555564</v>
      </c>
      <c r="F19" s="1">
        <f>Crono_Qua!E17</f>
        <v>0.3215277777777778</v>
      </c>
      <c r="G19" s="1">
        <f>IFERROR(IF(F19=0,"",VLOOKUP($D19,PROCESSO!$B:$P,G$8,FALSE)/24)*IFERROR(IF(#REF!&gt;$B$8,ROUNDUP(#REF!/$B$8,0),1),1)+($A$8/24)+F19,"")</f>
        <v>0.3354166666666667</v>
      </c>
      <c r="H19" s="1">
        <f t="shared" ref="H19:H26" si="3">G19</f>
        <v>0.3354166666666667</v>
      </c>
      <c r="I19" s="1">
        <f>IFERROR(IF(H19=0,"",VLOOKUP($D19,PROCESSO!$B:$P,H$8,FALSE)/24)+($A$8/24)+H19,"")</f>
        <v>0.33888888888888891</v>
      </c>
      <c r="J19" s="1">
        <f>IFERROR(IF(I19=0,"",VLOOKUP($D19,PROCESSO!$B:$P,I$8,FALSE)/24)+($A$8/24)+I19,"")</f>
        <v>0.34722222222222227</v>
      </c>
      <c r="K19" s="1">
        <f>IFERROR(IF(J19=0,"",VLOOKUP($D19,PROCESSO!$B:$P,J$8,FALSE)/24)+($A$8/24)+J19,"")</f>
        <v>0.35555555555555562</v>
      </c>
      <c r="L19" s="1">
        <f>IFERROR(IF(K19=0,"",VLOOKUP($D19,PROCESSO!$B:$P,K$8,FALSE)/24)+($A$8/24)+K19,"")</f>
        <v>0.35902777777777783</v>
      </c>
      <c r="M19" s="1">
        <f>IFERROR(IF(L19=0,"",VLOOKUP($D19,PROCESSO!$B:$P,L$8,FALSE)/24)+($A$8/24)+L19,"")</f>
        <v>0.38680555555555562</v>
      </c>
      <c r="N19" s="1">
        <f>IFERROR(IF(M19=0,"",VLOOKUP($D19,PROCESSO!$B:$P,M$8,FALSE)/24)+($A$8/24)+M19,"")</f>
        <v>0.45277777777777783</v>
      </c>
      <c r="O19" s="1">
        <f>IFERROR(IF(N19=0,"",VLOOKUP($D19,PROCESSO!$B:$P,N$8,FALSE)/24)+($A$8/24)+N19,"")</f>
        <v>0.47708333333333341</v>
      </c>
      <c r="P19" s="1">
        <f>IFERROR(IF(O19=0,"",VLOOKUP($D19,PROCESSO!$B:$P,O$8,FALSE)/24)+($A$8/24)+O19,"")</f>
        <v>0.54305555555555562</v>
      </c>
      <c r="Q19" s="1">
        <f>IFERROR(IF(P19=0,"",VLOOKUP($D19,PROCESSO!$B:$P,P$8,FALSE)/24)+($A$8/24)+P19,"")</f>
        <v>0.57569444444444451</v>
      </c>
      <c r="R19" s="1">
        <f>IFERROR(IF(Q19=0,"",VLOOKUP($D19,PROCESSO!$B:$P,Q$8,FALSE)/24)+($A$8/24)+Q19,"")</f>
        <v>0.62083333333333335</v>
      </c>
      <c r="S19" s="45">
        <f>IFERROR(IFERROR(VLOOKUP(D19,PROCESSO!B:P,15,FALSE),"")/SUMIFS(C:C,A:A,A19),"")</f>
        <v>1.1117202865742999</v>
      </c>
      <c r="T19" s="45">
        <f t="shared" si="1"/>
        <v>1.0672514751113278</v>
      </c>
      <c r="U19" s="45">
        <f>IFERROR(VLOOKUP(B19,RECEITAS!A:C,3,FALSE),"")</f>
        <v>1.4304241248567149</v>
      </c>
      <c r="V19" s="45">
        <f>IFERROR((U19+S19)*(1-ANALISE!$I$4),"")</f>
        <v>2.542144411431015</v>
      </c>
      <c r="W19" s="45">
        <f t="shared" si="2"/>
        <v>2.4404586349737745</v>
      </c>
    </row>
    <row r="20" spans="1:23" x14ac:dyDescent="0.3">
      <c r="A20">
        <f>Crono_Qua!A18</f>
        <v>5</v>
      </c>
      <c r="B20" t="str">
        <f>Crono_Qua!B18</f>
        <v>CASEIRINHO</v>
      </c>
      <c r="C20" s="17">
        <f>Crono_Qua!C18</f>
        <v>32.400000000000006</v>
      </c>
      <c r="D20" t="str">
        <f>IFERROR(VLOOKUP(B20,RECEITAS!A:C,$D$7,FALSE),"")</f>
        <v>DIRETO</v>
      </c>
      <c r="E20" s="1">
        <f>IFERROR(E19+(VLOOKUP($D20,PROCESSO!$B:$P,AP_CRONO_qua!E$8,FALSE)/24),"")</f>
        <v>0.2486111111111112</v>
      </c>
      <c r="F20" s="1">
        <f>Crono_Qua!E18</f>
        <v>0.37152777777777773</v>
      </c>
      <c r="G20" s="1">
        <f>IFERROR(IF(F20=0,"",VLOOKUP($D20,PROCESSO!$B:$P,G$8,FALSE)/24)*IFERROR(IF(#REF!&gt;$B$8,ROUNDUP(#REF!/$B$8,0),1),1)+($A$8/24)+F20,"")</f>
        <v>0.38541666666666663</v>
      </c>
      <c r="H20" s="1">
        <f t="shared" si="3"/>
        <v>0.38541666666666663</v>
      </c>
      <c r="I20" s="1">
        <f>IFERROR(IF(H20=0,"",VLOOKUP($D20,PROCESSO!$B:$P,H$8,FALSE)/24)+($A$8/24)+H20,"")</f>
        <v>0.38888888888888884</v>
      </c>
      <c r="J20" s="1">
        <f>IFERROR(IF(I20=0,"",VLOOKUP($D20,PROCESSO!$B:$P,I$8,FALSE)/24)+($A$8/24)+I20,"")</f>
        <v>0.3972222222222222</v>
      </c>
      <c r="K20" s="1">
        <f>IFERROR(IF(J20=0,"",VLOOKUP($D20,PROCESSO!$B:$P,J$8,FALSE)/24)+($A$8/24)+J20,"")</f>
        <v>0.40555555555555556</v>
      </c>
      <c r="L20" s="1">
        <f>IFERROR(IF(K20=0,"",VLOOKUP($D20,PROCESSO!$B:$P,K$8,FALSE)/24)+($A$8/24)+K20,"")</f>
        <v>0.40902777777777777</v>
      </c>
      <c r="M20" s="1">
        <f>IFERROR(IF(L20=0,"",VLOOKUP($D20,PROCESSO!$B:$P,L$8,FALSE)/24)+($A$8/24)+L20,"")</f>
        <v>0.43680555555555556</v>
      </c>
      <c r="N20" s="1">
        <f>IFERROR(IF(M20=0,"",VLOOKUP($D20,PROCESSO!$B:$P,M$8,FALSE)/24)+($A$8/24)+M20,"")</f>
        <v>0.50277777777777777</v>
      </c>
      <c r="O20" s="1">
        <f>IFERROR(IF(N20=0,"",VLOOKUP($D20,PROCESSO!$B:$P,N$8,FALSE)/24)+($A$8/24)+N20,"")</f>
        <v>0.52708333333333335</v>
      </c>
      <c r="P20" s="1">
        <f>IFERROR(IF(O20=0,"",VLOOKUP($D20,PROCESSO!$B:$P,O$8,FALSE)/24)+($A$8/24)+O20,"")</f>
        <v>0.59305555555555556</v>
      </c>
      <c r="Q20" s="1">
        <f>IFERROR(IF(P20=0,"",VLOOKUP($D20,PROCESSO!$B:$P,P$8,FALSE)/24)+($A$8/24)+P20,"")</f>
        <v>0.62569444444444444</v>
      </c>
      <c r="R20" s="1">
        <f>IFERROR(IF(Q20=0,"",VLOOKUP($D20,PROCESSO!$B:$P,Q$8,FALSE)/24)+($A$8/24)+Q20,"")</f>
        <v>0.67083333333333328</v>
      </c>
      <c r="S20" s="45">
        <f>IFERROR(IFERROR(VLOOKUP(D20,PROCESSO!B:P,15,FALSE),"")/SUMIFS(C:C,A:A,A20),"")</f>
        <v>1.4328839249179863</v>
      </c>
      <c r="T20" s="45">
        <f t="shared" si="1"/>
        <v>46.425439167342766</v>
      </c>
      <c r="U20" s="45">
        <f>IFERROR(VLOOKUP(B20,RECEITAS!A:C,3,FALSE),"")</f>
        <v>2.38</v>
      </c>
      <c r="V20" s="45">
        <f>IFERROR((U20+S20)*(1-ANALISE!$I$4),"")</f>
        <v>3.812883924917986</v>
      </c>
      <c r="W20" s="45">
        <f t="shared" si="2"/>
        <v>123.53743916734277</v>
      </c>
    </row>
    <row r="21" spans="1:23" x14ac:dyDescent="0.3">
      <c r="A21">
        <f>Crono_Qua!A19</f>
        <v>6</v>
      </c>
      <c r="B21" t="str">
        <f>Crono_Qua!B19</f>
        <v>BRIOCHE MARGARINA</v>
      </c>
      <c r="C21" s="17">
        <f>Crono_Qua!C19</f>
        <v>2.7600000000000002</v>
      </c>
      <c r="D21" t="str">
        <f>IFERROR(VLOOKUP(B21,RECEITAS!A:C,$D$7,FALSE),"")</f>
        <v>DIRETO</v>
      </c>
      <c r="E21" s="1">
        <f>IFERROR(E20+(VLOOKUP($D21,PROCESSO!$B:$P,AP_CRONO_qua!E$8,FALSE)/24),"")</f>
        <v>0.25416666666666676</v>
      </c>
      <c r="F21" s="1">
        <f>Crono_Qua!E19</f>
        <v>0.4201388888888889</v>
      </c>
      <c r="G21" s="1">
        <f>IFERROR(IF(F21=0,"",VLOOKUP($D21,PROCESSO!$B:$P,G$8,FALSE)/24)*IFERROR(IF(#REF!&gt;$B$8,ROUNDUP(#REF!/$B$8,0),1),1)+($A$8/24)+F21,"")</f>
        <v>0.43402777777777779</v>
      </c>
      <c r="H21" s="1">
        <f t="shared" si="3"/>
        <v>0.43402777777777779</v>
      </c>
      <c r="I21" s="1">
        <f>IFERROR(IF(H21=0,"",VLOOKUP($D21,PROCESSO!$B:$P,H$8,FALSE)/24)+($A$8/24)+H21,"")</f>
        <v>0.4375</v>
      </c>
      <c r="J21" s="1">
        <f>IFERROR(IF(I21=0,"",VLOOKUP($D21,PROCESSO!$B:$P,I$8,FALSE)/24)+($A$8/24)+I21,"")</f>
        <v>0.44583333333333336</v>
      </c>
      <c r="K21" s="1">
        <f>IFERROR(IF(J21=0,"",VLOOKUP($D21,PROCESSO!$B:$P,J$8,FALSE)/24)+($A$8/24)+J21,"")</f>
        <v>0.45416666666666672</v>
      </c>
      <c r="L21" s="1">
        <f>IFERROR(IF(K21=0,"",VLOOKUP($D21,PROCESSO!$B:$P,K$8,FALSE)/24)+($A$8/24)+K21,"")</f>
        <v>0.45763888888888893</v>
      </c>
      <c r="M21" s="1">
        <f>IFERROR(IF(L21=0,"",VLOOKUP($D21,PROCESSO!$B:$P,L$8,FALSE)/24)+($A$8/24)+L21,"")</f>
        <v>0.48541666666666672</v>
      </c>
      <c r="N21" s="1">
        <f>IFERROR(IF(M21=0,"",VLOOKUP($D21,PROCESSO!$B:$P,M$8,FALSE)/24)+($A$8/24)+M21,"")</f>
        <v>0.55138888888888893</v>
      </c>
      <c r="O21" s="1">
        <f>IFERROR(IF(N21=0,"",VLOOKUP($D21,PROCESSO!$B:$P,N$8,FALSE)/24)+($A$8/24)+N21,"")</f>
        <v>0.57569444444444451</v>
      </c>
      <c r="P21" s="1">
        <f>IFERROR(IF(O21=0,"",VLOOKUP($D21,PROCESSO!$B:$P,O$8,FALSE)/24)+($A$8/24)+O21,"")</f>
        <v>0.64166666666666672</v>
      </c>
      <c r="Q21" s="1">
        <f>IFERROR(IF(P21=0,"",VLOOKUP($D21,PROCESSO!$B:$P,P$8,FALSE)/24)+($A$8/24)+P21,"")</f>
        <v>0.6743055555555556</v>
      </c>
      <c r="R21" s="1">
        <f>IFERROR(IF(Q21=0,"",VLOOKUP($D21,PROCESSO!$B:$P,Q$8,FALSE)/24)+($A$8/24)+Q21,"")</f>
        <v>0.71944444444444444</v>
      </c>
      <c r="S21" s="45">
        <f>IFERROR(IFERROR(VLOOKUP(D21,PROCESSO!B:P,15,FALSE),"")/SUMIFS(C:C,A:A,A21),"")</f>
        <v>16.820811292515494</v>
      </c>
      <c r="T21" s="45">
        <f t="shared" si="1"/>
        <v>46.425439167342766</v>
      </c>
      <c r="U21" s="45">
        <f>IFERROR(VLOOKUP(B21,RECEITAS!A:C,3,FALSE),"")</f>
        <v>2.8395295247239574</v>
      </c>
      <c r="V21" s="45">
        <f>IFERROR((U21+S21)*(1-ANALISE!$I$4),"")</f>
        <v>19.660340817239451</v>
      </c>
      <c r="W21" s="45">
        <f t="shared" si="2"/>
        <v>54.262540655580892</v>
      </c>
    </row>
    <row r="22" spans="1:23" x14ac:dyDescent="0.3">
      <c r="A22">
        <f>Crono_Qua!A20</f>
        <v>6</v>
      </c>
      <c r="B22" t="str">
        <f>Crono_Qua!B20</f>
        <v>BRIOCHE MARGARINA 50% AÇUCAR</v>
      </c>
      <c r="C22" s="17">
        <f>Crono_Qua!C20</f>
        <v>0</v>
      </c>
      <c r="D22" t="str">
        <f>IFERROR(VLOOKUP(B22,RECEITAS!A:C,$D$7,FALSE),"")</f>
        <v>DIRETO</v>
      </c>
      <c r="E22" s="1">
        <f>IFERROR(E21+(VLOOKUP($D22,PROCESSO!$B:$P,AP_CRONO_qua!E$8,FALSE)/24),"")</f>
        <v>0.2597222222222223</v>
      </c>
      <c r="F22" s="1">
        <f>Crono_Qua!E20</f>
        <v>0.4201388888888889</v>
      </c>
      <c r="G22" s="1">
        <f>IFERROR(IF(F22=0,"",VLOOKUP($D22,PROCESSO!$B:$P,G$8,FALSE)/24)*IFERROR(IF(#REF!&gt;$B$8,ROUNDUP(#REF!/$B$8,0),1),1)+($A$8/24)+F22,"")</f>
        <v>0.43402777777777779</v>
      </c>
      <c r="H22" s="1">
        <f t="shared" si="3"/>
        <v>0.43402777777777779</v>
      </c>
      <c r="I22" s="1">
        <f>IFERROR(IF(H22=0,"",VLOOKUP($D22,PROCESSO!$B:$P,H$8,FALSE)/24)+($A$8/24)+H22,"")</f>
        <v>0.4375</v>
      </c>
      <c r="J22" s="1">
        <f>IFERROR(IF(I22=0,"",VLOOKUP($D22,PROCESSO!$B:$P,I$8,FALSE)/24)+($A$8/24)+I22,"")</f>
        <v>0.44583333333333336</v>
      </c>
      <c r="K22" s="1">
        <f>IFERROR(IF(J22=0,"",VLOOKUP($D22,PROCESSO!$B:$P,J$8,FALSE)/24)+($A$8/24)+J22,"")</f>
        <v>0.45416666666666672</v>
      </c>
      <c r="L22" s="1">
        <f>IFERROR(IF(K22=0,"",VLOOKUP($D22,PROCESSO!$B:$P,K$8,FALSE)/24)+($A$8/24)+K22,"")</f>
        <v>0.45763888888888893</v>
      </c>
      <c r="M22" s="1">
        <f>IFERROR(IF(L22=0,"",VLOOKUP($D22,PROCESSO!$B:$P,L$8,FALSE)/24)+($A$8/24)+L22,"")</f>
        <v>0.48541666666666672</v>
      </c>
      <c r="N22" s="1">
        <f>IFERROR(IF(M22=0,"",VLOOKUP($D22,PROCESSO!$B:$P,M$8,FALSE)/24)+($A$8/24)+M22,"")</f>
        <v>0.55138888888888893</v>
      </c>
      <c r="O22" s="1">
        <f>IFERROR(IF(N22=0,"",VLOOKUP($D22,PROCESSO!$B:$P,N$8,FALSE)/24)+($A$8/24)+N22,"")</f>
        <v>0.57569444444444451</v>
      </c>
      <c r="P22" s="1">
        <f>IFERROR(IF(O22=0,"",VLOOKUP($D22,PROCESSO!$B:$P,O$8,FALSE)/24)+($A$8/24)+O22,"")</f>
        <v>0.64166666666666672</v>
      </c>
      <c r="Q22" s="1">
        <f>IFERROR(IF(P22=0,"",VLOOKUP($D22,PROCESSO!$B:$P,P$8,FALSE)/24)+($A$8/24)+P22,"")</f>
        <v>0.6743055555555556</v>
      </c>
      <c r="R22" s="1">
        <f>IFERROR(IF(Q22=0,"",VLOOKUP($D22,PROCESSO!$B:$P,Q$8,FALSE)/24)+($A$8/24)+Q22,"")</f>
        <v>0.71944444444444444</v>
      </c>
      <c r="S22" s="45">
        <f>IFERROR(IFERROR(VLOOKUP(D22,PROCESSO!B:P,15,FALSE),"")/SUMIFS(C:C,A:A,A22),"")</f>
        <v>16.820811292515494</v>
      </c>
      <c r="T22" s="45">
        <f t="shared" si="1"/>
        <v>0</v>
      </c>
      <c r="U22" s="45">
        <f>IFERROR(VLOOKUP(B22,RECEITAS!A:C,3,FALSE),"")</f>
        <v>2.8814478282576137</v>
      </c>
      <c r="V22" s="45">
        <f>IFERROR((U22+S22)*(1-ANALISE!$I$4),"")</f>
        <v>19.702259120773107</v>
      </c>
      <c r="W22" s="45">
        <f t="shared" si="2"/>
        <v>0</v>
      </c>
    </row>
    <row r="23" spans="1:23" x14ac:dyDescent="0.3">
      <c r="A23">
        <f>Crono_Qua!A21</f>
        <v>0</v>
      </c>
      <c r="B23">
        <f>Crono_Qua!B21</f>
        <v>0</v>
      </c>
      <c r="C23" s="17">
        <f>Crono_Qua!C21</f>
        <v>0</v>
      </c>
      <c r="D23" t="str">
        <f>IFERROR(VLOOKUP(B23,RECEITAS!A:C,$D$7,FALSE),"")</f>
        <v/>
      </c>
      <c r="E23" s="1" t="str">
        <f>IFERROR(E22+(VLOOKUP($D23,PROCESSO!$B:$P,AP_CRONO_qua!E$8,FALSE)/24),"")</f>
        <v/>
      </c>
      <c r="F23" s="1">
        <f>Crono_Qua!E21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24" si="4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24" si="5">IFERROR(V23*C23,"")</f>
        <v/>
      </c>
    </row>
    <row r="24" spans="1:23" x14ac:dyDescent="0.3">
      <c r="A24">
        <f>Crono_Qua!A22</f>
        <v>0</v>
      </c>
      <c r="B24">
        <f>Crono_Qua!B22</f>
        <v>0</v>
      </c>
      <c r="C24" s="17">
        <f>Crono_Qua!C22</f>
        <v>0</v>
      </c>
      <c r="D24" t="str">
        <f>IFERROR(VLOOKUP(B24,RECEITAS!A:C,$D$7,FALSE),"")</f>
        <v/>
      </c>
      <c r="E24" s="1" t="str">
        <f>IFERROR(E23+(VLOOKUP($D24,PROCESSO!$B:$P,AP_CRONO_qua!E$8,FALSE)/24),"")</f>
        <v/>
      </c>
      <c r="F24" s="1">
        <f>Crono_Qua!E22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3">
      <c r="A25">
        <f>Crono_Qua!A23</f>
        <v>0</v>
      </c>
      <c r="B25">
        <f>Crono_Qua!B23</f>
        <v>0</v>
      </c>
      <c r="C25" s="17">
        <f>Crono_Qua!C23</f>
        <v>0</v>
      </c>
      <c r="D25" t="str">
        <f>IFERROR(VLOOKUP(B25,RECEITAS!A:C,$D$7,FALSE),"")</f>
        <v/>
      </c>
      <c r="E25" s="1" t="str">
        <f>IFERROR(E24+(VLOOKUP($D25,PROCESSO!$B:$P,AP_CRONO_qua!E$8,FALSE)/24),"")</f>
        <v/>
      </c>
      <c r="F25" s="1">
        <f>Crono_Qua!E23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8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8" si="7">IFERROR(V25*C25,"")</f>
        <v/>
      </c>
    </row>
    <row r="26" spans="1:23" x14ac:dyDescent="0.3">
      <c r="A26">
        <f>Crono_Qua!A24</f>
        <v>0</v>
      </c>
      <c r="B26">
        <f>Crono_Qua!B24</f>
        <v>0</v>
      </c>
      <c r="C26" s="17">
        <f>Crono_Qua!C24</f>
        <v>0</v>
      </c>
      <c r="D26" t="str">
        <f>IFERROR(VLOOKUP(B26,RECEITAS!A:C,$D$7,FALSE),"")</f>
        <v/>
      </c>
      <c r="E26" s="1" t="str">
        <f>IFERROR(E25+(VLOOKUP($D26,PROCESSO!$B:$P,AP_CRONO_qua!E$8,FALSE)/24),"")</f>
        <v/>
      </c>
      <c r="F26" s="1">
        <f>Crono_Qua!E24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3">
      <c r="A27">
        <f>Crono_Qua!A25</f>
        <v>0</v>
      </c>
      <c r="B27">
        <f>Crono_Qua!B25</f>
        <v>0</v>
      </c>
      <c r="C27" s="17">
        <f>Crono_Qua!C25</f>
        <v>0</v>
      </c>
      <c r="D27" t="str">
        <f>IFERROR(VLOOKUP(B27,RECEITAS!A:C,$D$7,FALSE),"")</f>
        <v/>
      </c>
      <c r="E27" s="1" t="str">
        <f>IFERROR(E26+(VLOOKUP($D27,PROCESSO!$B:$P,AP_CRONO_qua!E$8,FALSE)/24),"")</f>
        <v/>
      </c>
      <c r="F27" s="1">
        <f>Crono_Qua!E25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ref="H27:H30" si="8">G27</f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6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7"/>
        <v/>
      </c>
    </row>
    <row r="28" spans="1:23" x14ac:dyDescent="0.3">
      <c r="A28">
        <f>Crono_Qua!A26</f>
        <v>0</v>
      </c>
      <c r="B28">
        <f>Crono_Qua!B26</f>
        <v>0</v>
      </c>
      <c r="C28" s="17">
        <f>Crono_Qua!C26</f>
        <v>0</v>
      </c>
      <c r="D28" t="str">
        <f>IFERROR(VLOOKUP(B28,RECEITAS!A:C,$D$7,FALSE),"")</f>
        <v/>
      </c>
      <c r="E28" s="1" t="str">
        <f>IFERROR(E27+(VLOOKUP($D28,PROCESSO!$B:$P,AP_CRONO_qua!E$8,FALSE)/24),"")</f>
        <v/>
      </c>
      <c r="F28" s="1">
        <f>Crono_Qua!E26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8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6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7"/>
        <v/>
      </c>
    </row>
    <row r="29" spans="1:23" x14ac:dyDescent="0.3">
      <c r="B29">
        <f>Crono_Qua!B27</f>
        <v>0</v>
      </c>
      <c r="D29" t="str">
        <f>IFERROR(VLOOKUP(B29,RECEITAS!A:C,$D$7,FALSE),"")</f>
        <v/>
      </c>
      <c r="E29" s="1" t="str">
        <f>IFERROR(E28+(VLOOKUP($D29,PROCESSO!$B:$P,AP_CRONO_qua!E$8,FALSE)/24),"")</f>
        <v/>
      </c>
      <c r="F29" s="1">
        <f>Crono_Qua!E27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8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Crono_Qua!B28</f>
        <v>0</v>
      </c>
      <c r="D30" t="str">
        <f>IFERROR(VLOOKUP(B30,RECEITAS!A:C,$D$7,FALSE),"")</f>
        <v/>
      </c>
      <c r="E30" s="1" t="str">
        <f>IFERROR(E29+(VLOOKUP($D30,PROCESSO!$B:$P,AP_CRONO_qua!E$8,FALSE)/24),"")</f>
        <v/>
      </c>
      <c r="F30" s="1">
        <f>Crono_Qua!E28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8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  <row r="31" spans="1:23" x14ac:dyDescent="0.3">
      <c r="B31" t="e">
        <f>Crono_Qua!#REF!</f>
        <v>#REF!</v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3FE5-66CF-443C-A93D-8623DF46BC15}">
  <sheetPr codeName="Planilha13"/>
  <dimension ref="A2:W33"/>
  <sheetViews>
    <sheetView zoomScale="115" zoomScaleNormal="11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E12" sqref="E12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x14ac:dyDescent="0.3">
      <c r="V2" s="1"/>
    </row>
    <row r="7" spans="1:23" x14ac:dyDescent="0.3">
      <c r="A7" t="s">
        <v>69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46">
        <v>0.59412037037037035</v>
      </c>
    </row>
    <row r="9" spans="1:23" s="22" customFormat="1" ht="28.2" customHeight="1" x14ac:dyDescent="0.3">
      <c r="A9" s="22" t="s">
        <v>68</v>
      </c>
      <c r="B9" s="22" t="s">
        <v>19</v>
      </c>
      <c r="E9" s="23" t="s">
        <v>1</v>
      </c>
      <c r="F9" s="34" t="s">
        <v>78</v>
      </c>
      <c r="G9" s="34" t="s">
        <v>79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80</v>
      </c>
      <c r="R9" s="23" t="s">
        <v>81</v>
      </c>
      <c r="S9" s="22" t="s">
        <v>100</v>
      </c>
      <c r="T9" s="22" t="s">
        <v>101</v>
      </c>
      <c r="U9" s="22" t="s">
        <v>102</v>
      </c>
      <c r="V9" s="22" t="s">
        <v>103</v>
      </c>
      <c r="W9" s="22" t="s">
        <v>104</v>
      </c>
    </row>
    <row r="10" spans="1:23" x14ac:dyDescent="0.3">
      <c r="A10">
        <f>Crono_Qui!A8</f>
        <v>1</v>
      </c>
      <c r="B10" t="str">
        <f>Crono_Qui!B8</f>
        <v>AMANTEIGADO</v>
      </c>
      <c r="C10" s="17">
        <f>Crono_Qui!C8</f>
        <v>13.100000000000001</v>
      </c>
      <c r="D10" t="str">
        <f>IFERROR(VLOOKUP(B10,RECEITAS!A:C,$D$7,FALSE),"")</f>
        <v>DIRETO</v>
      </c>
      <c r="E10" s="1">
        <f>IFERROR(D8+(VLOOKUP($D10,PROCESSO!$B:$P,AP_CRONO_Qui!E$8,FALSE)/24),"")</f>
        <v>0.19305555555555556</v>
      </c>
      <c r="F10" s="1">
        <f>Crono_Qui!E8</f>
        <v>0.21180555555555555</v>
      </c>
      <c r="G10" s="1">
        <f>IFERROR(IF(F10=0,"",VLOOKUP($D10,PROCESSO!$B:$P,G$8,FALSE)/24)*IFERROR(IF(#REF!&gt;$B$8,ROUNDUP(#REF!/$B$8,0),1),1)+($A$8/24)+F10,"")</f>
        <v>0.22569444444444445</v>
      </c>
      <c r="H10" s="1">
        <f>G10</f>
        <v>0.22569444444444445</v>
      </c>
      <c r="I10" s="1">
        <f>IFERROR(IF(H10=0,"",VLOOKUP($D10,PROCESSO!$B:$P,H$8,FALSE)/24)+($A$8/24)+H10,"")</f>
        <v>0.22916666666666666</v>
      </c>
      <c r="J10" s="1">
        <f>IFERROR(IF(I10=0,"",VLOOKUP($D10,PROCESSO!$B:$P,I$8,FALSE)/24)+($A$8/24)+I10,"")</f>
        <v>0.23749999999999999</v>
      </c>
      <c r="K10" s="1">
        <f>IFERROR(IF(J10=0,"",VLOOKUP($D10,PROCESSO!$B:$P,J$8,FALSE)/24)+($A$8/24)+J10,"")</f>
        <v>0.24583333333333332</v>
      </c>
      <c r="L10" s="1">
        <f>IFERROR(IF(K10=0,"",VLOOKUP($D10,PROCESSO!$B:$P,K$8,FALSE)/24)+($A$8/24)+K10,"")</f>
        <v>0.24930555555555553</v>
      </c>
      <c r="M10" s="1">
        <f>IFERROR(IF(L10=0,"",VLOOKUP($D10,PROCESSO!$B:$P,L$8,FALSE)/24)+($A$8/24)+L10,"")</f>
        <v>0.27708333333333329</v>
      </c>
      <c r="N10" s="1">
        <f>IFERROR(IF(M10=0,"",VLOOKUP($D10,PROCESSO!$B:$P,M$8,FALSE)/24)+($A$8/24)+M10,"")</f>
        <v>0.3430555555555555</v>
      </c>
      <c r="O10" s="1">
        <f>IFERROR(IF(N10=0,"",VLOOKUP($D10,PROCESSO!$B:$P,N$8,FALSE)/24)+($A$8/24)+N10,"")</f>
        <v>0.36736111111111103</v>
      </c>
      <c r="P10" s="1">
        <f>IFERROR(IF(O10=0,"",VLOOKUP($D10,PROCESSO!$B:$P,O$8,FALSE)/24)+($A$8/24)+O10,"")</f>
        <v>0.43333333333333324</v>
      </c>
      <c r="Q10" s="1">
        <f>IFERROR(IF(P10=0,"",VLOOKUP($D10,PROCESSO!$B:$P,P$8,FALSE)/24)+($A$8/24)+P10,"")</f>
        <v>0.46597222222222212</v>
      </c>
      <c r="R10" s="1">
        <f>IFERROR(IF(Q10=0,"",VLOOKUP($D10,PROCESSO!$B:$P,Q$8,FALSE)/24)+($A$8/24)+Q10,"")</f>
        <v>0.51111111111111096</v>
      </c>
      <c r="S10" s="45">
        <f>IFERROR(IFERROR(VLOOKUP(D10,PROCESSO!B:P,15,FALSE),"")/SUMIFS(C:C,A:A,A10),"")</f>
        <v>1.6639942353886295</v>
      </c>
      <c r="T10" s="45">
        <f>IFERROR(S10*C10,"")</f>
        <v>21.798324483591049</v>
      </c>
      <c r="U10" s="45">
        <f>IFERROR(VLOOKUP(B10,RECEITAS!A:C,3,FALSE),"")</f>
        <v>1.8031880400301454</v>
      </c>
      <c r="V10" s="45">
        <f>IFERROR((U10+S10)*(1-ANALISE!$I$4),"")</f>
        <v>3.4671822754187751</v>
      </c>
      <c r="W10" s="45">
        <f>IFERROR(V10*C10,"")</f>
        <v>45.420087807985958</v>
      </c>
    </row>
    <row r="11" spans="1:23" x14ac:dyDescent="0.3">
      <c r="A11">
        <f>Crono_Qui!A9</f>
        <v>1</v>
      </c>
      <c r="B11" t="str">
        <f>Crono_Qui!B9</f>
        <v>BAG. PRIMAS</v>
      </c>
      <c r="C11" s="17">
        <f>Crono_Qui!C9</f>
        <v>14.8</v>
      </c>
      <c r="D11" t="str">
        <f>IFERROR(VLOOKUP(B11,RECEITAS!A:C,$D$7,FALSE),"")</f>
        <v>RÚSTICO</v>
      </c>
      <c r="E11" s="1">
        <f>IFERROR(E10+(VLOOKUP($D11,PROCESSO!$B:$P,AP_CRONO_Qui!E$8,FALSE)/24),"")</f>
        <v>0.19861111111111113</v>
      </c>
      <c r="F11" s="1">
        <f>Crono_Qui!E9</f>
        <v>0.21875</v>
      </c>
      <c r="G11" s="1">
        <f>IFERROR(IF(F11=0,"",VLOOKUP($D11,PROCESSO!$B:$P,G$8,FALSE)/24)*IFERROR(IF(#REF!&gt;$B$8,ROUNDUP(#REF!/$B$8,0),1),1)+($A$8/24)+F11,"")</f>
        <v>0.2326388888888889</v>
      </c>
      <c r="H11" s="1">
        <f t="shared" ref="H11:H21" si="0">G11</f>
        <v>0.2326388888888889</v>
      </c>
      <c r="I11" s="1">
        <f>IFERROR(IF(H11=0,"",VLOOKUP($D11,PROCESSO!$B:$P,H$8,FALSE)/24)+($A$8/24)+H11,"")</f>
        <v>0.2361111111111111</v>
      </c>
      <c r="J11" s="1">
        <f>IFERROR(IF(I11=0,"",VLOOKUP($D11,PROCESSO!$B:$P,I$8,FALSE)/24)+($A$8/24)+I11,"")</f>
        <v>0.28125</v>
      </c>
      <c r="K11" s="1">
        <f>IFERROR(IF(J11=0,"",VLOOKUP($D11,PROCESSO!$B:$P,J$8,FALSE)/24)+($A$8/24)+J11,"")</f>
        <v>0.30208333333333331</v>
      </c>
      <c r="L11" s="1">
        <f>IFERROR(IF(K11=0,"",VLOOKUP($D11,PROCESSO!$B:$P,K$8,FALSE)/24)+($A$8/24)+K11,"")</f>
        <v>0.33333333333333331</v>
      </c>
      <c r="M11" s="1">
        <f>IFERROR(IF(L11=0,"",VLOOKUP($D11,PROCESSO!$B:$P,L$8,FALSE)/24)+($A$8/24)+L11,"")</f>
        <v>0.35416666666666663</v>
      </c>
      <c r="N11" s="1">
        <f>IFERROR(IF(M11=0,"",VLOOKUP($D11,PROCESSO!$B:$P,M$8,FALSE)/24)+($A$8/24)+M11,"")</f>
        <v>0.39930555555555552</v>
      </c>
      <c r="O11" s="1">
        <f>IFERROR(IF(N11=0,"",VLOOKUP($D11,PROCESSO!$B:$P,N$8,FALSE)/24)+($A$8/24)+N11,"")</f>
        <v>0.43055555555555552</v>
      </c>
      <c r="P11" s="1">
        <f>IFERROR(IF(O11=0,"",VLOOKUP($D11,PROCESSO!$B:$P,O$8,FALSE)/24)+($A$8/24)+O11,"")</f>
        <v>0.49652777777777773</v>
      </c>
      <c r="Q11" s="1">
        <f>IFERROR(IF(P11=0,"",VLOOKUP($D11,PROCESSO!$B:$P,P$8,FALSE)/24)+($A$8/24)+P11,"")</f>
        <v>0.49999999999999994</v>
      </c>
      <c r="R11" s="1">
        <f>IFERROR(IF(Q11=0,"",VLOOKUP($D11,PROCESSO!$B:$P,Q$8,FALSE)/24)+($A$8/24)+Q11,"")</f>
        <v>0.54513888888888884</v>
      </c>
      <c r="S11" s="45">
        <f>IFERROR(IFERROR(VLOOKUP(D11,PROCESSO!B:P,15,FALSE),"")/SUMIFS(C:C,A:A,A11),"")</f>
        <v>1.7707310682163511</v>
      </c>
      <c r="T11" s="45">
        <f t="shared" ref="T11:T21" si="1">IFERROR(S11*C11,"")</f>
        <v>26.206819809601996</v>
      </c>
      <c r="U11" s="45">
        <f>IFERROR(VLOOKUP(B11,RECEITAS!A:C,3,FALSE),"")</f>
        <v>2.206347678369196</v>
      </c>
      <c r="V11" s="45">
        <f>IFERROR((U11+S11)*(1-ANALISE!$I$4),"")</f>
        <v>3.9770787465855468</v>
      </c>
      <c r="W11" s="45">
        <f t="shared" ref="W11:W21" si="2">IFERROR(V11*C11,"")</f>
        <v>58.860765449466093</v>
      </c>
    </row>
    <row r="12" spans="1:23" x14ac:dyDescent="0.3">
      <c r="A12">
        <f>Crono_Qui!A10</f>
        <v>2</v>
      </c>
      <c r="B12" t="str">
        <f>Crono_Qui!B10</f>
        <v>P. AO LEVAIN</v>
      </c>
      <c r="C12" s="17">
        <f>Crono_Qui!C10</f>
        <v>8.5499999999999989</v>
      </c>
      <c r="D12" t="str">
        <f>IFERROR(VLOOKUP(B12,RECEITAS!A:C,$D$7,FALSE),"")</f>
        <v>RÚSTICO</v>
      </c>
      <c r="E12" s="1">
        <f>IFERROR(E11+(VLOOKUP($D12,PROCESSO!$B:$P,AP_CRONO_Qui!E$8,FALSE)/24),"")</f>
        <v>0.20416666666666669</v>
      </c>
      <c r="F12" s="1">
        <f>Crono_Qui!E10</f>
        <v>0.25694444444444448</v>
      </c>
      <c r="G12" s="1">
        <f>IFERROR(IF(F12=0,"",VLOOKUP($D12,PROCESSO!$B:$P,G$8,FALSE)/24)*IFERROR(IF(#REF!&gt;$B$8,ROUNDUP(#REF!/$B$8,0),1),1)+($A$8/24)+F12,"")</f>
        <v>0.27083333333333337</v>
      </c>
      <c r="H12" s="1">
        <f t="shared" si="0"/>
        <v>0.27083333333333337</v>
      </c>
      <c r="I12" s="1">
        <f>IFERROR(IF(H12=0,"",VLOOKUP($D12,PROCESSO!$B:$P,H$8,FALSE)/24)+($A$8/24)+H12,"")</f>
        <v>0.27430555555555558</v>
      </c>
      <c r="J12" s="1">
        <f>IFERROR(IF(I12=0,"",VLOOKUP($D12,PROCESSO!$B:$P,I$8,FALSE)/24)+($A$8/24)+I12,"")</f>
        <v>0.31944444444444448</v>
      </c>
      <c r="K12" s="1">
        <f>IFERROR(IF(J12=0,"",VLOOKUP($D12,PROCESSO!$B:$P,J$8,FALSE)/24)+($A$8/24)+J12,"")</f>
        <v>0.34027777777777779</v>
      </c>
      <c r="L12" s="1">
        <f>IFERROR(IF(K12=0,"",VLOOKUP($D12,PROCESSO!$B:$P,K$8,FALSE)/24)+($A$8/24)+K12,"")</f>
        <v>0.37152777777777779</v>
      </c>
      <c r="M12" s="1">
        <f>IFERROR(IF(L12=0,"",VLOOKUP($D12,PROCESSO!$B:$P,L$8,FALSE)/24)+($A$8/24)+L12,"")</f>
        <v>0.3923611111111111</v>
      </c>
      <c r="N12" s="1">
        <f>IFERROR(IF(M12=0,"",VLOOKUP($D12,PROCESSO!$B:$P,M$8,FALSE)/24)+($A$8/24)+M12,"")</f>
        <v>0.4375</v>
      </c>
      <c r="O12" s="1">
        <f>IFERROR(IF(N12=0,"",VLOOKUP($D12,PROCESSO!$B:$P,N$8,FALSE)/24)+($A$8/24)+N12,"")</f>
        <v>0.46875</v>
      </c>
      <c r="P12" s="1">
        <f>IFERROR(IF(O12=0,"",VLOOKUP($D12,PROCESSO!$B:$P,O$8,FALSE)/24)+($A$8/24)+O12,"")</f>
        <v>0.53472222222222221</v>
      </c>
      <c r="Q12" s="1">
        <f>IFERROR(IF(P12=0,"",VLOOKUP($D12,PROCESSO!$B:$P,P$8,FALSE)/24)+($A$8/24)+P12,"")</f>
        <v>0.53819444444444442</v>
      </c>
      <c r="R12" s="1">
        <f>IFERROR(IF(Q12=0,"",VLOOKUP($D12,PROCESSO!$B:$P,Q$8,FALSE)/24)+($A$8/24)+Q12,"")</f>
        <v>0.58333333333333326</v>
      </c>
      <c r="S12" s="45">
        <f>IFERROR(IFERROR(VLOOKUP(D12,PROCESSO!B:P,15,FALSE),"")/SUMIFS(C:C,A:A,A12),"")</f>
        <v>1.6440398270627687</v>
      </c>
      <c r="T12" s="45">
        <f t="shared" si="1"/>
        <v>14.056540521386671</v>
      </c>
      <c r="U12" s="45">
        <f>IFERROR(VLOOKUP(B12,RECEITAS!A:C,3,FALSE),"")</f>
        <v>2.3235487959442338</v>
      </c>
      <c r="V12" s="45">
        <f>IFERROR((U12+S12)*(1-ANALISE!$I$4),"")</f>
        <v>3.9675886230070025</v>
      </c>
      <c r="W12" s="45">
        <f t="shared" si="2"/>
        <v>33.922882726709865</v>
      </c>
    </row>
    <row r="13" spans="1:23" x14ac:dyDescent="0.3">
      <c r="A13">
        <f>Crono_Qui!A11</f>
        <v>2</v>
      </c>
      <c r="B13" t="str">
        <f>Crono_Qui!B11</f>
        <v>P. AZEITE RUST.</v>
      </c>
      <c r="C13" s="17">
        <f>Crono_Qui!C11</f>
        <v>21.5</v>
      </c>
      <c r="D13" t="str">
        <f>IFERROR(VLOOKUP(B13,RECEITAS!A:C,$D$7,FALSE),"")</f>
        <v>RÚSTICO</v>
      </c>
      <c r="E13" s="1">
        <f>IFERROR(E12+(VLOOKUP($D13,PROCESSO!$B:$P,AP_CRONO_Qui!E$8,FALSE)/24),"")</f>
        <v>0.20972222222222225</v>
      </c>
      <c r="F13" s="1">
        <f>Crono_Qui!E11</f>
        <v>0.25763888888888892</v>
      </c>
      <c r="G13" s="1">
        <f>IFERROR(IF(F13=0,"",VLOOKUP($D13,PROCESSO!$B:$P,G$8,FALSE)/24)*IFERROR(IF(#REF!&gt;$B$8,ROUNDUP(#REF!/$B$8,0),1),1)+($A$8/24)+F13,"")</f>
        <v>0.27152777777777781</v>
      </c>
      <c r="H13" s="1">
        <f t="shared" si="0"/>
        <v>0.27152777777777781</v>
      </c>
      <c r="I13" s="1">
        <f>IFERROR(IF(H13=0,"",VLOOKUP($D13,PROCESSO!$B:$P,H$8,FALSE)/24)+($A$8/24)+H13,"")</f>
        <v>0.27500000000000002</v>
      </c>
      <c r="J13" s="1">
        <f>IFERROR(IF(I13=0,"",VLOOKUP($D13,PROCESSO!$B:$P,I$8,FALSE)/24)+($A$8/24)+I13,"")</f>
        <v>0.32013888888888892</v>
      </c>
      <c r="K13" s="1">
        <f>IFERROR(IF(J13=0,"",VLOOKUP($D13,PROCESSO!$B:$P,J$8,FALSE)/24)+($A$8/24)+J13,"")</f>
        <v>0.34097222222222223</v>
      </c>
      <c r="L13" s="1">
        <f>IFERROR(IF(K13=0,"",VLOOKUP($D13,PROCESSO!$B:$P,K$8,FALSE)/24)+($A$8/24)+K13,"")</f>
        <v>0.37222222222222223</v>
      </c>
      <c r="M13" s="1">
        <f>IFERROR(IF(L13=0,"",VLOOKUP($D13,PROCESSO!$B:$P,L$8,FALSE)/24)+($A$8/24)+L13,"")</f>
        <v>0.39305555555555555</v>
      </c>
      <c r="N13" s="1">
        <f>IFERROR(IF(M13=0,"",VLOOKUP($D13,PROCESSO!$B:$P,M$8,FALSE)/24)+($A$8/24)+M13,"")</f>
        <v>0.43819444444444444</v>
      </c>
      <c r="O13" s="1">
        <f>IFERROR(IF(N13=0,"",VLOOKUP($D13,PROCESSO!$B:$P,N$8,FALSE)/24)+($A$8/24)+N13,"")</f>
        <v>0.46944444444444444</v>
      </c>
      <c r="P13" s="1">
        <f>IFERROR(IF(O13=0,"",VLOOKUP($D13,PROCESSO!$B:$P,O$8,FALSE)/24)+($A$8/24)+O13,"")</f>
        <v>0.53541666666666665</v>
      </c>
      <c r="Q13" s="1">
        <f>IFERROR(IF(P13=0,"",VLOOKUP($D13,PROCESSO!$B:$P,P$8,FALSE)/24)+($A$8/24)+P13,"")</f>
        <v>0.53888888888888886</v>
      </c>
      <c r="R13" s="1">
        <f>IFERROR(IF(Q13=0,"",VLOOKUP($D13,PROCESSO!$B:$P,Q$8,FALSE)/24)+($A$8/24)+Q13,"")</f>
        <v>0.5840277777777777</v>
      </c>
      <c r="S13" s="45">
        <f>IFERROR(IFERROR(VLOOKUP(D13,PROCESSO!B:P,15,FALSE),"")/SUMIFS(C:C,A:A,A13),"")</f>
        <v>1.6440398270627687</v>
      </c>
      <c r="T13" s="45">
        <f t="shared" si="1"/>
        <v>35.346856281849526</v>
      </c>
      <c r="U13" s="45">
        <f>IFERROR(VLOOKUP(B13,RECEITAS!A:C,3,FALSE),"")</f>
        <v>2.046595017783527</v>
      </c>
      <c r="V13" s="45">
        <f>IFERROR((U13+S13)*(1-ANALISE!$I$4),"")</f>
        <v>3.6906348448462958</v>
      </c>
      <c r="W13" s="45">
        <f t="shared" si="2"/>
        <v>79.348649164195365</v>
      </c>
    </row>
    <row r="14" spans="1:23" x14ac:dyDescent="0.3">
      <c r="A14">
        <f>Crono_Qui!A12</f>
        <v>3</v>
      </c>
      <c r="B14" t="str">
        <f>Crono_Qui!B12</f>
        <v>MALTADO</v>
      </c>
      <c r="C14" s="17">
        <f>Crono_Qui!C12</f>
        <v>0.6</v>
      </c>
      <c r="D14" t="str">
        <f>IFERROR(VLOOKUP(B14,RECEITAS!A:C,$D$7,FALSE),"")</f>
        <v>RÚSTICO</v>
      </c>
      <c r="E14" s="1">
        <f>IFERROR(E13+(VLOOKUP($D14,PROCESSO!$B:$P,AP_CRONO_Qui!E$8,FALSE)/24),"")</f>
        <v>0.21527777777777782</v>
      </c>
      <c r="F14" s="1">
        <f>Crono_Qui!E12</f>
        <v>0.28819444444444448</v>
      </c>
      <c r="G14" s="1">
        <f>IFERROR(IF(F14=0,"",VLOOKUP($D14,PROCESSO!$B:$P,G$8,FALSE)/24)*IFERROR(IF(#REF!&gt;$B$8,ROUNDUP(#REF!/$B$8,0),1),1)+($A$8/24)+F14,"")</f>
        <v>0.30208333333333337</v>
      </c>
      <c r="H14" s="1">
        <f t="shared" si="0"/>
        <v>0.30208333333333337</v>
      </c>
      <c r="I14" s="1">
        <f>IFERROR(IF(H14=0,"",VLOOKUP($D14,PROCESSO!$B:$P,H$8,FALSE)/24)+($A$8/24)+H14,"")</f>
        <v>0.30555555555555558</v>
      </c>
      <c r="J14" s="1">
        <f>IFERROR(IF(I14=0,"",VLOOKUP($D14,PROCESSO!$B:$P,I$8,FALSE)/24)+($A$8/24)+I14,"")</f>
        <v>0.35069444444444448</v>
      </c>
      <c r="K14" s="1">
        <f>IFERROR(IF(J14=0,"",VLOOKUP($D14,PROCESSO!$B:$P,J$8,FALSE)/24)+($A$8/24)+J14,"")</f>
        <v>0.37152777777777779</v>
      </c>
      <c r="L14" s="1">
        <f>IFERROR(IF(K14=0,"",VLOOKUP($D14,PROCESSO!$B:$P,K$8,FALSE)/24)+($A$8/24)+K14,"")</f>
        <v>0.40277777777777779</v>
      </c>
      <c r="M14" s="1">
        <f>IFERROR(IF(L14=0,"",VLOOKUP($D14,PROCESSO!$B:$P,L$8,FALSE)/24)+($A$8/24)+L14,"")</f>
        <v>0.4236111111111111</v>
      </c>
      <c r="N14" s="1">
        <f>IFERROR(IF(M14=0,"",VLOOKUP($D14,PROCESSO!$B:$P,M$8,FALSE)/24)+($A$8/24)+M14,"")</f>
        <v>0.46875</v>
      </c>
      <c r="O14" s="1">
        <f>IFERROR(IF(N14=0,"",VLOOKUP($D14,PROCESSO!$B:$P,N$8,FALSE)/24)+($A$8/24)+N14,"")</f>
        <v>0.5</v>
      </c>
      <c r="P14" s="1">
        <f>IFERROR(IF(O14=0,"",VLOOKUP($D14,PROCESSO!$B:$P,O$8,FALSE)/24)+($A$8/24)+O14,"")</f>
        <v>0.56597222222222221</v>
      </c>
      <c r="Q14" s="1">
        <f>IFERROR(IF(P14=0,"",VLOOKUP($D14,PROCESSO!$B:$P,P$8,FALSE)/24)+($A$8/24)+P14,"")</f>
        <v>0.56944444444444442</v>
      </c>
      <c r="R14" s="1">
        <f>IFERROR(IF(Q14=0,"",VLOOKUP($D14,PROCESSO!$B:$P,Q$8,FALSE)/24)+($A$8/24)+Q14,"")</f>
        <v>0.61458333333333326</v>
      </c>
      <c r="S14" s="45">
        <f>IFERROR(IFERROR(VLOOKUP(D14,PROCESSO!B:P,15,FALSE),"")/SUMIFS(C:C,A:A,A14),"")</f>
        <v>6.9582249018642539</v>
      </c>
      <c r="T14" s="45">
        <f t="shared" si="1"/>
        <v>4.1749349411185523</v>
      </c>
      <c r="U14" s="45">
        <f>IFERROR(VLOOKUP(B14,RECEITAS!A:C,3,FALSE),"")</f>
        <v>2.6739550191991226</v>
      </c>
      <c r="V14" s="45">
        <f>IFERROR((U14+S14)*(1-ANALISE!$I$4),"")</f>
        <v>9.6321799210633756</v>
      </c>
      <c r="W14" s="45">
        <f t="shared" si="2"/>
        <v>5.7793079526380255</v>
      </c>
    </row>
    <row r="15" spans="1:23" x14ac:dyDescent="0.3">
      <c r="A15">
        <f>Crono_Qui!A13</f>
        <v>3</v>
      </c>
      <c r="B15" t="str">
        <f>Crono_Qui!B13</f>
        <v>AMANTEIGADO MALTE DARK</v>
      </c>
      <c r="C15" s="17">
        <f>Crono_Qui!C13</f>
        <v>6.5</v>
      </c>
      <c r="D15" t="str">
        <f>IFERROR(VLOOKUP(B15,RECEITAS!A:C,$D$7,FALSE),"")</f>
        <v>DIRETO</v>
      </c>
      <c r="E15" s="1">
        <f>IFERROR(E14+(VLOOKUP($D15,PROCESSO!$B:$P,AP_CRONO_Qui!E$8,FALSE)/24),"")</f>
        <v>0.22083333333333338</v>
      </c>
      <c r="F15" s="1">
        <f>Crono_Qui!E13</f>
        <v>0.29722222222222222</v>
      </c>
      <c r="G15" s="1">
        <f>IFERROR(IF(F15=0,"",VLOOKUP($D15,PROCESSO!$B:$P,G$8,FALSE)/24)*IFERROR(IF(#REF!&gt;$B$8,ROUNDUP(#REF!/$B$8,0),1),1)+($A$8/24)+F15,"")</f>
        <v>0.31111111111111112</v>
      </c>
      <c r="H15" s="1">
        <f t="shared" si="0"/>
        <v>0.31111111111111112</v>
      </c>
      <c r="I15" s="1">
        <f>IFERROR(IF(H15=0,"",VLOOKUP($D15,PROCESSO!$B:$P,H$8,FALSE)/24)+($A$8/24)+H15,"")</f>
        <v>0.31458333333333333</v>
      </c>
      <c r="J15" s="1">
        <f>IFERROR(IF(I15=0,"",VLOOKUP($D15,PROCESSO!$B:$P,I$8,FALSE)/24)+($A$8/24)+I15,"")</f>
        <v>0.32291666666666669</v>
      </c>
      <c r="K15" s="1">
        <f>IFERROR(IF(J15=0,"",VLOOKUP($D15,PROCESSO!$B:$P,J$8,FALSE)/24)+($A$8/24)+J15,"")</f>
        <v>0.33125000000000004</v>
      </c>
      <c r="L15" s="1">
        <f>IFERROR(IF(K15=0,"",VLOOKUP($D15,PROCESSO!$B:$P,K$8,FALSE)/24)+($A$8/24)+K15,"")</f>
        <v>0.33472222222222225</v>
      </c>
      <c r="M15" s="1">
        <f>IFERROR(IF(L15=0,"",VLOOKUP($D15,PROCESSO!$B:$P,L$8,FALSE)/24)+($A$8/24)+L15,"")</f>
        <v>0.36250000000000004</v>
      </c>
      <c r="N15" s="1">
        <f>IFERROR(IF(M15=0,"",VLOOKUP($D15,PROCESSO!$B:$P,M$8,FALSE)/24)+($A$8/24)+M15,"")</f>
        <v>0.42847222222222225</v>
      </c>
      <c r="O15" s="1">
        <f>IFERROR(IF(N15=0,"",VLOOKUP($D15,PROCESSO!$B:$P,N$8,FALSE)/24)+($A$8/24)+N15,"")</f>
        <v>0.45277777777777783</v>
      </c>
      <c r="P15" s="1">
        <f>IFERROR(IF(O15=0,"",VLOOKUP($D15,PROCESSO!$B:$P,O$8,FALSE)/24)+($A$8/24)+O15,"")</f>
        <v>0.51875000000000004</v>
      </c>
      <c r="Q15" s="1">
        <f>IFERROR(IF(P15=0,"",VLOOKUP($D15,PROCESSO!$B:$P,P$8,FALSE)/24)+($A$8/24)+P15,"")</f>
        <v>0.55138888888888893</v>
      </c>
      <c r="R15" s="1">
        <f>IFERROR(IF(Q15=0,"",VLOOKUP($D15,PROCESSO!$B:$P,Q$8,FALSE)/24)+($A$8/24)+Q15,"")</f>
        <v>0.59652777777777777</v>
      </c>
      <c r="S15" s="45">
        <f>IFERROR(IFERROR(VLOOKUP(D15,PROCESSO!B:P,15,FALSE),"")/SUMIFS(C:C,A:A,A15),"")</f>
        <v>6.5387942489215165</v>
      </c>
      <c r="T15" s="45">
        <f t="shared" si="1"/>
        <v>42.50216261798986</v>
      </c>
      <c r="U15" s="45">
        <f>IFERROR(VLOOKUP(B15,RECEITAS!A:C,3,FALSE),"")</f>
        <v>1.9</v>
      </c>
      <c r="V15" s="45">
        <f>IFERROR((U15+S15)*(1-ANALISE!$I$4),"")</f>
        <v>8.438794248921516</v>
      </c>
      <c r="W15" s="45">
        <f t="shared" si="2"/>
        <v>54.852162617989855</v>
      </c>
    </row>
    <row r="16" spans="1:23" x14ac:dyDescent="0.3">
      <c r="A16">
        <f>Crono_Qui!A14</f>
        <v>4</v>
      </c>
      <c r="B16" t="str">
        <f>Crono_Qui!B14</f>
        <v>AUSTRALIANO</v>
      </c>
      <c r="C16" s="17">
        <f>Crono_Qui!C14</f>
        <v>29.78</v>
      </c>
      <c r="D16" t="str">
        <f>IFERROR(VLOOKUP(B16,RECEITAS!A:C,$D$7,FALSE),"")</f>
        <v>DIRETO</v>
      </c>
      <c r="E16" s="1">
        <f>IFERROR(E15+(VLOOKUP($D16,PROCESSO!$B:$P,AP_CRONO_Qui!E$8,FALSE)/24),"")</f>
        <v>0.22638888888888895</v>
      </c>
      <c r="F16" s="1">
        <f>Crono_Qui!E14</f>
        <v>0.30902777777777779</v>
      </c>
      <c r="G16" s="1">
        <f>IFERROR(IF(F16=0,"",VLOOKUP($D16,PROCESSO!$B:$P,G$8,FALSE)/24)*IFERROR(IF(#REF!&gt;$B$8,ROUNDUP(#REF!/$B$8,0),1),1)+($A$8/24)+F16,"")</f>
        <v>0.32291666666666669</v>
      </c>
      <c r="H16" s="1">
        <f t="shared" si="0"/>
        <v>0.32291666666666669</v>
      </c>
      <c r="I16" s="1">
        <f>IFERROR(IF(H16=0,"",VLOOKUP($D16,PROCESSO!$B:$P,H$8,FALSE)/24)+($A$8/24)+H16,"")</f>
        <v>0.3263888888888889</v>
      </c>
      <c r="J16" s="1">
        <f>IFERROR(IF(I16=0,"",VLOOKUP($D16,PROCESSO!$B:$P,I$8,FALSE)/24)+($A$8/24)+I16,"")</f>
        <v>0.33472222222222225</v>
      </c>
      <c r="K16" s="1">
        <f>IFERROR(IF(J16=0,"",VLOOKUP($D16,PROCESSO!$B:$P,J$8,FALSE)/24)+($A$8/24)+J16,"")</f>
        <v>0.34305555555555561</v>
      </c>
      <c r="L16" s="1">
        <f>IFERROR(IF(K16=0,"",VLOOKUP($D16,PROCESSO!$B:$P,K$8,FALSE)/24)+($A$8/24)+K16,"")</f>
        <v>0.34652777777777782</v>
      </c>
      <c r="M16" s="1">
        <f>IFERROR(IF(L16=0,"",VLOOKUP($D16,PROCESSO!$B:$P,L$8,FALSE)/24)+($A$8/24)+L16,"")</f>
        <v>0.37430555555555561</v>
      </c>
      <c r="N16" s="1">
        <f>IFERROR(IF(M16=0,"",VLOOKUP($D16,PROCESSO!$B:$P,M$8,FALSE)/24)+($A$8/24)+M16,"")</f>
        <v>0.44027777777777782</v>
      </c>
      <c r="O16" s="1">
        <f>IFERROR(IF(N16=0,"",VLOOKUP($D16,PROCESSO!$B:$P,N$8,FALSE)/24)+($A$8/24)+N16,"")</f>
        <v>0.46458333333333335</v>
      </c>
      <c r="P16" s="1">
        <f>IFERROR(IF(O16=0,"",VLOOKUP($D16,PROCESSO!$B:$P,O$8,FALSE)/24)+($A$8/24)+O16,"")</f>
        <v>0.53055555555555556</v>
      </c>
      <c r="Q16" s="1">
        <f>IFERROR(IF(P16=0,"",VLOOKUP($D16,PROCESSO!$B:$P,P$8,FALSE)/24)+($A$8/24)+P16,"")</f>
        <v>0.56319444444444444</v>
      </c>
      <c r="R16" s="1">
        <f>IFERROR(IF(Q16=0,"",VLOOKUP($D16,PROCESSO!$B:$P,Q$8,FALSE)/24)+($A$8/24)+Q16,"")</f>
        <v>0.60833333333333328</v>
      </c>
      <c r="S16" s="45">
        <f>IFERROR(IFERROR(VLOOKUP(D16,PROCESSO!B:P,15,FALSE),"")/SUMIFS(C:C,A:A,A16),"")</f>
        <v>1.558946916297608</v>
      </c>
      <c r="T16" s="45">
        <f t="shared" si="1"/>
        <v>46.425439167342766</v>
      </c>
      <c r="U16" s="45">
        <f>IFERROR(VLOOKUP(B16,RECEITAS!A:C,3,FALSE),"")</f>
        <v>2.4</v>
      </c>
      <c r="V16" s="45">
        <f>IFERROR((U16+S16)*(1-ANALISE!$I$4),"")</f>
        <v>3.9589469162976076</v>
      </c>
      <c r="W16" s="45">
        <f t="shared" si="2"/>
        <v>117.89743916734275</v>
      </c>
    </row>
    <row r="17" spans="1:23" x14ac:dyDescent="0.3">
      <c r="A17">
        <f>Crono_Qui!A15</f>
        <v>5</v>
      </c>
      <c r="B17" t="str">
        <f>Crono_Qui!B15</f>
        <v>PURO CENTEIO</v>
      </c>
      <c r="C17" s="17">
        <f>Crono_Qui!C15</f>
        <v>0.8</v>
      </c>
      <c r="D17" t="str">
        <f>IFERROR(VLOOKUP(B17,RECEITAS!A:C,$D$7,FALSE),"")</f>
        <v>RÚSTICO</v>
      </c>
      <c r="E17" s="1">
        <f>IFERROR(E16+(VLOOKUP($D17,PROCESSO!$B:$P,AP_CRONO_Qui!E$8,FALSE)/24),"")</f>
        <v>0.23194444444444451</v>
      </c>
      <c r="F17" s="1">
        <f>Crono_Qui!E15</f>
        <v>0.3298611111111111</v>
      </c>
      <c r="G17" s="1">
        <f>IFERROR(IF(F17=0,"",VLOOKUP($D17,PROCESSO!$B:$P,G$8,FALSE)/24)*IFERROR(IF(#REF!&gt;$B$8,ROUNDUP(#REF!/$B$8,0),1),1)+($A$8/24)+F17,"")</f>
        <v>0.34375</v>
      </c>
      <c r="H17" s="1">
        <f t="shared" si="0"/>
        <v>0.34375</v>
      </c>
      <c r="I17" s="1">
        <f>IFERROR(IF(H17=0,"",VLOOKUP($D17,PROCESSO!$B:$P,H$8,FALSE)/24)+($A$8/24)+H17,"")</f>
        <v>0.34722222222222221</v>
      </c>
      <c r="J17" s="1">
        <f>IFERROR(IF(I17=0,"",VLOOKUP($D17,PROCESSO!$B:$P,I$8,FALSE)/24)+($A$8/24)+I17,"")</f>
        <v>0.3923611111111111</v>
      </c>
      <c r="K17" s="1">
        <f>IFERROR(IF(J17=0,"",VLOOKUP($D17,PROCESSO!$B:$P,J$8,FALSE)/24)+($A$8/24)+J17,"")</f>
        <v>0.41319444444444442</v>
      </c>
      <c r="L17" s="1">
        <f>IFERROR(IF(K17=0,"",VLOOKUP($D17,PROCESSO!$B:$P,K$8,FALSE)/24)+($A$8/24)+K17,"")</f>
        <v>0.44444444444444442</v>
      </c>
      <c r="M17" s="1">
        <f>IFERROR(IF(L17=0,"",VLOOKUP($D17,PROCESSO!$B:$P,L$8,FALSE)/24)+($A$8/24)+L17,"")</f>
        <v>0.46527777777777773</v>
      </c>
      <c r="N17" s="1">
        <f>IFERROR(IF(M17=0,"",VLOOKUP($D17,PROCESSO!$B:$P,M$8,FALSE)/24)+($A$8/24)+M17,"")</f>
        <v>0.51041666666666663</v>
      </c>
      <c r="O17" s="1">
        <f>IFERROR(IF(N17=0,"",VLOOKUP($D17,PROCESSO!$B:$P,N$8,FALSE)/24)+($A$8/24)+N17,"")</f>
        <v>0.54166666666666663</v>
      </c>
      <c r="P17" s="1">
        <f>IFERROR(IF(O17=0,"",VLOOKUP($D17,PROCESSO!$B:$P,O$8,FALSE)/24)+($A$8/24)+O17,"")</f>
        <v>0.60763888888888884</v>
      </c>
      <c r="Q17" s="1">
        <f>IFERROR(IF(P17=0,"",VLOOKUP($D17,PROCESSO!$B:$P,P$8,FALSE)/24)+($A$8/24)+P17,"")</f>
        <v>0.61111111111111105</v>
      </c>
      <c r="R17" s="1">
        <f>IFERROR(IF(Q17=0,"",VLOOKUP($D17,PROCESSO!$B:$P,Q$8,FALSE)/24)+($A$8/24)+Q17,"")</f>
        <v>0.65624999999999989</v>
      </c>
      <c r="S17" s="45">
        <f>IFERROR(IFERROR(VLOOKUP(D17,PROCESSO!B:P,15,FALSE),"")/SUMIFS(C:C,A:A,A17),"")</f>
        <v>61.754246004045243</v>
      </c>
      <c r="T17" s="45">
        <f t="shared" si="1"/>
        <v>49.403396803236198</v>
      </c>
      <c r="U17" s="45">
        <f>IFERROR(VLOOKUP(B17,RECEITAS!A:C,3,FALSE),"")</f>
        <v>6.0892506459948308</v>
      </c>
      <c r="V17" s="45">
        <f>IFERROR((U17+S17)*(1-ANALISE!$I$4),"")</f>
        <v>67.843496650040066</v>
      </c>
      <c r="W17" s="45">
        <f t="shared" si="2"/>
        <v>54.274797320032057</v>
      </c>
    </row>
    <row r="18" spans="1:23" x14ac:dyDescent="0.3">
      <c r="A18">
        <f>Crono_Qui!A16</f>
        <v>6</v>
      </c>
      <c r="B18" t="str">
        <f>Crono_Qui!B16</f>
        <v>BRIOCHE MARGARINA</v>
      </c>
      <c r="C18" s="17">
        <f>Crono_Qui!C16</f>
        <v>8.6999999999999993</v>
      </c>
      <c r="D18" t="str">
        <f>IFERROR(VLOOKUP(B18,RECEITAS!A:C,$D$7,FALSE),"")</f>
        <v>DIRETO</v>
      </c>
      <c r="E18" s="1">
        <f>IFERROR(E17+(VLOOKUP($D18,PROCESSO!$B:$P,AP_CRONO_Qui!E$8,FALSE)/24),"")</f>
        <v>0.23750000000000007</v>
      </c>
      <c r="F18" s="1">
        <f>Crono_Qui!E16</f>
        <v>0.33749999999999997</v>
      </c>
      <c r="G18" s="1">
        <f>IFERROR(IF(F18=0,"",VLOOKUP($D18,PROCESSO!$B:$P,G$8,FALSE)/24)*IFERROR(IF(#REF!&gt;$B$8,ROUNDUP(#REF!/$B$8,0),1),1)+($A$8/24)+F18,"")</f>
        <v>0.35138888888888886</v>
      </c>
      <c r="H18" s="1">
        <f t="shared" si="0"/>
        <v>0.35138888888888886</v>
      </c>
      <c r="I18" s="1">
        <f>IFERROR(IF(H18=0,"",VLOOKUP($D18,PROCESSO!$B:$P,H$8,FALSE)/24)+($A$8/24)+H18,"")</f>
        <v>0.35486111111111107</v>
      </c>
      <c r="J18" s="1">
        <f>IFERROR(IF(I18=0,"",VLOOKUP($D18,PROCESSO!$B:$P,I$8,FALSE)/24)+($A$8/24)+I18,"")</f>
        <v>0.36319444444444443</v>
      </c>
      <c r="K18" s="1">
        <f>IFERROR(IF(J18=0,"",VLOOKUP($D18,PROCESSO!$B:$P,J$8,FALSE)/24)+($A$8/24)+J18,"")</f>
        <v>0.37152777777777779</v>
      </c>
      <c r="L18" s="1">
        <f>IFERROR(IF(K18=0,"",VLOOKUP($D18,PROCESSO!$B:$P,K$8,FALSE)/24)+($A$8/24)+K18,"")</f>
        <v>0.375</v>
      </c>
      <c r="M18" s="1">
        <f>IFERROR(IF(L18=0,"",VLOOKUP($D18,PROCESSO!$B:$P,L$8,FALSE)/24)+($A$8/24)+L18,"")</f>
        <v>0.40277777777777779</v>
      </c>
      <c r="N18" s="1">
        <f>IFERROR(IF(M18=0,"",VLOOKUP($D18,PROCESSO!$B:$P,M$8,FALSE)/24)+($A$8/24)+M18,"")</f>
        <v>0.46875</v>
      </c>
      <c r="O18" s="1">
        <f>IFERROR(IF(N18=0,"",VLOOKUP($D18,PROCESSO!$B:$P,N$8,FALSE)/24)+($A$8/24)+N18,"")</f>
        <v>0.49305555555555558</v>
      </c>
      <c r="P18" s="1">
        <f>IFERROR(IF(O18=0,"",VLOOKUP($D18,PROCESSO!$B:$P,O$8,FALSE)/24)+($A$8/24)+O18,"")</f>
        <v>0.55902777777777779</v>
      </c>
      <c r="Q18" s="1">
        <f>IFERROR(IF(P18=0,"",VLOOKUP($D18,PROCESSO!$B:$P,P$8,FALSE)/24)+($A$8/24)+P18,"")</f>
        <v>0.59166666666666667</v>
      </c>
      <c r="R18" s="1">
        <f>IFERROR(IF(Q18=0,"",VLOOKUP($D18,PROCESSO!$B:$P,Q$8,FALSE)/24)+($A$8/24)+Q18,"")</f>
        <v>0.63680555555555551</v>
      </c>
      <c r="S18" s="45">
        <f>IFERROR(IFERROR(VLOOKUP(D18,PROCESSO!B:P,15,FALSE),"")/SUMIFS(C:C,A:A,A18),"")</f>
        <v>5.3362573755566398</v>
      </c>
      <c r="T18" s="45">
        <f t="shared" si="1"/>
        <v>46.425439167342759</v>
      </c>
      <c r="U18" s="45">
        <f>IFERROR(VLOOKUP(B18,RECEITAS!A:C,3,FALSE),"")</f>
        <v>2.8395295247239574</v>
      </c>
      <c r="V18" s="45">
        <f>IFERROR((U18+S18)*(1-ANALISE!$I$4),"")</f>
        <v>8.1757869002805972</v>
      </c>
      <c r="W18" s="45">
        <f t="shared" si="2"/>
        <v>71.129346032441191</v>
      </c>
    </row>
    <row r="19" spans="1:23" x14ac:dyDescent="0.3">
      <c r="A19">
        <f>Crono_Qui!A17</f>
        <v>8</v>
      </c>
      <c r="B19" t="str">
        <f>Crono_Qui!B17</f>
        <v>BROWN</v>
      </c>
      <c r="C19" s="17">
        <f>Crono_Qui!C17</f>
        <v>0.84000000000000008</v>
      </c>
      <c r="D19" t="str">
        <f>IFERROR(VLOOKUP(B19,RECEITAS!A:C,$D$7,FALSE),"")</f>
        <v>DIRETO</v>
      </c>
      <c r="E19" s="1">
        <f>IFERROR(E18+(VLOOKUP($D19,PROCESSO!$B:$P,AP_CRONO_Qui!E$8,FALSE)/24),"")</f>
        <v>0.24305555555555564</v>
      </c>
      <c r="F19" s="1">
        <f>Crono_Qui!E17</f>
        <v>0.36180555555555555</v>
      </c>
      <c r="G19" s="1">
        <f>IFERROR(IF(F19=0,"",VLOOKUP($D19,PROCESSO!$B:$P,G$8,FALSE)/24)*IFERROR(IF(#REF!&gt;$B$8,ROUNDUP(#REF!/$B$8,0),1),1)+($A$8/24)+F19,"")</f>
        <v>0.37569444444444444</v>
      </c>
      <c r="H19" s="1">
        <f t="shared" si="0"/>
        <v>0.37569444444444444</v>
      </c>
      <c r="I19" s="1">
        <f>IFERROR(IF(H19=0,"",VLOOKUP($D19,PROCESSO!$B:$P,H$8,FALSE)/24)+($A$8/24)+H19,"")</f>
        <v>0.37916666666666665</v>
      </c>
      <c r="J19" s="1">
        <f>IFERROR(IF(I19=0,"",VLOOKUP($D19,PROCESSO!$B:$P,I$8,FALSE)/24)+($A$8/24)+I19,"")</f>
        <v>0.38750000000000001</v>
      </c>
      <c r="K19" s="1">
        <f>IFERROR(IF(J19=0,"",VLOOKUP($D19,PROCESSO!$B:$P,J$8,FALSE)/24)+($A$8/24)+J19,"")</f>
        <v>0.39583333333333337</v>
      </c>
      <c r="L19" s="1">
        <f>IFERROR(IF(K19=0,"",VLOOKUP($D19,PROCESSO!$B:$P,K$8,FALSE)/24)+($A$8/24)+K19,"")</f>
        <v>0.39930555555555558</v>
      </c>
      <c r="M19" s="1">
        <f>IFERROR(IF(L19=0,"",VLOOKUP($D19,PROCESSO!$B:$P,L$8,FALSE)/24)+($A$8/24)+L19,"")</f>
        <v>0.42708333333333337</v>
      </c>
      <c r="N19" s="1">
        <f>IFERROR(IF(M19=0,"",VLOOKUP($D19,PROCESSO!$B:$P,M$8,FALSE)/24)+($A$8/24)+M19,"")</f>
        <v>0.49305555555555558</v>
      </c>
      <c r="O19" s="1">
        <f>IFERROR(IF(N19=0,"",VLOOKUP($D19,PROCESSO!$B:$P,N$8,FALSE)/24)+($A$8/24)+N19,"")</f>
        <v>0.51736111111111116</v>
      </c>
      <c r="P19" s="1">
        <f>IFERROR(IF(O19=0,"",VLOOKUP($D19,PROCESSO!$B:$P,O$8,FALSE)/24)+($A$8/24)+O19,"")</f>
        <v>0.58333333333333337</v>
      </c>
      <c r="Q19" s="1">
        <f>IFERROR(IF(P19=0,"",VLOOKUP($D19,PROCESSO!$B:$P,P$8,FALSE)/24)+($A$8/24)+P19,"")</f>
        <v>0.61597222222222225</v>
      </c>
      <c r="R19" s="1">
        <f>IFERROR(IF(Q19=0,"",VLOOKUP($D19,PROCESSO!$B:$P,Q$8,FALSE)/24)+($A$8/24)+Q19,"")</f>
        <v>0.66111111111111109</v>
      </c>
      <c r="S19" s="45">
        <f>IFERROR(IFERROR(VLOOKUP(D19,PROCESSO!B:P,15,FALSE),"")/SUMIFS(C:C,A:A,A19),"")</f>
        <v>55.268379961122335</v>
      </c>
      <c r="T19" s="45">
        <f t="shared" si="1"/>
        <v>46.425439167342766</v>
      </c>
      <c r="U19" s="45">
        <f>IFERROR(VLOOKUP(B19,RECEITAS!A:C,3,FALSE),"")</f>
        <v>2.3452338811630851</v>
      </c>
      <c r="V19" s="45">
        <f>IFERROR((U19+S19)*(1-ANALISE!$I$4),"")</f>
        <v>57.613613842285417</v>
      </c>
      <c r="W19" s="45">
        <f t="shared" si="2"/>
        <v>48.395435627519753</v>
      </c>
    </row>
    <row r="20" spans="1:23" x14ac:dyDescent="0.3">
      <c r="A20">
        <f>Crono_Qui!A18</f>
        <v>9</v>
      </c>
      <c r="B20" t="str">
        <f>Crono_Qui!B18</f>
        <v>BRIOCHE MARGARINA 50% AÇUCAR</v>
      </c>
      <c r="C20" s="17">
        <f>Crono_Qui!C18</f>
        <v>18.000000000000004</v>
      </c>
      <c r="D20" t="str">
        <f>IFERROR(VLOOKUP(B20,RECEITAS!A:C,$D$7,FALSE),"")</f>
        <v>DIRETO</v>
      </c>
      <c r="E20" s="1">
        <f>IFERROR(E19+(VLOOKUP($D20,PROCESSO!$B:$P,AP_CRONO_Qui!E$8,FALSE)/24),"")</f>
        <v>0.2486111111111112</v>
      </c>
      <c r="F20" s="1">
        <f>Crono_Qui!E18</f>
        <v>0.37847222222222227</v>
      </c>
      <c r="G20" s="1">
        <f>IFERROR(IF(F20=0,"",VLOOKUP($D20,PROCESSO!$B:$P,G$8,FALSE)/24)*IFERROR(IF(#REF!&gt;$B$8,ROUNDUP(#REF!/$B$8,0),1),1)+($A$8/24)+F20,"")</f>
        <v>0.39236111111111116</v>
      </c>
      <c r="H20" s="1">
        <f t="shared" si="0"/>
        <v>0.39236111111111116</v>
      </c>
      <c r="I20" s="1">
        <f>IFERROR(IF(H20=0,"",VLOOKUP($D20,PROCESSO!$B:$P,H$8,FALSE)/24)+($A$8/24)+H20,"")</f>
        <v>0.39583333333333337</v>
      </c>
      <c r="J20" s="1">
        <f>IFERROR(IF(I20=0,"",VLOOKUP($D20,PROCESSO!$B:$P,I$8,FALSE)/24)+($A$8/24)+I20,"")</f>
        <v>0.40416666666666673</v>
      </c>
      <c r="K20" s="1">
        <f>IFERROR(IF(J20=0,"",VLOOKUP($D20,PROCESSO!$B:$P,J$8,FALSE)/24)+($A$8/24)+J20,"")</f>
        <v>0.41250000000000009</v>
      </c>
      <c r="L20" s="1">
        <f>IFERROR(IF(K20=0,"",VLOOKUP($D20,PROCESSO!$B:$P,K$8,FALSE)/24)+($A$8/24)+K20,"")</f>
        <v>0.4159722222222223</v>
      </c>
      <c r="M20" s="1">
        <f>IFERROR(IF(L20=0,"",VLOOKUP($D20,PROCESSO!$B:$P,L$8,FALSE)/24)+($A$8/24)+L20,"")</f>
        <v>0.44375000000000009</v>
      </c>
      <c r="N20" s="1">
        <f>IFERROR(IF(M20=0,"",VLOOKUP($D20,PROCESSO!$B:$P,M$8,FALSE)/24)+($A$8/24)+M20,"")</f>
        <v>0.5097222222222223</v>
      </c>
      <c r="O20" s="1">
        <f>IFERROR(IF(N20=0,"",VLOOKUP($D20,PROCESSO!$B:$P,N$8,FALSE)/24)+($A$8/24)+N20,"")</f>
        <v>0.53402777777777788</v>
      </c>
      <c r="P20" s="1">
        <f>IFERROR(IF(O20=0,"",VLOOKUP($D20,PROCESSO!$B:$P,O$8,FALSE)/24)+($A$8/24)+O20,"")</f>
        <v>0.60000000000000009</v>
      </c>
      <c r="Q20" s="1">
        <f>IFERROR(IF(P20=0,"",VLOOKUP($D20,PROCESSO!$B:$P,P$8,FALSE)/24)+($A$8/24)+P20,"")</f>
        <v>0.63263888888888897</v>
      </c>
      <c r="R20" s="1">
        <f>IFERROR(IF(Q20=0,"",VLOOKUP($D20,PROCESSO!$B:$P,Q$8,FALSE)/24)+($A$8/24)+Q20,"")</f>
        <v>0.67777777777777781</v>
      </c>
      <c r="S20" s="45">
        <f>IFERROR(IFERROR(VLOOKUP(D20,PROCESSO!B:P,15,FALSE),"")/SUMIFS(C:C,A:A,A20),"")</f>
        <v>2.5791910648523753</v>
      </c>
      <c r="T20" s="45">
        <f t="shared" si="1"/>
        <v>46.425439167342766</v>
      </c>
      <c r="U20" s="45">
        <f>IFERROR(VLOOKUP(B20,RECEITAS!A:C,3,FALSE),"")</f>
        <v>2.8814478282576137</v>
      </c>
      <c r="V20" s="45">
        <f>IFERROR((U20+S20)*(1-ANALISE!$I$4),"")</f>
        <v>5.460638893109989</v>
      </c>
      <c r="W20" s="45">
        <f t="shared" si="2"/>
        <v>98.291500075979826</v>
      </c>
    </row>
    <row r="21" spans="1:23" x14ac:dyDescent="0.3">
      <c r="A21">
        <f>Crono_Qui!A19</f>
        <v>10</v>
      </c>
      <c r="B21" t="str">
        <f>Crono_Qui!B19</f>
        <v>PF INTEGRAL</v>
      </c>
      <c r="C21" s="17">
        <f>Crono_Qui!C19</f>
        <v>4.5</v>
      </c>
      <c r="D21" t="str">
        <f>IFERROR(VLOOKUP(B21,RECEITAS!A:C,$D$7,FALSE),"")</f>
        <v>DIRETO</v>
      </c>
      <c r="E21" s="1">
        <f>IFERROR(E20+(VLOOKUP($D21,PROCESSO!$B:$P,AP_CRONO_Qui!E$8,FALSE)/24),"")</f>
        <v>0.25416666666666676</v>
      </c>
      <c r="F21" s="1">
        <f>Crono_Qui!E19</f>
        <v>0.39305555555555555</v>
      </c>
      <c r="G21" s="1">
        <f>IFERROR(IF(F21=0,"",VLOOKUP($D21,PROCESSO!$B:$P,G$8,FALSE)/24)*IFERROR(IF(#REF!&gt;$B$8,ROUNDUP(#REF!/$B$8,0),1),1)+($A$8/24)+F21,"")</f>
        <v>0.40694444444444444</v>
      </c>
      <c r="H21" s="1">
        <f t="shared" si="0"/>
        <v>0.40694444444444444</v>
      </c>
      <c r="I21" s="1">
        <f>IFERROR(IF(H21=0,"",VLOOKUP($D21,PROCESSO!$B:$P,H$8,FALSE)/24)+($A$8/24)+H21,"")</f>
        <v>0.41041666666666665</v>
      </c>
      <c r="J21" s="1">
        <f>IFERROR(IF(I21=0,"",VLOOKUP($D21,PROCESSO!$B:$P,I$8,FALSE)/24)+($A$8/24)+I21,"")</f>
        <v>0.41875000000000001</v>
      </c>
      <c r="K21" s="1">
        <f>IFERROR(IF(J21=0,"",VLOOKUP($D21,PROCESSO!$B:$P,J$8,FALSE)/24)+($A$8/24)+J21,"")</f>
        <v>0.42708333333333337</v>
      </c>
      <c r="L21" s="1">
        <f>IFERROR(IF(K21=0,"",VLOOKUP($D21,PROCESSO!$B:$P,K$8,FALSE)/24)+($A$8/24)+K21,"")</f>
        <v>0.43055555555555558</v>
      </c>
      <c r="M21" s="1">
        <f>IFERROR(IF(L21=0,"",VLOOKUP($D21,PROCESSO!$B:$P,L$8,FALSE)/24)+($A$8/24)+L21,"")</f>
        <v>0.45833333333333337</v>
      </c>
      <c r="N21" s="1">
        <f>IFERROR(IF(M21=0,"",VLOOKUP($D21,PROCESSO!$B:$P,M$8,FALSE)/24)+($A$8/24)+M21,"")</f>
        <v>0.52430555555555558</v>
      </c>
      <c r="O21" s="1">
        <f>IFERROR(IF(N21=0,"",VLOOKUP($D21,PROCESSO!$B:$P,N$8,FALSE)/24)+($A$8/24)+N21,"")</f>
        <v>0.54861111111111116</v>
      </c>
      <c r="P21" s="1">
        <f>IFERROR(IF(O21=0,"",VLOOKUP($D21,PROCESSO!$B:$P,O$8,FALSE)/24)+($A$8/24)+O21,"")</f>
        <v>0.61458333333333337</v>
      </c>
      <c r="Q21" s="1">
        <f>IFERROR(IF(P21=0,"",VLOOKUP($D21,PROCESSO!$B:$P,P$8,FALSE)/24)+($A$8/24)+P21,"")</f>
        <v>0.64722222222222225</v>
      </c>
      <c r="R21" s="1">
        <f>IFERROR(IF(Q21=0,"",VLOOKUP($D21,PROCESSO!$B:$P,Q$8,FALSE)/24)+($A$8/24)+Q21,"")</f>
        <v>0.69236111111111109</v>
      </c>
      <c r="S21" s="45">
        <f>IFERROR(IFERROR(VLOOKUP(D21,PROCESSO!B:P,15,FALSE),"")/SUMIFS(C:C,A:A,A21),"")</f>
        <v>3.423704953343861</v>
      </c>
      <c r="T21" s="45">
        <f t="shared" si="1"/>
        <v>15.406672290047375</v>
      </c>
      <c r="U21" s="45">
        <f>IFERROR(VLOOKUP(B21,RECEITAS!A:C,3,FALSE),"")</f>
        <v>2.6739550191991226</v>
      </c>
      <c r="V21" s="45">
        <f>IFERROR((U21+S21)*(1-ANALISE!$I$4),"")</f>
        <v>6.0976599725429832</v>
      </c>
      <c r="W21" s="45">
        <f t="shared" si="2"/>
        <v>27.439469876443425</v>
      </c>
    </row>
    <row r="22" spans="1:23" x14ac:dyDescent="0.3">
      <c r="A22">
        <f>Crono_Qui!A20</f>
        <v>10</v>
      </c>
      <c r="B22" t="str">
        <f>Crono_Qui!B20</f>
        <v>PH VINHEDO</v>
      </c>
      <c r="C22" s="17">
        <f>Crono_Qui!C20</f>
        <v>3.6000000000000005</v>
      </c>
      <c r="D22" t="str">
        <f>IFERROR(VLOOKUP(B22,RECEITAS!A:C,$D$7,FALSE),"")</f>
        <v>DIRETO</v>
      </c>
      <c r="E22" s="1">
        <f>IFERROR(E21+(VLOOKUP($D22,PROCESSO!$B:$P,AP_CRONO_Qui!E$8,FALSE)/24),"")</f>
        <v>0.2597222222222223</v>
      </c>
      <c r="F22" s="1">
        <f>Crono_Qui!E20</f>
        <v>0.39305555555555555</v>
      </c>
      <c r="G22" s="1">
        <f>IFERROR(IF(F22=0,"",VLOOKUP($D22,PROCESSO!$B:$P,G$8,FALSE)/24)*IFERROR(IF(#REF!&gt;$B$8,ROUNDUP(#REF!/$B$8,0),1),1)+($A$8/24)+F22,"")</f>
        <v>0.40694444444444444</v>
      </c>
      <c r="H22" s="1">
        <f t="shared" ref="H22:H33" si="3">G22</f>
        <v>0.40694444444444444</v>
      </c>
      <c r="I22" s="1">
        <f>IFERROR(IF(H22=0,"",VLOOKUP($D22,PROCESSO!$B:$P,H$8,FALSE)/24)+($A$8/24)+H22,"")</f>
        <v>0.41041666666666665</v>
      </c>
      <c r="J22" s="1">
        <f>IFERROR(IF(I22=0,"",VLOOKUP($D22,PROCESSO!$B:$P,I$8,FALSE)/24)+($A$8/24)+I22,"")</f>
        <v>0.41875000000000001</v>
      </c>
      <c r="K22" s="1">
        <f>IFERROR(IF(J22=0,"",VLOOKUP($D22,PROCESSO!$B:$P,J$8,FALSE)/24)+($A$8/24)+J22,"")</f>
        <v>0.42708333333333337</v>
      </c>
      <c r="L22" s="1">
        <f>IFERROR(IF(K22=0,"",VLOOKUP($D22,PROCESSO!$B:$P,K$8,FALSE)/24)+($A$8/24)+K22,"")</f>
        <v>0.43055555555555558</v>
      </c>
      <c r="M22" s="1">
        <f>IFERROR(IF(L22=0,"",VLOOKUP($D22,PROCESSO!$B:$P,L$8,FALSE)/24)+($A$8/24)+L22,"")</f>
        <v>0.45833333333333337</v>
      </c>
      <c r="N22" s="1">
        <f>IFERROR(IF(M22=0,"",VLOOKUP($D22,PROCESSO!$B:$P,M$8,FALSE)/24)+($A$8/24)+M22,"")</f>
        <v>0.52430555555555558</v>
      </c>
      <c r="O22" s="1">
        <f>IFERROR(IF(N22=0,"",VLOOKUP($D22,PROCESSO!$B:$P,N$8,FALSE)/24)+($A$8/24)+N22,"")</f>
        <v>0.54861111111111116</v>
      </c>
      <c r="P22" s="1">
        <f>IFERROR(IF(O22=0,"",VLOOKUP($D22,PROCESSO!$B:$P,O$8,FALSE)/24)+($A$8/24)+O22,"")</f>
        <v>0.61458333333333337</v>
      </c>
      <c r="Q22" s="1">
        <f>IFERROR(IF(P22=0,"",VLOOKUP($D22,PROCESSO!$B:$P,P$8,FALSE)/24)+($A$8/24)+P22,"")</f>
        <v>0.64722222222222225</v>
      </c>
      <c r="R22" s="1">
        <f>IFERROR(IF(Q22=0,"",VLOOKUP($D22,PROCESSO!$B:$P,Q$8,FALSE)/24)+($A$8/24)+Q22,"")</f>
        <v>0.69236111111111109</v>
      </c>
      <c r="S22" s="45">
        <f>IFERROR(IFERROR(VLOOKUP(D22,PROCESSO!B:P,15,FALSE),"")/SUMIFS(C:C,A:A,A22),"")</f>
        <v>3.423704953343861</v>
      </c>
      <c r="T22" s="45">
        <f t="shared" ref="T22:T33" si="4">IFERROR(S22*C22,"")</f>
        <v>12.325337832037901</v>
      </c>
      <c r="U22" s="45">
        <f>IFERROR(VLOOKUP(B22,RECEITAS!A:C,3,FALSE),"")</f>
        <v>4.2629144274493598</v>
      </c>
      <c r="V22" s="45">
        <f>IFERROR((U22+S22)*(1-ANALISE!$I$4),"")</f>
        <v>7.6866193807932213</v>
      </c>
      <c r="W22" s="45">
        <f t="shared" ref="W22:W33" si="5">IFERROR(V22*C22,"")</f>
        <v>27.671829770855602</v>
      </c>
    </row>
    <row r="23" spans="1:23" x14ac:dyDescent="0.3">
      <c r="A23">
        <f>Crono_Qui!A21</f>
        <v>10</v>
      </c>
      <c r="B23" t="str">
        <f>Crono_Qui!B21</f>
        <v>VINHEDO RUST.</v>
      </c>
      <c r="C23" s="17">
        <f>Crono_Qui!C21</f>
        <v>5.46</v>
      </c>
      <c r="D23" t="str">
        <f>IFERROR(VLOOKUP(B23,RECEITAS!A:C,$D$7,FALSE),"")</f>
        <v>RÚSTICO</v>
      </c>
      <c r="E23" s="1">
        <f>IFERROR(E22+(VLOOKUP($D23,PROCESSO!$B:$P,AP_CRONO_Qui!E$8,FALSE)/24),"")</f>
        <v>0.26527777777777783</v>
      </c>
      <c r="F23" s="1">
        <f>Crono_Qui!E21</f>
        <v>0.39305555555555555</v>
      </c>
      <c r="G23" s="1">
        <f>IFERROR(IF(F23=0,"",VLOOKUP($D23,PROCESSO!$B:$P,G$8,FALSE)/24)*IFERROR(IF(#REF!&gt;$B$8,ROUNDUP(#REF!/$B$8,0),1),1)+($A$8/24)+F23,"")</f>
        <v>0.40694444444444444</v>
      </c>
      <c r="H23" s="1">
        <f t="shared" si="3"/>
        <v>0.40694444444444444</v>
      </c>
      <c r="I23" s="1">
        <f>IFERROR(IF(H23=0,"",VLOOKUP($D23,PROCESSO!$B:$P,H$8,FALSE)/24)+($A$8/24)+H23,"")</f>
        <v>0.41041666666666665</v>
      </c>
      <c r="J23" s="1">
        <f>IFERROR(IF(I23=0,"",VLOOKUP($D23,PROCESSO!$B:$P,I$8,FALSE)/24)+($A$8/24)+I23,"")</f>
        <v>0.45555555555555555</v>
      </c>
      <c r="K23" s="1">
        <f>IFERROR(IF(J23=0,"",VLOOKUP($D23,PROCESSO!$B:$P,J$8,FALSE)/24)+($A$8/24)+J23,"")</f>
        <v>0.47638888888888886</v>
      </c>
      <c r="L23" s="1">
        <f>IFERROR(IF(K23=0,"",VLOOKUP($D23,PROCESSO!$B:$P,K$8,FALSE)/24)+($A$8/24)+K23,"")</f>
        <v>0.50763888888888886</v>
      </c>
      <c r="M23" s="1">
        <f>IFERROR(IF(L23=0,"",VLOOKUP($D23,PROCESSO!$B:$P,L$8,FALSE)/24)+($A$8/24)+L23,"")</f>
        <v>0.52847222222222223</v>
      </c>
      <c r="N23" s="1">
        <f>IFERROR(IF(M23=0,"",VLOOKUP($D23,PROCESSO!$B:$P,M$8,FALSE)/24)+($A$8/24)+M23,"")</f>
        <v>0.57361111111111107</v>
      </c>
      <c r="O23" s="1">
        <f>IFERROR(IF(N23=0,"",VLOOKUP($D23,PROCESSO!$B:$P,N$8,FALSE)/24)+($A$8/24)+N23,"")</f>
        <v>0.60486111111111107</v>
      </c>
      <c r="P23" s="1">
        <f>IFERROR(IF(O23=0,"",VLOOKUP($D23,PROCESSO!$B:$P,O$8,FALSE)/24)+($A$8/24)+O23,"")</f>
        <v>0.67083333333333328</v>
      </c>
      <c r="Q23" s="1">
        <f>IFERROR(IF(P23=0,"",VLOOKUP($D23,PROCESSO!$B:$P,P$8,FALSE)/24)+($A$8/24)+P23,"")</f>
        <v>0.67430555555555549</v>
      </c>
      <c r="R23" s="1">
        <f>IFERROR(IF(Q23=0,"",VLOOKUP($D23,PROCESSO!$B:$P,Q$8,FALSE)/24)+($A$8/24)+Q23,"")</f>
        <v>0.71944444444444433</v>
      </c>
      <c r="S23" s="45">
        <f>IFERROR(IFERROR(VLOOKUP(D23,PROCESSO!B:P,15,FALSE),"")/SUMIFS(C:C,A:A,A23),"")</f>
        <v>3.643318348321253</v>
      </c>
      <c r="T23" s="45">
        <f t="shared" si="4"/>
        <v>19.892518181834042</v>
      </c>
      <c r="U23" s="45">
        <f>IFERROR(VLOOKUP(B23,RECEITAS!A:C,3,FALSE),"")</f>
        <v>4.2629144274493598</v>
      </c>
      <c r="V23" s="45">
        <f>IFERROR((U23+S23)*(1-ANALISE!$I$4),"")</f>
        <v>7.9062327757706132</v>
      </c>
      <c r="W23" s="45">
        <f t="shared" si="5"/>
        <v>43.16803095570755</v>
      </c>
    </row>
    <row r="24" spans="1:23" x14ac:dyDescent="0.3">
      <c r="A24">
        <f>Crono_Qui!A22</f>
        <v>11</v>
      </c>
      <c r="B24" t="str">
        <f>Crono_Qui!B22</f>
        <v>PH MALTE AROMA CARAMEL CACAU</v>
      </c>
      <c r="C24" s="17">
        <f>Crono_Qui!C22</f>
        <v>3</v>
      </c>
      <c r="D24" t="str">
        <f>IFERROR(VLOOKUP(B24,RECEITAS!A:C,$D$7,FALSE),"")</f>
        <v>DIRETO</v>
      </c>
      <c r="E24" s="1">
        <f>IFERROR(E23+(VLOOKUP($D24,PROCESSO!$B:$P,AP_CRONO_Qui!E$8,FALSE)/24),"")</f>
        <v>0.27083333333333337</v>
      </c>
      <c r="F24" s="1">
        <f>Crono_Qui!E22</f>
        <v>0.40972222222222227</v>
      </c>
      <c r="G24" s="1">
        <f>IFERROR(IF(F24=0,"",VLOOKUP($D24,PROCESSO!$B:$P,G$8,FALSE)/24)*IFERROR(IF(#REF!&gt;$B$8,ROUNDUP(#REF!/$B$8,0),1),1)+($A$8/24)+F24,"")</f>
        <v>0.42361111111111116</v>
      </c>
      <c r="H24" s="1">
        <f t="shared" si="3"/>
        <v>0.42361111111111116</v>
      </c>
      <c r="I24" s="1">
        <f>IFERROR(IF(H24=0,"",VLOOKUP($D24,PROCESSO!$B:$P,H$8,FALSE)/24)+($A$8/24)+H24,"")</f>
        <v>0.42708333333333337</v>
      </c>
      <c r="J24" s="1">
        <f>IFERROR(IF(I24=0,"",VLOOKUP($D24,PROCESSO!$B:$P,I$8,FALSE)/24)+($A$8/24)+I24,"")</f>
        <v>0.43541666666666673</v>
      </c>
      <c r="K24" s="1">
        <f>IFERROR(IF(J24=0,"",VLOOKUP($D24,PROCESSO!$B:$P,J$8,FALSE)/24)+($A$8/24)+J24,"")</f>
        <v>0.44375000000000009</v>
      </c>
      <c r="L24" s="1">
        <f>IFERROR(IF(K24=0,"",VLOOKUP($D24,PROCESSO!$B:$P,K$8,FALSE)/24)+($A$8/24)+K24,"")</f>
        <v>0.4472222222222223</v>
      </c>
      <c r="M24" s="1">
        <f>IFERROR(IF(L24=0,"",VLOOKUP($D24,PROCESSO!$B:$P,L$8,FALSE)/24)+($A$8/24)+L24,"")</f>
        <v>0.47500000000000009</v>
      </c>
      <c r="N24" s="1">
        <f>IFERROR(IF(M24=0,"",VLOOKUP($D24,PROCESSO!$B:$P,M$8,FALSE)/24)+($A$8/24)+M24,"")</f>
        <v>0.5409722222222223</v>
      </c>
      <c r="O24" s="1">
        <f>IFERROR(IF(N24=0,"",VLOOKUP($D24,PROCESSO!$B:$P,N$8,FALSE)/24)+($A$8/24)+N24,"")</f>
        <v>0.56527777777777788</v>
      </c>
      <c r="P24" s="1">
        <f>IFERROR(IF(O24=0,"",VLOOKUP($D24,PROCESSO!$B:$P,O$8,FALSE)/24)+($A$8/24)+O24,"")</f>
        <v>0.63125000000000009</v>
      </c>
      <c r="Q24" s="1">
        <f>IFERROR(IF(P24=0,"",VLOOKUP($D24,PROCESSO!$B:$P,P$8,FALSE)/24)+($A$8/24)+P24,"")</f>
        <v>0.66388888888888897</v>
      </c>
      <c r="R24" s="1">
        <f>IFERROR(IF(Q24=0,"",VLOOKUP($D24,PROCESSO!$B:$P,Q$8,FALSE)/24)+($A$8/24)+Q24,"")</f>
        <v>0.70902777777777781</v>
      </c>
      <c r="S24" s="45">
        <f>IFERROR(IFERROR(VLOOKUP(D24,PROCESSO!B:P,15,FALSE),"")/SUMIFS(C:C,A:A,A24),"")</f>
        <v>15.475146389114256</v>
      </c>
      <c r="T24" s="45">
        <f t="shared" si="4"/>
        <v>46.425439167342766</v>
      </c>
      <c r="U24" s="45">
        <f>IFERROR(VLOOKUP(B24,RECEITAS!A:C,3,FALSE),"")</f>
        <v>3.802317938072997</v>
      </c>
      <c r="V24" s="45">
        <f>IFERROR((U24+S24)*(1-ANALISE!$I$4),"")</f>
        <v>19.277464327187253</v>
      </c>
      <c r="W24" s="45">
        <f t="shared" si="5"/>
        <v>57.83239298156176</v>
      </c>
    </row>
    <row r="25" spans="1:23" x14ac:dyDescent="0.3">
      <c r="A25">
        <f>Crono_Qui!A23</f>
        <v>12</v>
      </c>
      <c r="B25" t="str">
        <f>Crono_Qui!B23</f>
        <v>PH NEGRO</v>
      </c>
      <c r="C25" s="17">
        <f>Crono_Qui!C23</f>
        <v>2.4000000000000004</v>
      </c>
      <c r="D25" t="str">
        <f>IFERROR(VLOOKUP(B25,RECEITAS!A:C,$D$7,FALSE),"")</f>
        <v>DIRETO</v>
      </c>
      <c r="E25" s="1">
        <f>IFERROR(E24+(VLOOKUP($D25,PROCESSO!$B:$P,AP_CRONO_Qui!E$8,FALSE)/24),"")</f>
        <v>0.27638888888888891</v>
      </c>
      <c r="F25" s="1">
        <f>Crono_Qui!E23</f>
        <v>0.4236111111111111</v>
      </c>
      <c r="G25" s="1">
        <f>IFERROR(IF(F25=0,"",VLOOKUP($D25,PROCESSO!$B:$P,G$8,FALSE)/24)*IFERROR(IF(#REF!&gt;$B$8,ROUNDUP(#REF!/$B$8,0),1),1)+($A$8/24)+F25,"")</f>
        <v>0.4375</v>
      </c>
      <c r="H25" s="1">
        <f t="shared" si="3"/>
        <v>0.4375</v>
      </c>
      <c r="I25" s="1">
        <f>IFERROR(IF(H25=0,"",VLOOKUP($D25,PROCESSO!$B:$P,H$8,FALSE)/24)+($A$8/24)+H25,"")</f>
        <v>0.44097222222222221</v>
      </c>
      <c r="J25" s="1">
        <f>IFERROR(IF(I25=0,"",VLOOKUP($D25,PROCESSO!$B:$P,I$8,FALSE)/24)+($A$8/24)+I25,"")</f>
        <v>0.44930555555555557</v>
      </c>
      <c r="K25" s="1">
        <f>IFERROR(IF(J25=0,"",VLOOKUP($D25,PROCESSO!$B:$P,J$8,FALSE)/24)+($A$8/24)+J25,"")</f>
        <v>0.45763888888888893</v>
      </c>
      <c r="L25" s="1">
        <f>IFERROR(IF(K25=0,"",VLOOKUP($D25,PROCESSO!$B:$P,K$8,FALSE)/24)+($A$8/24)+K25,"")</f>
        <v>0.46111111111111114</v>
      </c>
      <c r="M25" s="1">
        <f>IFERROR(IF(L25=0,"",VLOOKUP($D25,PROCESSO!$B:$P,L$8,FALSE)/24)+($A$8/24)+L25,"")</f>
        <v>0.48888888888888893</v>
      </c>
      <c r="N25" s="1">
        <f>IFERROR(IF(M25=0,"",VLOOKUP($D25,PROCESSO!$B:$P,M$8,FALSE)/24)+($A$8/24)+M25,"")</f>
        <v>0.55486111111111114</v>
      </c>
      <c r="O25" s="1">
        <f>IFERROR(IF(N25=0,"",VLOOKUP($D25,PROCESSO!$B:$P,N$8,FALSE)/24)+($A$8/24)+N25,"")</f>
        <v>0.57916666666666672</v>
      </c>
      <c r="P25" s="1">
        <f>IFERROR(IF(O25=0,"",VLOOKUP($D25,PROCESSO!$B:$P,O$8,FALSE)/24)+($A$8/24)+O25,"")</f>
        <v>0.64513888888888893</v>
      </c>
      <c r="Q25" s="1">
        <f>IFERROR(IF(P25=0,"",VLOOKUP($D25,PROCESSO!$B:$P,P$8,FALSE)/24)+($A$8/24)+P25,"")</f>
        <v>0.67777777777777781</v>
      </c>
      <c r="R25" s="1">
        <f>IFERROR(IF(Q25=0,"",VLOOKUP($D25,PROCESSO!$B:$P,Q$8,FALSE)/24)+($A$8/24)+Q25,"")</f>
        <v>0.72291666666666665</v>
      </c>
      <c r="S25" s="45">
        <f>IFERROR(IFERROR(VLOOKUP(D25,PROCESSO!B:P,15,FALSE),"")/SUMIFS(C:C,A:A,A25),"")</f>
        <v>9.6719664931963862</v>
      </c>
      <c r="T25" s="45">
        <f t="shared" ref="T25:T26" si="6">IFERROR(S25*C25,"")</f>
        <v>23.21271958367133</v>
      </c>
      <c r="U25" s="45">
        <f>IFERROR(VLOOKUP(B25,RECEITAS!A:C,3,FALSE),"")</f>
        <v>2.3235487959442338</v>
      </c>
      <c r="V25" s="45">
        <f>IFERROR((U25+S25)*(1-ANALISE!$I$4),"")</f>
        <v>11.99551528914062</v>
      </c>
      <c r="W25" s="45">
        <f t="shared" ref="W25:W26" si="7">IFERROR(V25*C25,"")</f>
        <v>28.789236693937493</v>
      </c>
    </row>
    <row r="26" spans="1:23" x14ac:dyDescent="0.3">
      <c r="A26">
        <f>Crono_Qui!A24</f>
        <v>12</v>
      </c>
      <c r="B26" t="str">
        <f>Crono_Qui!B24</f>
        <v>CASEIRINHO</v>
      </c>
      <c r="C26" s="17">
        <f>Crono_Qui!C24</f>
        <v>116.88000000000004</v>
      </c>
      <c r="D26" t="str">
        <f>IFERROR(VLOOKUP(B26,RECEITAS!A:C,$D$7,FALSE),"")</f>
        <v>DIRETO</v>
      </c>
      <c r="E26" s="1">
        <f>IFERROR(E25+(VLOOKUP($D26,PROCESSO!$B:$P,AP_CRONO_Qui!E$8,FALSE)/24),"")</f>
        <v>0.28194444444444444</v>
      </c>
      <c r="F26" s="1">
        <f>Crono_Qui!E24</f>
        <v>0.4236111111111111</v>
      </c>
      <c r="G26" s="1">
        <f>IFERROR(IF(F26=0,"",VLOOKUP($D26,PROCESSO!$B:$P,G$8,FALSE)/24)*IFERROR(IF(#REF!&gt;$B$8,ROUNDUP(#REF!/$B$8,0),1),1)+($A$8/24)+F26,"")</f>
        <v>0.4375</v>
      </c>
      <c r="H26" s="1">
        <f t="shared" si="3"/>
        <v>0.4375</v>
      </c>
      <c r="I26" s="1">
        <f>IFERROR(IF(H26=0,"",VLOOKUP($D26,PROCESSO!$B:$P,H$8,FALSE)/24)+($A$8/24)+H26,"")</f>
        <v>0.44097222222222221</v>
      </c>
      <c r="J26" s="1">
        <f>IFERROR(IF(I26=0,"",VLOOKUP($D26,PROCESSO!$B:$P,I$8,FALSE)/24)+($A$8/24)+I26,"")</f>
        <v>0.44930555555555557</v>
      </c>
      <c r="K26" s="1">
        <f>IFERROR(IF(J26=0,"",VLOOKUP($D26,PROCESSO!$B:$P,J$8,FALSE)/24)+($A$8/24)+J26,"")</f>
        <v>0.45763888888888893</v>
      </c>
      <c r="L26" s="1">
        <f>IFERROR(IF(K26=0,"",VLOOKUP($D26,PROCESSO!$B:$P,K$8,FALSE)/24)+($A$8/24)+K26,"")</f>
        <v>0.46111111111111114</v>
      </c>
      <c r="M26" s="1">
        <f>IFERROR(IF(L26=0,"",VLOOKUP($D26,PROCESSO!$B:$P,L$8,FALSE)/24)+($A$8/24)+L26,"")</f>
        <v>0.48888888888888893</v>
      </c>
      <c r="N26" s="1">
        <f>IFERROR(IF(M26=0,"",VLOOKUP($D26,PROCESSO!$B:$P,M$8,FALSE)/24)+($A$8/24)+M26,"")</f>
        <v>0.55486111111111114</v>
      </c>
      <c r="O26" s="1">
        <f>IFERROR(IF(N26=0,"",VLOOKUP($D26,PROCESSO!$B:$P,N$8,FALSE)/24)+($A$8/24)+N26,"")</f>
        <v>0.57916666666666672</v>
      </c>
      <c r="P26" s="1">
        <f>IFERROR(IF(O26=0,"",VLOOKUP($D26,PROCESSO!$B:$P,O$8,FALSE)/24)+($A$8/24)+O26,"")</f>
        <v>0.64513888888888893</v>
      </c>
      <c r="Q26" s="1">
        <f>IFERROR(IF(P26=0,"",VLOOKUP($D26,PROCESSO!$B:$P,P$8,FALSE)/24)+($A$8/24)+P26,"")</f>
        <v>0.67777777777777781</v>
      </c>
      <c r="R26" s="1">
        <f>IFERROR(IF(Q26=0,"",VLOOKUP($D26,PROCESSO!$B:$P,Q$8,FALSE)/24)+($A$8/24)+Q26,"")</f>
        <v>0.72291666666666665</v>
      </c>
      <c r="S26" s="45">
        <f>IFERROR(IFERROR(VLOOKUP(D26,PROCESSO!B:P,15,FALSE),"")/SUMIFS(C:C,A:A,A26),"")</f>
        <v>9.6719664931963862</v>
      </c>
      <c r="T26" s="45">
        <f t="shared" si="6"/>
        <v>1130.459443724794</v>
      </c>
      <c r="U26" s="45">
        <f>IFERROR(VLOOKUP(B26,RECEITAS!A:C,3,FALSE),"")</f>
        <v>2.38</v>
      </c>
      <c r="V26" s="45">
        <f>IFERROR((U26+S26)*(1-ANALISE!$I$4),"")</f>
        <v>12.051966493196385</v>
      </c>
      <c r="W26" s="45">
        <f t="shared" si="7"/>
        <v>1408.6338437247939</v>
      </c>
    </row>
    <row r="27" spans="1:23" x14ac:dyDescent="0.3">
      <c r="A27">
        <f>Crono_Qui!A25</f>
        <v>12</v>
      </c>
      <c r="B27" t="str">
        <f>Crono_Qui!B25</f>
        <v>DONUTS</v>
      </c>
      <c r="C27" s="17">
        <f>Crono_Qui!C25</f>
        <v>-114.48000000000003</v>
      </c>
      <c r="D27" t="str">
        <f>IFERROR(VLOOKUP(B27,RECEITAS!A:C,$D$7,FALSE),"")</f>
        <v>DIRETO</v>
      </c>
      <c r="E27" s="1">
        <f>IFERROR(E26+(VLOOKUP($D27,PROCESSO!$B:$P,AP_CRONO_Qui!E$8,FALSE)/24),"")</f>
        <v>0.28749999999999998</v>
      </c>
      <c r="F27" s="1">
        <f>Crono_Qui!E25</f>
        <v>0.4236111111111111</v>
      </c>
      <c r="G27" s="1">
        <f>IFERROR(IF(F27=0,"",VLOOKUP($D27,PROCESSO!$B:$P,G$8,FALSE)/24)*IFERROR(IF(#REF!&gt;$B$8,ROUNDUP(#REF!/$B$8,0),1),1)+($A$8/24)+F27,"")</f>
        <v>0.4375</v>
      </c>
      <c r="H27" s="1">
        <f t="shared" si="3"/>
        <v>0.4375</v>
      </c>
      <c r="I27" s="1">
        <f>IFERROR(IF(H27=0,"",VLOOKUP($D27,PROCESSO!$B:$P,H$8,FALSE)/24)+($A$8/24)+H27,"")</f>
        <v>0.44097222222222221</v>
      </c>
      <c r="J27" s="1">
        <f>IFERROR(IF(I27=0,"",VLOOKUP($D27,PROCESSO!$B:$P,I$8,FALSE)/24)+($A$8/24)+I27,"")</f>
        <v>0.44930555555555557</v>
      </c>
      <c r="K27" s="1">
        <f>IFERROR(IF(J27=0,"",VLOOKUP($D27,PROCESSO!$B:$P,J$8,FALSE)/24)+($A$8/24)+J27,"")</f>
        <v>0.45763888888888893</v>
      </c>
      <c r="L27" s="1">
        <f>IFERROR(IF(K27=0,"",VLOOKUP($D27,PROCESSO!$B:$P,K$8,FALSE)/24)+($A$8/24)+K27,"")</f>
        <v>0.46111111111111114</v>
      </c>
      <c r="M27" s="1">
        <f>IFERROR(IF(L27=0,"",VLOOKUP($D27,PROCESSO!$B:$P,L$8,FALSE)/24)+($A$8/24)+L27,"")</f>
        <v>0.48888888888888893</v>
      </c>
      <c r="N27" s="1">
        <f>IFERROR(IF(M27=0,"",VLOOKUP($D27,PROCESSO!$B:$P,M$8,FALSE)/24)+($A$8/24)+M27,"")</f>
        <v>0.55486111111111114</v>
      </c>
      <c r="O27" s="1">
        <f>IFERROR(IF(N27=0,"",VLOOKUP($D27,PROCESSO!$B:$P,N$8,FALSE)/24)+($A$8/24)+N27,"")</f>
        <v>0.57916666666666672</v>
      </c>
      <c r="P27" s="1">
        <f>IFERROR(IF(O27=0,"",VLOOKUP($D27,PROCESSO!$B:$P,O$8,FALSE)/24)+($A$8/24)+O27,"")</f>
        <v>0.64513888888888893</v>
      </c>
      <c r="Q27" s="1">
        <f>IFERROR(IF(P27=0,"",VLOOKUP($D27,PROCESSO!$B:$P,P$8,FALSE)/24)+($A$8/24)+P27,"")</f>
        <v>0.67777777777777781</v>
      </c>
      <c r="R27" s="1">
        <f>IFERROR(IF(Q27=0,"",VLOOKUP($D27,PROCESSO!$B:$P,Q$8,FALSE)/24)+($A$8/24)+Q27,"")</f>
        <v>0.72291666666666665</v>
      </c>
      <c r="S27" s="45">
        <f>IFERROR(IFERROR(VLOOKUP(D27,PROCESSO!B:P,15,FALSE),"")/SUMIFS(C:C,A:A,A27),"")</f>
        <v>9.6719664931963862</v>
      </c>
      <c r="T27" s="45">
        <f t="shared" ref="T27:T30" si="8">IFERROR(S27*C27,"")</f>
        <v>-1107.2467241411225</v>
      </c>
      <c r="U27" s="45">
        <f>IFERROR(VLOOKUP(B27,RECEITAS!A:C,3,FALSE),"")</f>
        <v>2.3235487959442338</v>
      </c>
      <c r="V27" s="45">
        <f>IFERROR((U27+S27)*(1-ANALISE!$I$4),"")</f>
        <v>11.99551528914062</v>
      </c>
      <c r="W27" s="45">
        <f t="shared" ref="W27:W30" si="9">IFERROR(V27*C27,"")</f>
        <v>-1373.2465903008185</v>
      </c>
    </row>
    <row r="28" spans="1:23" x14ac:dyDescent="0.3">
      <c r="A28">
        <f>Crono_Qui!A26</f>
        <v>12</v>
      </c>
      <c r="B28" t="str">
        <f>Crono_Qui!B26</f>
        <v>CASEIRINHO</v>
      </c>
      <c r="D28" t="str">
        <f>IFERROR(VLOOKUP(B28,RECEITAS!A:C,$D$7,FALSE),"")</f>
        <v>DIRETO</v>
      </c>
      <c r="E28" s="1">
        <f>IFERROR(E27+(VLOOKUP($D28,PROCESSO!$B:$P,AP_CRONO_Qui!E$8,FALSE)/24),"")</f>
        <v>0.29305555555555551</v>
      </c>
      <c r="F28" s="1">
        <f>Crono_Qui!E26</f>
        <v>0.49652777777777773</v>
      </c>
      <c r="G28" s="1">
        <f>IFERROR(IF(F28=0,"",VLOOKUP($D28,PROCESSO!$B:$P,G$8,FALSE)/24)*IFERROR(IF(#REF!&gt;$B$8,ROUNDUP(#REF!/$B$8,0),1),1)+($A$8/24)+F28,"")</f>
        <v>0.51041666666666663</v>
      </c>
      <c r="H28" s="1">
        <f t="shared" si="3"/>
        <v>0.51041666666666663</v>
      </c>
      <c r="I28" s="1">
        <f>IFERROR(IF(H28=0,"",VLOOKUP($D28,PROCESSO!$B:$P,H$8,FALSE)/24)+($A$8/24)+H28,"")</f>
        <v>0.51388888888888884</v>
      </c>
      <c r="J28" s="1">
        <f>IFERROR(IF(I28=0,"",VLOOKUP($D28,PROCESSO!$B:$P,I$8,FALSE)/24)+($A$8/24)+I28,"")</f>
        <v>0.52222222222222214</v>
      </c>
      <c r="K28" s="1">
        <f>IFERROR(IF(J28=0,"",VLOOKUP($D28,PROCESSO!$B:$P,J$8,FALSE)/24)+($A$8/24)+J28,"")</f>
        <v>0.53055555555555545</v>
      </c>
      <c r="L28" s="1">
        <f>IFERROR(IF(K28=0,"",VLOOKUP($D28,PROCESSO!$B:$P,K$8,FALSE)/24)+($A$8/24)+K28,"")</f>
        <v>0.53402777777777766</v>
      </c>
      <c r="M28" s="1">
        <f>IFERROR(IF(L28=0,"",VLOOKUP($D28,PROCESSO!$B:$P,L$8,FALSE)/24)+($A$8/24)+L28,"")</f>
        <v>0.56180555555555545</v>
      </c>
      <c r="N28" s="1">
        <f>IFERROR(IF(M28=0,"",VLOOKUP($D28,PROCESSO!$B:$P,M$8,FALSE)/24)+($A$8/24)+M28,"")</f>
        <v>0.62777777777777766</v>
      </c>
      <c r="O28" s="1">
        <f>IFERROR(IF(N28=0,"",VLOOKUP($D28,PROCESSO!$B:$P,N$8,FALSE)/24)+($A$8/24)+N28,"")</f>
        <v>0.65208333333333324</v>
      </c>
      <c r="P28" s="1">
        <f>IFERROR(IF(O28=0,"",VLOOKUP($D28,PROCESSO!$B:$P,O$8,FALSE)/24)+($A$8/24)+O28,"")</f>
        <v>0.71805555555555545</v>
      </c>
      <c r="Q28" s="1">
        <f>IFERROR(IF(P28=0,"",VLOOKUP($D28,PROCESSO!$B:$P,P$8,FALSE)/24)+($A$8/24)+P28,"")</f>
        <v>0.75069444444444433</v>
      </c>
      <c r="R28" s="1">
        <f>IFERROR(IF(Q28=0,"",VLOOKUP($D28,PROCESSO!$B:$P,Q$8,FALSE)/24)+($A$8/24)+Q28,"")</f>
        <v>0.79583333333333317</v>
      </c>
      <c r="S28" s="45">
        <f>IFERROR(IFERROR(VLOOKUP(D28,PROCESSO!B:P,15,FALSE),"")/SUMIFS(C:C,A:A,A28),"")</f>
        <v>9.6719664931963862</v>
      </c>
      <c r="T28" s="45">
        <f t="shared" si="8"/>
        <v>0</v>
      </c>
      <c r="U28" s="45">
        <f>IFERROR(VLOOKUP(B28,RECEITAS!A:C,3,FALSE),"")</f>
        <v>2.38</v>
      </c>
      <c r="V28" s="45">
        <f>IFERROR((U28+S28)*(1-ANALISE!$I$4),"")</f>
        <v>12.051966493196385</v>
      </c>
      <c r="W28" s="45">
        <f t="shared" si="9"/>
        <v>0</v>
      </c>
    </row>
    <row r="29" spans="1:23" x14ac:dyDescent="0.3">
      <c r="B29">
        <f>Crono_Qui!B27</f>
        <v>0</v>
      </c>
      <c r="D29" t="str">
        <f>IFERROR(VLOOKUP(B29,RECEITAS!A:C,$D$7,FALSE),"")</f>
        <v/>
      </c>
      <c r="E29" s="1" t="str">
        <f>IFERROR(E28+(VLOOKUP($D29,PROCESSO!$B:$P,AP_CRONO_Qui!E$8,FALSE)/24),"")</f>
        <v/>
      </c>
      <c r="F29" s="1">
        <f>Crono_Qui!E27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8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9"/>
        <v/>
      </c>
    </row>
    <row r="30" spans="1:23" x14ac:dyDescent="0.3">
      <c r="B30">
        <f>Crono_Qui!B28</f>
        <v>0</v>
      </c>
      <c r="D30" t="str">
        <f>IFERROR(VLOOKUP(B30,RECEITAS!A:C,$D$7,FALSE),"")</f>
        <v/>
      </c>
      <c r="E30" s="1" t="str">
        <f>IFERROR(E29+(VLOOKUP($D30,PROCESSO!$B:$P,AP_CRONO_Qui!E$8,FALSE)/24),"")</f>
        <v/>
      </c>
      <c r="F30" s="1">
        <f>Crono_Qui!E28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8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9"/>
        <v/>
      </c>
    </row>
    <row r="31" spans="1:23" x14ac:dyDescent="0.3">
      <c r="F31" s="1">
        <f>Crono_Qui!E29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3">
      <c r="F32" s="1">
        <f>Crono_Qui!E30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6:23" x14ac:dyDescent="0.3">
      <c r="F33" s="1">
        <f>Crono_Qui!E31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</sheetData>
  <autoFilter ref="A9:D21" xr:uid="{D32E1E30-A861-4D7C-8BD9-A3AF5BE20E6F}">
    <sortState ref="A10:D21">
      <sortCondition ref="B9"/>
    </sortState>
  </autoFilter>
  <conditionalFormatting sqref="S10:S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:S3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6BD6-22BA-4C58-BA20-21B33FC02BB6}">
  <sheetPr codeName="Planilha14"/>
  <dimension ref="A2:W133"/>
  <sheetViews>
    <sheetView zoomScaleNormal="100" workbookViewId="0">
      <selection activeCell="E21" sqref="E21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5" max="16" width="7.6640625" customWidth="1"/>
    <col min="17" max="17" width="15.88671875" bestFit="1" customWidth="1"/>
    <col min="18" max="18" width="7.6640625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ht="23.4" x14ac:dyDescent="0.45">
      <c r="Q2" s="48">
        <v>0.35085648148148146</v>
      </c>
      <c r="V2" s="1"/>
    </row>
    <row r="7" spans="1:23" x14ac:dyDescent="0.3">
      <c r="A7" t="s">
        <v>69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</row>
    <row r="9" spans="1:23" s="22" customFormat="1" ht="28.2" customHeight="1" x14ac:dyDescent="0.3">
      <c r="A9" s="22" t="s">
        <v>68</v>
      </c>
      <c r="B9" s="22" t="s">
        <v>19</v>
      </c>
      <c r="E9" s="23" t="s">
        <v>1</v>
      </c>
      <c r="F9" s="34" t="s">
        <v>78</v>
      </c>
      <c r="G9" s="34" t="s">
        <v>79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80</v>
      </c>
      <c r="R9" s="23" t="s">
        <v>81</v>
      </c>
      <c r="S9" s="22" t="s">
        <v>100</v>
      </c>
      <c r="T9" s="22" t="s">
        <v>101</v>
      </c>
      <c r="U9" s="22" t="s">
        <v>102</v>
      </c>
      <c r="V9" s="22" t="s">
        <v>103</v>
      </c>
      <c r="W9" s="22" t="s">
        <v>104</v>
      </c>
    </row>
    <row r="10" spans="1:23" x14ac:dyDescent="0.3">
      <c r="A10">
        <f>Crono_Sex!A8</f>
        <v>1</v>
      </c>
      <c r="B10" t="str">
        <f>Crono_Sex!B8</f>
        <v>AMANTEIGADO</v>
      </c>
      <c r="C10" s="17">
        <f>Crono_Sex!C8</f>
        <v>20.3</v>
      </c>
      <c r="D10" t="str">
        <f>IFERROR(VLOOKUP(B10,RECEITAS!A:C,$D$7,FALSE),"")</f>
        <v>DIRETO</v>
      </c>
      <c r="E10" s="1">
        <f>IFERROR(D8+(VLOOKUP($D10,PROCESSO!$B:$P,AP_CRONO_Sex!E$8,FALSE)/24),"")</f>
        <v>0.19305555555555556</v>
      </c>
      <c r="F10" s="1">
        <f>Crono_Sex!E8</f>
        <v>0.21180555555555555</v>
      </c>
      <c r="G10" s="1">
        <f>IFERROR(IF(F10=0,"",VLOOKUP($D10,PROCESSO!$B:$P,G$8,FALSE)/24)*IFERROR(IF(#REF!&gt;$B$8,ROUNDUP(#REF!/$B$8,0),1),1)+($A$8/24)+F10,"")</f>
        <v>0.22569444444444445</v>
      </c>
      <c r="H10" s="1">
        <f>G10</f>
        <v>0.22569444444444445</v>
      </c>
      <c r="I10" s="1">
        <f>IFERROR(IF(H10=0,"",VLOOKUP($D10,PROCESSO!$B:$P,H$8,FALSE)/24)+($A$8/24)+H10,"")</f>
        <v>0.22916666666666666</v>
      </c>
      <c r="J10" s="1">
        <f>IFERROR(IF(I10=0,"",VLOOKUP($D10,PROCESSO!$B:$P,I$8,FALSE)/24)+($A$8/24)+I10,"")</f>
        <v>0.23749999999999999</v>
      </c>
      <c r="K10" s="1">
        <f>IFERROR(IF(J10=0,"",VLOOKUP($D10,PROCESSO!$B:$P,J$8,FALSE)/24)+($A$8/24)+J10,"")</f>
        <v>0.24583333333333332</v>
      </c>
      <c r="L10" s="1">
        <f>IFERROR(IF(K10=0,"",VLOOKUP($D10,PROCESSO!$B:$P,K$8,FALSE)/24)+($A$8/24)+K10,"")</f>
        <v>0.24930555555555553</v>
      </c>
      <c r="M10" s="1">
        <f>IFERROR(IF(L10=0,"",VLOOKUP($D10,PROCESSO!$B:$P,L$8,FALSE)/24)+($A$8/24)+L10,"")</f>
        <v>0.27708333333333329</v>
      </c>
      <c r="N10" s="1">
        <f>IFERROR(IF(M10=0,"",VLOOKUP($D10,PROCESSO!$B:$P,M$8,FALSE)/24)+($A$8/24)+M10,"")</f>
        <v>0.3430555555555555</v>
      </c>
      <c r="O10" s="1">
        <f>IFERROR(IF(N10=0,"",VLOOKUP($D10,PROCESSO!$B:$P,N$8,FALSE)/24)+($A$8/24)+N10,"")</f>
        <v>0.36736111111111103</v>
      </c>
      <c r="P10" s="1">
        <f>IFERROR(IF(O10=0,"",VLOOKUP($D10,PROCESSO!$B:$P,O$8,FALSE)/24)+($A$8/24)+O10,"")</f>
        <v>0.43333333333333324</v>
      </c>
      <c r="Q10" s="1">
        <f>IFERROR(IF(P10=0,"",VLOOKUP($D10,PROCESSO!$B:$P,P$8,FALSE)/24)+($A$8/24)+P10,"")</f>
        <v>0.46597222222222212</v>
      </c>
      <c r="R10" s="1">
        <f>IFERROR(IF(Q10=0,"",VLOOKUP($D10,PROCESSO!$B:$P,Q$8,FALSE)/24)+($A$8/24)+Q10,"")</f>
        <v>0.51111111111111096</v>
      </c>
      <c r="S10" s="45">
        <f>IFERROR(IFERROR(VLOOKUP(D10,PROCESSO!B:P,15,FALSE),"")/SUMIFS(C:C,A:A,A10),"")</f>
        <v>2.2869674466671315</v>
      </c>
      <c r="T10" s="45">
        <f>IFERROR(S10*C10,"")</f>
        <v>46.425439167342773</v>
      </c>
      <c r="U10" s="45">
        <f>IFERROR(VLOOKUP(B10,RECEITAS!A:C,3,FALSE),"")</f>
        <v>1.8031880400301454</v>
      </c>
      <c r="V10" s="45">
        <f>IFERROR((U10+S10)*(1-ANALISE!$I$4),"")</f>
        <v>4.0901554866972774</v>
      </c>
      <c r="W10" s="45">
        <f>IFERROR(V10*C10,"")</f>
        <v>83.030156379954732</v>
      </c>
    </row>
    <row r="11" spans="1:23" x14ac:dyDescent="0.3">
      <c r="A11">
        <f>Crono_Sex!A9</f>
        <v>2</v>
      </c>
      <c r="B11" t="str">
        <f>Crono_Sex!B9</f>
        <v>AUSTRALIANO</v>
      </c>
      <c r="C11" s="17">
        <f>Crono_Sex!C9</f>
        <v>37.880000000000003</v>
      </c>
      <c r="D11" t="str">
        <f>IFERROR(VLOOKUP(B11,RECEITAS!A:C,$D$7,FALSE),"")</f>
        <v>DIRETO</v>
      </c>
      <c r="E11" s="1">
        <f>IFERROR(E10+(VLOOKUP($D11,PROCESSO!$B:$P,AP_CRONO_Sex!E$8,FALSE)/24),"")</f>
        <v>0.19861111111111113</v>
      </c>
      <c r="F11" s="1">
        <f>Crono_Sex!E9</f>
        <v>0.22222222222222221</v>
      </c>
      <c r="G11" s="1">
        <f>IFERROR(IF(F11=0,"",VLOOKUP($D11,PROCESSO!$B:$P,G$8,FALSE)/24)*IFERROR(IF(#REF!&gt;$B$8,ROUNDUP(#REF!/$B$8,0),1),1)+($A$8/24)+F11,"")</f>
        <v>0.2361111111111111</v>
      </c>
      <c r="H11" s="1">
        <f t="shared" ref="H11:H28" si="0">G11</f>
        <v>0.2361111111111111</v>
      </c>
      <c r="I11" s="1">
        <f>IFERROR(IF(H11=0,"",VLOOKUP($D11,PROCESSO!$B:$P,H$8,FALSE)/24)+($A$8/24)+H11,"")</f>
        <v>0.23958333333333331</v>
      </c>
      <c r="J11" s="1">
        <f>IFERROR(IF(I11=0,"",VLOOKUP($D11,PROCESSO!$B:$P,I$8,FALSE)/24)+($A$8/24)+I11,"")</f>
        <v>0.24791666666666665</v>
      </c>
      <c r="K11" s="1">
        <f>IFERROR(IF(J11=0,"",VLOOKUP($D11,PROCESSO!$B:$P,J$8,FALSE)/24)+($A$8/24)+J11,"")</f>
        <v>0.25624999999999998</v>
      </c>
      <c r="L11" s="1">
        <f>IFERROR(IF(K11=0,"",VLOOKUP($D11,PROCESSO!$B:$P,K$8,FALSE)/24)+($A$8/24)+K11,"")</f>
        <v>0.25972222222222219</v>
      </c>
      <c r="M11" s="1">
        <f>IFERROR(IF(L11=0,"",VLOOKUP($D11,PROCESSO!$B:$P,L$8,FALSE)/24)+($A$8/24)+L11,"")</f>
        <v>0.28749999999999998</v>
      </c>
      <c r="N11" s="1">
        <f>IFERROR(IF(M11=0,"",VLOOKUP($D11,PROCESSO!$B:$P,M$8,FALSE)/24)+($A$8/24)+M11,"")</f>
        <v>0.35347222222222219</v>
      </c>
      <c r="O11" s="1">
        <f>IFERROR(IF(N11=0,"",VLOOKUP($D11,PROCESSO!$B:$P,N$8,FALSE)/24)+($A$8/24)+N11,"")</f>
        <v>0.37777777777777777</v>
      </c>
      <c r="P11" s="1">
        <f>IFERROR(IF(O11=0,"",VLOOKUP($D11,PROCESSO!$B:$P,O$8,FALSE)/24)+($A$8/24)+O11,"")</f>
        <v>0.44374999999999998</v>
      </c>
      <c r="Q11" s="1">
        <f>IFERROR(IF(P11=0,"",VLOOKUP($D11,PROCESSO!$B:$P,P$8,FALSE)/24)+($A$8/24)+P11,"")</f>
        <v>0.47638888888888886</v>
      </c>
      <c r="R11" s="1">
        <f>IFERROR(IF(Q11=0,"",VLOOKUP($D11,PROCESSO!$B:$P,Q$8,FALSE)/24)+($A$8/24)+Q11,"")</f>
        <v>0.5215277777777777</v>
      </c>
      <c r="S11" s="45">
        <f>IFERROR(IFERROR(VLOOKUP(D11,PROCESSO!B:P,15,FALSE),"")/SUMIFS(C:C,A:A,A11),"")</f>
        <v>1.2255923750618469</v>
      </c>
      <c r="T11" s="45">
        <f t="shared" ref="T11:T28" si="1">IFERROR(S11*C11,"")</f>
        <v>46.425439167342766</v>
      </c>
      <c r="U11" s="45">
        <f>IFERROR(VLOOKUP(B11,RECEITAS!A:C,3,FALSE),"")</f>
        <v>2.4</v>
      </c>
      <c r="V11" s="45">
        <f>IFERROR((U11+S11)*(1-ANALISE!$I$4),"")</f>
        <v>3.6255923750618466</v>
      </c>
      <c r="W11" s="45">
        <f t="shared" ref="W11:W28" si="2">IFERROR(V11*C11,"")</f>
        <v>137.33743916734275</v>
      </c>
    </row>
    <row r="12" spans="1:23" x14ac:dyDescent="0.3">
      <c r="A12">
        <f>Crono_Sex!A10</f>
        <v>3</v>
      </c>
      <c r="B12" t="str">
        <f>Crono_Sex!B10</f>
        <v>PÃO BAIANO</v>
      </c>
      <c r="C12" s="17">
        <f>Crono_Sex!C10</f>
        <v>2.6</v>
      </c>
      <c r="D12" t="str">
        <f>IFERROR(VLOOKUP(B12,RECEITAS!A:C,$D$7,FALSE),"")</f>
        <v>RÚSTICO</v>
      </c>
      <c r="E12" s="1">
        <f>IFERROR(E11+(VLOOKUP($D12,PROCESSO!$B:$P,AP_CRONO_Sex!E$8,FALSE)/24),"")</f>
        <v>0.20416666666666669</v>
      </c>
      <c r="F12" s="1">
        <f>Crono_Sex!E10</f>
        <v>0.2298611111111111</v>
      </c>
      <c r="G12" s="1">
        <f>IFERROR(IF(F12=0,"",VLOOKUP($D12,PROCESSO!$B:$P,G$8,FALSE)/24)*IFERROR(IF(#REF!&gt;$B$8,ROUNDUP(#REF!/$B$8,0),1),1)+($A$8/24)+F12,"")</f>
        <v>0.24374999999999999</v>
      </c>
      <c r="H12" s="1">
        <f t="shared" si="0"/>
        <v>0.24374999999999999</v>
      </c>
      <c r="I12" s="1">
        <f>IFERROR(IF(H12=0,"",VLOOKUP($D12,PROCESSO!$B:$P,H$8,FALSE)/24)+($A$8/24)+H12,"")</f>
        <v>0.2472222222222222</v>
      </c>
      <c r="J12" s="1">
        <f>IFERROR(IF(I12=0,"",VLOOKUP($D12,PROCESSO!$B:$P,I$8,FALSE)/24)+($A$8/24)+I12,"")</f>
        <v>0.29236111111111107</v>
      </c>
      <c r="K12" s="1">
        <f>IFERROR(IF(J12=0,"",VLOOKUP($D12,PROCESSO!$B:$P,J$8,FALSE)/24)+($A$8/24)+J12,"")</f>
        <v>0.31319444444444439</v>
      </c>
      <c r="L12" s="1">
        <f>IFERROR(IF(K12=0,"",VLOOKUP($D12,PROCESSO!$B:$P,K$8,FALSE)/24)+($A$8/24)+K12,"")</f>
        <v>0.34444444444444439</v>
      </c>
      <c r="M12" s="1">
        <f>IFERROR(IF(L12=0,"",VLOOKUP($D12,PROCESSO!$B:$P,L$8,FALSE)/24)+($A$8/24)+L12,"")</f>
        <v>0.3652777777777777</v>
      </c>
      <c r="N12" s="1">
        <f>IFERROR(IF(M12=0,"",VLOOKUP($D12,PROCESSO!$B:$P,M$8,FALSE)/24)+($A$8/24)+M12,"")</f>
        <v>0.4104166666666666</v>
      </c>
      <c r="O12" s="1">
        <f>IFERROR(IF(N12=0,"",VLOOKUP($D12,PROCESSO!$B:$P,N$8,FALSE)/24)+($A$8/24)+N12,"")</f>
        <v>0.4416666666666666</v>
      </c>
      <c r="P12" s="1">
        <f>IFERROR(IF(O12=0,"",VLOOKUP($D12,PROCESSO!$B:$P,O$8,FALSE)/24)+($A$8/24)+O12,"")</f>
        <v>0.50763888888888886</v>
      </c>
      <c r="Q12" s="1">
        <f>IFERROR(IF(P12=0,"",VLOOKUP($D12,PROCESSO!$B:$P,P$8,FALSE)/24)+($A$8/24)+P12,"")</f>
        <v>0.51111111111111107</v>
      </c>
      <c r="R12" s="1">
        <f>IFERROR(IF(Q12=0,"",VLOOKUP($D12,PROCESSO!$B:$P,Q$8,FALSE)/24)+($A$8/24)+Q12,"")</f>
        <v>0.55624999999999991</v>
      </c>
      <c r="S12" s="45">
        <f>IFERROR(IFERROR(VLOOKUP(D12,PROCESSO!B:P,15,FALSE),"")/SUMIFS(C:C,A:A,A12),"")</f>
        <v>1.0917877746571536</v>
      </c>
      <c r="T12" s="45">
        <f t="shared" si="1"/>
        <v>2.8386482141085994</v>
      </c>
      <c r="U12" s="45">
        <f>IFERROR(VLOOKUP(B12,RECEITAS!A:C,3,FALSE),"")</f>
        <v>2.4490459229898076</v>
      </c>
      <c r="V12" s="45">
        <f>IFERROR((U12+S12)*(1-ANALISE!$I$4),"")</f>
        <v>3.5408336976469612</v>
      </c>
      <c r="W12" s="45">
        <f t="shared" si="2"/>
        <v>9.2061676138820996</v>
      </c>
    </row>
    <row r="13" spans="1:23" x14ac:dyDescent="0.3">
      <c r="A13">
        <f>Crono_Sex!A11</f>
        <v>3</v>
      </c>
      <c r="B13" t="str">
        <f>Crono_Sex!B11</f>
        <v>BAG. FRANCESA</v>
      </c>
      <c r="C13" s="17">
        <f>Crono_Sex!C11</f>
        <v>34.4</v>
      </c>
      <c r="D13" t="str">
        <f>IFERROR(VLOOKUP(B13,RECEITAS!A:C,$D$7,FALSE),"")</f>
        <v>RÚSTICO</v>
      </c>
      <c r="E13" s="1">
        <f>IFERROR(E12+(VLOOKUP($D13,PROCESSO!$B:$P,AP_CRONO_Sex!E$8,FALSE)/24),"")</f>
        <v>0.20972222222222225</v>
      </c>
      <c r="F13" s="1">
        <f>Crono_Sex!E11</f>
        <v>0.23611111111111113</v>
      </c>
      <c r="G13" s="1">
        <f>IFERROR(IF(F13=0,"",VLOOKUP($D13,PROCESSO!$B:$P,G$8,FALSE)/24)*IFERROR(IF(#REF!&gt;$B$8,ROUNDUP(#REF!/$B$8,0),1),1)+($A$8/24)+F13,"")</f>
        <v>0.25</v>
      </c>
      <c r="H13" s="1">
        <f t="shared" si="0"/>
        <v>0.25</v>
      </c>
      <c r="I13" s="1">
        <f>IFERROR(IF(H13=0,"",VLOOKUP($D13,PROCESSO!$B:$P,H$8,FALSE)/24)+($A$8/24)+H13,"")</f>
        <v>0.25347222222222221</v>
      </c>
      <c r="J13" s="1">
        <f>IFERROR(IF(I13=0,"",VLOOKUP($D13,PROCESSO!$B:$P,I$8,FALSE)/24)+($A$8/24)+I13,"")</f>
        <v>0.2986111111111111</v>
      </c>
      <c r="K13" s="1">
        <f>IFERROR(IF(J13=0,"",VLOOKUP($D13,PROCESSO!$B:$P,J$8,FALSE)/24)+($A$8/24)+J13,"")</f>
        <v>0.31944444444444442</v>
      </c>
      <c r="L13" s="1">
        <f>IFERROR(IF(K13=0,"",VLOOKUP($D13,PROCESSO!$B:$P,K$8,FALSE)/24)+($A$8/24)+K13,"")</f>
        <v>0.35069444444444442</v>
      </c>
      <c r="M13" s="1">
        <f>IFERROR(IF(L13=0,"",VLOOKUP($D13,PROCESSO!$B:$P,L$8,FALSE)/24)+($A$8/24)+L13,"")</f>
        <v>0.37152777777777773</v>
      </c>
      <c r="N13" s="1">
        <f>IFERROR(IF(M13=0,"",VLOOKUP($D13,PROCESSO!$B:$P,M$8,FALSE)/24)+($A$8/24)+M13,"")</f>
        <v>0.41666666666666663</v>
      </c>
      <c r="O13" s="1">
        <f>IFERROR(IF(N13=0,"",VLOOKUP($D13,PROCESSO!$B:$P,N$8,FALSE)/24)+($A$8/24)+N13,"")</f>
        <v>0.44791666666666663</v>
      </c>
      <c r="P13" s="1">
        <f>IFERROR(IF(O13=0,"",VLOOKUP($D13,PROCESSO!$B:$P,O$8,FALSE)/24)+($A$8/24)+O13,"")</f>
        <v>0.51388888888888884</v>
      </c>
      <c r="Q13" s="1">
        <f>IFERROR(IF(P13=0,"",VLOOKUP($D13,PROCESSO!$B:$P,P$8,FALSE)/24)+($A$8/24)+P13,"")</f>
        <v>0.51736111111111105</v>
      </c>
      <c r="R13" s="1">
        <f>IFERROR(IF(Q13=0,"",VLOOKUP($D13,PROCESSO!$B:$P,Q$8,FALSE)/24)+($A$8/24)+Q13,"")</f>
        <v>0.56249999999999989</v>
      </c>
      <c r="S13" s="45">
        <f>IFERROR(IFERROR(VLOOKUP(D13,PROCESSO!B:P,15,FALSE),"")/SUMIFS(C:C,A:A,A13),"")</f>
        <v>1.0917877746571536</v>
      </c>
      <c r="T13" s="45">
        <f t="shared" si="1"/>
        <v>37.55749944820608</v>
      </c>
      <c r="U13" s="45">
        <f>IFERROR(VLOOKUP(B13,RECEITAS!A:C,3,FALSE),"")</f>
        <v>2.206347678369196</v>
      </c>
      <c r="V13" s="45">
        <f>IFERROR((U13+S13)*(1-ANALISE!$I$4),"")</f>
        <v>3.2981354530263496</v>
      </c>
      <c r="W13" s="45">
        <f t="shared" si="2"/>
        <v>113.45585958410642</v>
      </c>
    </row>
    <row r="14" spans="1:23" x14ac:dyDescent="0.3">
      <c r="A14">
        <f>Crono_Sex!A12</f>
        <v>3</v>
      </c>
      <c r="B14" t="str">
        <f>Crono_Sex!B12</f>
        <v>P. AO LEVAIN</v>
      </c>
      <c r="C14" s="17">
        <f>Crono_Sex!C12</f>
        <v>8.25</v>
      </c>
      <c r="D14" t="str">
        <f>IFERROR(VLOOKUP(B14,RECEITAS!A:C,$D$7,FALSE),"")</f>
        <v>RÚSTICO</v>
      </c>
      <c r="E14" s="1">
        <f>IFERROR(E13+(VLOOKUP($D14,PROCESSO!$B:$P,AP_CRONO_Sex!E$8,FALSE)/24),"")</f>
        <v>0.21527777777777782</v>
      </c>
      <c r="F14" s="1">
        <f>Crono_Sex!E12</f>
        <v>0.23611111111111113</v>
      </c>
      <c r="G14" s="1">
        <f>IFERROR(IF(F14=0,"",VLOOKUP($D14,PROCESSO!$B:$P,G$8,FALSE)/24)*IFERROR(IF(#REF!&gt;$B$8,ROUNDUP(#REF!/$B$8,0),1),1)+($A$8/24)+F14,"")</f>
        <v>0.25</v>
      </c>
      <c r="H14" s="1">
        <f t="shared" si="0"/>
        <v>0.25</v>
      </c>
      <c r="I14" s="1">
        <f>IFERROR(IF(H14=0,"",VLOOKUP($D14,PROCESSO!$B:$P,H$8,FALSE)/24)+($A$8/24)+H14,"")</f>
        <v>0.25347222222222221</v>
      </c>
      <c r="J14" s="1">
        <f>IFERROR(IF(I14=0,"",VLOOKUP($D14,PROCESSO!$B:$P,I$8,FALSE)/24)+($A$8/24)+I14,"")</f>
        <v>0.2986111111111111</v>
      </c>
      <c r="K14" s="1">
        <f>IFERROR(IF(J14=0,"",VLOOKUP($D14,PROCESSO!$B:$P,J$8,FALSE)/24)+($A$8/24)+J14,"")</f>
        <v>0.31944444444444442</v>
      </c>
      <c r="L14" s="1">
        <f>IFERROR(IF(K14=0,"",VLOOKUP($D14,PROCESSO!$B:$P,K$8,FALSE)/24)+($A$8/24)+K14,"")</f>
        <v>0.35069444444444442</v>
      </c>
      <c r="M14" s="1">
        <f>IFERROR(IF(L14=0,"",VLOOKUP($D14,PROCESSO!$B:$P,L$8,FALSE)/24)+($A$8/24)+L14,"")</f>
        <v>0.37152777777777773</v>
      </c>
      <c r="N14" s="1">
        <f>IFERROR(IF(M14=0,"",VLOOKUP($D14,PROCESSO!$B:$P,M$8,FALSE)/24)+($A$8/24)+M14,"")</f>
        <v>0.41666666666666663</v>
      </c>
      <c r="O14" s="1">
        <f>IFERROR(IF(N14=0,"",VLOOKUP($D14,PROCESSO!$B:$P,N$8,FALSE)/24)+($A$8/24)+N14,"")</f>
        <v>0.44791666666666663</v>
      </c>
      <c r="P14" s="1">
        <f>IFERROR(IF(O14=0,"",VLOOKUP($D14,PROCESSO!$B:$P,O$8,FALSE)/24)+($A$8/24)+O14,"")</f>
        <v>0.51388888888888884</v>
      </c>
      <c r="Q14" s="1">
        <f>IFERROR(IF(P14=0,"",VLOOKUP($D14,PROCESSO!$B:$P,P$8,FALSE)/24)+($A$8/24)+P14,"")</f>
        <v>0.51736111111111105</v>
      </c>
      <c r="R14" s="1">
        <f>IFERROR(IF(Q14=0,"",VLOOKUP($D14,PROCESSO!$B:$P,Q$8,FALSE)/24)+($A$8/24)+Q14,"")</f>
        <v>0.56249999999999989</v>
      </c>
      <c r="S14" s="45">
        <f>IFERROR(IFERROR(VLOOKUP(D14,PROCESSO!B:P,15,FALSE),"")/SUMIFS(C:C,A:A,A14),"")</f>
        <v>1.0917877746571536</v>
      </c>
      <c r="T14" s="45">
        <f t="shared" si="1"/>
        <v>9.0072491409215178</v>
      </c>
      <c r="U14" s="45">
        <f>IFERROR(VLOOKUP(B14,RECEITAS!A:C,3,FALSE),"")</f>
        <v>2.3235487959442338</v>
      </c>
      <c r="V14" s="45">
        <f>IFERROR((U14+S14)*(1-ANALISE!$I$4),"")</f>
        <v>3.4153365706013874</v>
      </c>
      <c r="W14" s="45">
        <f t="shared" si="2"/>
        <v>28.176526707461445</v>
      </c>
    </row>
    <row r="15" spans="1:23" x14ac:dyDescent="0.3">
      <c r="A15">
        <f>Crono_Sex!A13</f>
        <v>4</v>
      </c>
      <c r="B15" t="str">
        <f>Crono_Sex!B13</f>
        <v>PH MALTE AROMA CARAMEL CACAU</v>
      </c>
      <c r="C15" s="17">
        <f>Crono_Sex!C13</f>
        <v>3.0000000000000004</v>
      </c>
      <c r="D15" t="str">
        <f>IFERROR(VLOOKUP(B15,RECEITAS!A:C,$D$7,FALSE),"")</f>
        <v>DIRETO</v>
      </c>
      <c r="E15" s="1">
        <f>IFERROR(E14+(VLOOKUP($D15,PROCESSO!$B:$P,AP_CRONO_Sex!E$8,FALSE)/24),"")</f>
        <v>0.22083333333333338</v>
      </c>
      <c r="F15" s="1">
        <f>Crono_Sex!E13</f>
        <v>0.25555555555555559</v>
      </c>
      <c r="G15" s="1">
        <f>IFERROR(IF(F15=0,"",VLOOKUP($D15,PROCESSO!$B:$P,G$8,FALSE)/24)*IFERROR(IF(#REF!&gt;$B$8,ROUNDUP(#REF!/$B$8,0),1),1)+($A$8/24)+F15,"")</f>
        <v>0.26944444444444449</v>
      </c>
      <c r="H15" s="1">
        <f t="shared" si="0"/>
        <v>0.26944444444444449</v>
      </c>
      <c r="I15" s="1">
        <f>IFERROR(IF(H15=0,"",VLOOKUP($D15,PROCESSO!$B:$P,H$8,FALSE)/24)+($A$8/24)+H15,"")</f>
        <v>0.2729166666666667</v>
      </c>
      <c r="J15" s="1">
        <f>IFERROR(IF(I15=0,"",VLOOKUP($D15,PROCESSO!$B:$P,I$8,FALSE)/24)+($A$8/24)+I15,"")</f>
        <v>0.28125000000000006</v>
      </c>
      <c r="K15" s="1">
        <f>IFERROR(IF(J15=0,"",VLOOKUP($D15,PROCESSO!$B:$P,J$8,FALSE)/24)+($A$8/24)+J15,"")</f>
        <v>0.28958333333333341</v>
      </c>
      <c r="L15" s="1">
        <f>IFERROR(IF(K15=0,"",VLOOKUP($D15,PROCESSO!$B:$P,K$8,FALSE)/24)+($A$8/24)+K15,"")</f>
        <v>0.29305555555555562</v>
      </c>
      <c r="M15" s="1">
        <f>IFERROR(IF(L15=0,"",VLOOKUP($D15,PROCESSO!$B:$P,L$8,FALSE)/24)+($A$8/24)+L15,"")</f>
        <v>0.32083333333333341</v>
      </c>
      <c r="N15" s="1">
        <f>IFERROR(IF(M15=0,"",VLOOKUP($D15,PROCESSO!$B:$P,M$8,FALSE)/24)+($A$8/24)+M15,"")</f>
        <v>0.38680555555555562</v>
      </c>
      <c r="O15" s="1">
        <f>IFERROR(IF(N15=0,"",VLOOKUP($D15,PROCESSO!$B:$P,N$8,FALSE)/24)+($A$8/24)+N15,"")</f>
        <v>0.4111111111111112</v>
      </c>
      <c r="P15" s="1">
        <f>IFERROR(IF(O15=0,"",VLOOKUP($D15,PROCESSO!$B:$P,O$8,FALSE)/24)+($A$8/24)+O15,"")</f>
        <v>0.47708333333333341</v>
      </c>
      <c r="Q15" s="1">
        <f>IFERROR(IF(P15=0,"",VLOOKUP($D15,PROCESSO!$B:$P,P$8,FALSE)/24)+($A$8/24)+P15,"")</f>
        <v>0.5097222222222223</v>
      </c>
      <c r="R15" s="1">
        <f>IFERROR(IF(Q15=0,"",VLOOKUP($D15,PROCESSO!$B:$P,Q$8,FALSE)/24)+($A$8/24)+Q15,"")</f>
        <v>0.55486111111111114</v>
      </c>
      <c r="S15" s="45">
        <f>IFERROR(IFERROR(VLOOKUP(D15,PROCESSO!B:P,15,FALSE),"")/SUMIFS(C:C,A:A,A15),"")</f>
        <v>15.475146389114252</v>
      </c>
      <c r="T15" s="45">
        <f t="shared" si="1"/>
        <v>46.425439167342766</v>
      </c>
      <c r="U15" s="45">
        <f>IFERROR(VLOOKUP(B15,RECEITAS!A:C,3,FALSE),"")</f>
        <v>3.802317938072997</v>
      </c>
      <c r="V15" s="45">
        <f>IFERROR((U15+S15)*(1-ANALISE!$I$4),"")</f>
        <v>19.27746432718725</v>
      </c>
      <c r="W15" s="45">
        <f t="shared" si="2"/>
        <v>57.83239298156176</v>
      </c>
    </row>
    <row r="16" spans="1:23" x14ac:dyDescent="0.3">
      <c r="A16">
        <f>Crono_Sex!A14</f>
        <v>5</v>
      </c>
      <c r="B16" t="str">
        <f>Crono_Sex!B14</f>
        <v>BRIOCHE MARGARINA 50% AÇUCAR</v>
      </c>
      <c r="C16" s="17">
        <f>Crono_Sex!C14</f>
        <v>21.000000000000004</v>
      </c>
      <c r="D16" t="str">
        <f>IFERROR(VLOOKUP(B16,RECEITAS!A:C,$D$7,FALSE),"")</f>
        <v>DIRETO</v>
      </c>
      <c r="E16" s="1">
        <f>IFERROR(E15+(VLOOKUP($D16,PROCESSO!$B:$P,AP_CRONO_Sex!E$8,FALSE)/24),"")</f>
        <v>0.22638888888888895</v>
      </c>
      <c r="F16" s="1">
        <f>Crono_Sex!E14</f>
        <v>0.2673611111111111</v>
      </c>
      <c r="G16" s="1">
        <f>IFERROR(IF(F16=0,"",VLOOKUP($D16,PROCESSO!$B:$P,G$8,FALSE)/24)*IFERROR(IF(#REF!&gt;$B$8,ROUNDUP(#REF!/$B$8,0),1),1)+($A$8/24)+F16,"")</f>
        <v>0.28125</v>
      </c>
      <c r="H16" s="1">
        <f t="shared" si="0"/>
        <v>0.28125</v>
      </c>
      <c r="I16" s="1">
        <f>IFERROR(IF(H16=0,"",VLOOKUP($D16,PROCESSO!$B:$P,H$8,FALSE)/24)+($A$8/24)+H16,"")</f>
        <v>0.28472222222222221</v>
      </c>
      <c r="J16" s="1">
        <f>IFERROR(IF(I16=0,"",VLOOKUP($D16,PROCESSO!$B:$P,I$8,FALSE)/24)+($A$8/24)+I16,"")</f>
        <v>0.29305555555555557</v>
      </c>
      <c r="K16" s="1">
        <f>IFERROR(IF(J16=0,"",VLOOKUP($D16,PROCESSO!$B:$P,J$8,FALSE)/24)+($A$8/24)+J16,"")</f>
        <v>0.30138888888888893</v>
      </c>
      <c r="L16" s="1">
        <f>IFERROR(IF(K16=0,"",VLOOKUP($D16,PROCESSO!$B:$P,K$8,FALSE)/24)+($A$8/24)+K16,"")</f>
        <v>0.30486111111111114</v>
      </c>
      <c r="M16" s="1">
        <f>IFERROR(IF(L16=0,"",VLOOKUP($D16,PROCESSO!$B:$P,L$8,FALSE)/24)+($A$8/24)+L16,"")</f>
        <v>0.33263888888888893</v>
      </c>
      <c r="N16" s="1">
        <f>IFERROR(IF(M16=0,"",VLOOKUP($D16,PROCESSO!$B:$P,M$8,FALSE)/24)+($A$8/24)+M16,"")</f>
        <v>0.39861111111111114</v>
      </c>
      <c r="O16" s="1">
        <f>IFERROR(IF(N16=0,"",VLOOKUP($D16,PROCESSO!$B:$P,N$8,FALSE)/24)+($A$8/24)+N16,"")</f>
        <v>0.42291666666666672</v>
      </c>
      <c r="P16" s="1">
        <f>IFERROR(IF(O16=0,"",VLOOKUP($D16,PROCESSO!$B:$P,O$8,FALSE)/24)+($A$8/24)+O16,"")</f>
        <v>0.48888888888888893</v>
      </c>
      <c r="Q16" s="1">
        <f>IFERROR(IF(P16=0,"",VLOOKUP($D16,PROCESSO!$B:$P,P$8,FALSE)/24)+($A$8/24)+P16,"")</f>
        <v>0.52152777777777781</v>
      </c>
      <c r="R16" s="1">
        <f>IFERROR(IF(Q16=0,"",VLOOKUP($D16,PROCESSO!$B:$P,Q$8,FALSE)/24)+($A$8/24)+Q16,"")</f>
        <v>0.56666666666666665</v>
      </c>
      <c r="S16" s="45">
        <f>IFERROR(IFERROR(VLOOKUP(D16,PROCESSO!B:P,15,FALSE),"")/SUMIFS(C:C,A:A,A16),"")</f>
        <v>2.2107351984448931</v>
      </c>
      <c r="T16" s="45">
        <f t="shared" si="1"/>
        <v>46.425439167342759</v>
      </c>
      <c r="U16" s="45">
        <f>IFERROR(VLOOKUP(B16,RECEITAS!A:C,3,FALSE),"")</f>
        <v>2.8814478282576137</v>
      </c>
      <c r="V16" s="45">
        <f>IFERROR((U16+S16)*(1-ANALISE!$I$4),"")</f>
        <v>5.0921830267025072</v>
      </c>
      <c r="W16" s="45">
        <f t="shared" si="2"/>
        <v>106.93584356075267</v>
      </c>
    </row>
    <row r="17" spans="1:23" x14ac:dyDescent="0.3">
      <c r="A17">
        <f>Crono_Sex!A15</f>
        <v>6</v>
      </c>
      <c r="B17" t="str">
        <f>Crono_Sex!B15</f>
        <v>PH VINHEDO</v>
      </c>
      <c r="C17" s="17">
        <f>Crono_Sex!C15</f>
        <v>3.6000000000000005</v>
      </c>
      <c r="D17" t="str">
        <f>IFERROR(VLOOKUP(B17,RECEITAS!A:C,$D$7,FALSE),"")</f>
        <v>DIRETO</v>
      </c>
      <c r="E17" s="1">
        <f>IFERROR(E16+(VLOOKUP($D17,PROCESSO!$B:$P,AP_CRONO_Sex!E$8,FALSE)/24),"")</f>
        <v>0.23194444444444451</v>
      </c>
      <c r="F17" s="1">
        <f>Crono_Sex!E15</f>
        <v>0.27569444444444446</v>
      </c>
      <c r="G17" s="1">
        <f>IFERROR(IF(F17=0,"",VLOOKUP($D17,PROCESSO!$B:$P,G$8,FALSE)/24)*IFERROR(IF(#REF!&gt;$B$8,ROUNDUP(#REF!/$B$8,0),1),1)+($A$8/24)+F17,"")</f>
        <v>0.28958333333333336</v>
      </c>
      <c r="H17" s="1">
        <f t="shared" si="0"/>
        <v>0.28958333333333336</v>
      </c>
      <c r="I17" s="1">
        <f>IFERROR(IF(H17=0,"",VLOOKUP($D17,PROCESSO!$B:$P,H$8,FALSE)/24)+($A$8/24)+H17,"")</f>
        <v>0.29305555555555557</v>
      </c>
      <c r="J17" s="1">
        <f>IFERROR(IF(I17=0,"",VLOOKUP($D17,PROCESSO!$B:$P,I$8,FALSE)/24)+($A$8/24)+I17,"")</f>
        <v>0.30138888888888893</v>
      </c>
      <c r="K17" s="1">
        <f>IFERROR(IF(J17=0,"",VLOOKUP($D17,PROCESSO!$B:$P,J$8,FALSE)/24)+($A$8/24)+J17,"")</f>
        <v>0.30972222222222229</v>
      </c>
      <c r="L17" s="1">
        <f>IFERROR(IF(K17=0,"",VLOOKUP($D17,PROCESSO!$B:$P,K$8,FALSE)/24)+($A$8/24)+K17,"")</f>
        <v>0.3131944444444445</v>
      </c>
      <c r="M17" s="1">
        <f>IFERROR(IF(L17=0,"",VLOOKUP($D17,PROCESSO!$B:$P,L$8,FALSE)/24)+($A$8/24)+L17,"")</f>
        <v>0.34097222222222229</v>
      </c>
      <c r="N17" s="1">
        <f>IFERROR(IF(M17=0,"",VLOOKUP($D17,PROCESSO!$B:$P,M$8,FALSE)/24)+($A$8/24)+M17,"")</f>
        <v>0.4069444444444445</v>
      </c>
      <c r="O17" s="1">
        <f>IFERROR(IF(N17=0,"",VLOOKUP($D17,PROCESSO!$B:$P,N$8,FALSE)/24)+($A$8/24)+N17,"")</f>
        <v>0.43125000000000002</v>
      </c>
      <c r="P17" s="1">
        <f>IFERROR(IF(O17=0,"",VLOOKUP($D17,PROCESSO!$B:$P,O$8,FALSE)/24)+($A$8/24)+O17,"")</f>
        <v>0.49722222222222223</v>
      </c>
      <c r="Q17" s="1">
        <f>IFERROR(IF(P17=0,"",VLOOKUP($D17,PROCESSO!$B:$P,P$8,FALSE)/24)+($A$8/24)+P17,"")</f>
        <v>0.52986111111111112</v>
      </c>
      <c r="R17" s="1">
        <f>IFERROR(IF(Q17=0,"",VLOOKUP($D17,PROCESSO!$B:$P,Q$8,FALSE)/24)+($A$8/24)+Q17,"")</f>
        <v>0.57499999999999996</v>
      </c>
      <c r="S17" s="45">
        <f>IFERROR(IFERROR(VLOOKUP(D17,PROCESSO!B:P,15,FALSE),"")/SUMIFS(C:C,A:A,A17),"")</f>
        <v>12.895955324261877</v>
      </c>
      <c r="T17" s="45">
        <f t="shared" si="1"/>
        <v>46.425439167342766</v>
      </c>
      <c r="U17" s="45">
        <f>IFERROR(VLOOKUP(B17,RECEITAS!A:C,3,FALSE),"")</f>
        <v>4.2629144274493598</v>
      </c>
      <c r="V17" s="45">
        <f>IFERROR((U17+S17)*(1-ANALISE!$I$4),"")</f>
        <v>17.158869751711237</v>
      </c>
      <c r="W17" s="45">
        <f t="shared" si="2"/>
        <v>61.771931106160459</v>
      </c>
    </row>
    <row r="18" spans="1:23" x14ac:dyDescent="0.3">
      <c r="A18">
        <f>Crono_Sex!A16</f>
        <v>7</v>
      </c>
      <c r="B18" t="str">
        <f>Crono_Sex!B16</f>
        <v>BRIOCHE MARGARINA</v>
      </c>
      <c r="C18" s="17">
        <f>Crono_Sex!C16</f>
        <v>13.110000000000001</v>
      </c>
      <c r="D18" t="str">
        <f>IFERROR(VLOOKUP(B18,RECEITAS!A:C,$D$7,FALSE),"")</f>
        <v>DIRETO</v>
      </c>
      <c r="E18" s="1">
        <f>IFERROR(E17+(VLOOKUP($D18,PROCESSO!$B:$P,AP_CRONO_Sex!E$8,FALSE)/24),"")</f>
        <v>0.23750000000000007</v>
      </c>
      <c r="F18" s="1">
        <f>Crono_Sex!E16</f>
        <v>0.30902777777777779</v>
      </c>
      <c r="G18" s="1">
        <f>IFERROR(IF(F18=0,"",VLOOKUP($D18,PROCESSO!$B:$P,G$8,FALSE)/24)*IFERROR(IF(#REF!&gt;$B$8,ROUNDUP(#REF!/$B$8,0),1),1)+($A$8/24)+F18,"")</f>
        <v>0.32291666666666669</v>
      </c>
      <c r="H18" s="1">
        <f t="shared" si="0"/>
        <v>0.32291666666666669</v>
      </c>
      <c r="I18" s="1">
        <f>IFERROR(IF(H18=0,"",VLOOKUP($D18,PROCESSO!$B:$P,H$8,FALSE)/24)+($A$8/24)+H18,"")</f>
        <v>0.3263888888888889</v>
      </c>
      <c r="J18" s="1">
        <f>IFERROR(IF(I18=0,"",VLOOKUP($D18,PROCESSO!$B:$P,I$8,FALSE)/24)+($A$8/24)+I18,"")</f>
        <v>0.33472222222222225</v>
      </c>
      <c r="K18" s="1">
        <f>IFERROR(IF(J18=0,"",VLOOKUP($D18,PROCESSO!$B:$P,J$8,FALSE)/24)+($A$8/24)+J18,"")</f>
        <v>0.34305555555555561</v>
      </c>
      <c r="L18" s="1">
        <f>IFERROR(IF(K18=0,"",VLOOKUP($D18,PROCESSO!$B:$P,K$8,FALSE)/24)+($A$8/24)+K18,"")</f>
        <v>0.34652777777777782</v>
      </c>
      <c r="M18" s="1">
        <f>IFERROR(IF(L18=0,"",VLOOKUP($D18,PROCESSO!$B:$P,L$8,FALSE)/24)+($A$8/24)+L18,"")</f>
        <v>0.37430555555555561</v>
      </c>
      <c r="N18" s="1">
        <f>IFERROR(IF(M18=0,"",VLOOKUP($D18,PROCESSO!$B:$P,M$8,FALSE)/24)+($A$8/24)+M18,"")</f>
        <v>0.44027777777777782</v>
      </c>
      <c r="O18" s="1">
        <f>IFERROR(IF(N18=0,"",VLOOKUP($D18,PROCESSO!$B:$P,N$8,FALSE)/24)+($A$8/24)+N18,"")</f>
        <v>0.46458333333333335</v>
      </c>
      <c r="P18" s="1">
        <f>IFERROR(IF(O18=0,"",VLOOKUP($D18,PROCESSO!$B:$P,O$8,FALSE)/24)+($A$8/24)+O18,"")</f>
        <v>0.53055555555555556</v>
      </c>
      <c r="Q18" s="1">
        <f>IFERROR(IF(P18=0,"",VLOOKUP($D18,PROCESSO!$B:$P,P$8,FALSE)/24)+($A$8/24)+P18,"")</f>
        <v>0.56319444444444444</v>
      </c>
      <c r="R18" s="1">
        <f>IFERROR(IF(Q18=0,"",VLOOKUP($D18,PROCESSO!$B:$P,Q$8,FALSE)/24)+($A$8/24)+Q18,"")</f>
        <v>0.60833333333333328</v>
      </c>
      <c r="S18" s="45">
        <f>IFERROR(IFERROR(VLOOKUP(D18,PROCESSO!B:P,15,FALSE),"")/SUMIFS(C:C,A:A,A18),"")</f>
        <v>0.21939151820491831</v>
      </c>
      <c r="T18" s="45">
        <f t="shared" si="1"/>
        <v>2.8762228036664794</v>
      </c>
      <c r="U18" s="45">
        <f>IFERROR(VLOOKUP(B18,RECEITAS!A:C,3,FALSE),"")</f>
        <v>2.8395295247239574</v>
      </c>
      <c r="V18" s="45">
        <f>IFERROR((U18+S18)*(1-ANALISE!$I$4),"")</f>
        <v>3.0589210429288758</v>
      </c>
      <c r="W18" s="45">
        <f t="shared" si="2"/>
        <v>40.102454872797566</v>
      </c>
    </row>
    <row r="19" spans="1:23" x14ac:dyDescent="0.3">
      <c r="A19">
        <f>Crono_Sex!A17</f>
        <v>7</v>
      </c>
      <c r="B19" t="str">
        <f>Crono_Sex!B17</f>
        <v>CASEIRINHO</v>
      </c>
      <c r="C19" s="17">
        <f>Crono_Sex!C17</f>
        <v>184.62</v>
      </c>
      <c r="D19" t="str">
        <f>IFERROR(VLOOKUP(B19,RECEITAS!A:C,$D$7,FALSE),"")</f>
        <v>DIRETO</v>
      </c>
      <c r="E19" s="1">
        <f>IFERROR(E18+(VLOOKUP($D19,PROCESSO!$B:$P,AP_CRONO_Sex!E$8,FALSE)/24),"")</f>
        <v>0.24305555555555564</v>
      </c>
      <c r="F19" s="1">
        <f>Crono_Sex!E17</f>
        <v>0.3298611111111111</v>
      </c>
      <c r="G19" s="1">
        <f>IFERROR(IF(F19=0,"",VLOOKUP($D19,PROCESSO!$B:$P,G$8,FALSE)/24)*IFERROR(IF(#REF!&gt;$B$8,ROUNDUP(#REF!/$B$8,0),1),1)+($A$8/24)+F19,"")</f>
        <v>0.34375</v>
      </c>
      <c r="H19" s="1">
        <f t="shared" si="0"/>
        <v>0.34375</v>
      </c>
      <c r="I19" s="1">
        <f>IFERROR(IF(H19=0,"",VLOOKUP($D19,PROCESSO!$B:$P,H$8,FALSE)/24)+($A$8/24)+H19,"")</f>
        <v>0.34722222222222221</v>
      </c>
      <c r="J19" s="1">
        <f>IFERROR(IF(I19=0,"",VLOOKUP($D19,PROCESSO!$B:$P,I$8,FALSE)/24)+($A$8/24)+I19,"")</f>
        <v>0.35555555555555557</v>
      </c>
      <c r="K19" s="1">
        <f>IFERROR(IF(J19=0,"",VLOOKUP($D19,PROCESSO!$B:$P,J$8,FALSE)/24)+($A$8/24)+J19,"")</f>
        <v>0.36388888888888893</v>
      </c>
      <c r="L19" s="1">
        <f>IFERROR(IF(K19=0,"",VLOOKUP($D19,PROCESSO!$B:$P,K$8,FALSE)/24)+($A$8/24)+K19,"")</f>
        <v>0.36736111111111114</v>
      </c>
      <c r="M19" s="1">
        <f>IFERROR(IF(L19=0,"",VLOOKUP($D19,PROCESSO!$B:$P,L$8,FALSE)/24)+($A$8/24)+L19,"")</f>
        <v>0.39513888888888893</v>
      </c>
      <c r="N19" s="1">
        <f>IFERROR(IF(M19=0,"",VLOOKUP($D19,PROCESSO!$B:$P,M$8,FALSE)/24)+($A$8/24)+M19,"")</f>
        <v>0.46111111111111114</v>
      </c>
      <c r="O19" s="1">
        <f>IFERROR(IF(N19=0,"",VLOOKUP($D19,PROCESSO!$B:$P,N$8,FALSE)/24)+($A$8/24)+N19,"")</f>
        <v>0.48541666666666672</v>
      </c>
      <c r="P19" s="1">
        <f>IFERROR(IF(O19=0,"",VLOOKUP($D19,PROCESSO!$B:$P,O$8,FALSE)/24)+($A$8/24)+O19,"")</f>
        <v>0.55138888888888893</v>
      </c>
      <c r="Q19" s="1">
        <f>IFERROR(IF(P19=0,"",VLOOKUP($D19,PROCESSO!$B:$P,P$8,FALSE)/24)+($A$8/24)+P19,"")</f>
        <v>0.58402777777777781</v>
      </c>
      <c r="R19" s="1">
        <f>IFERROR(IF(Q19=0,"",VLOOKUP($D19,PROCESSO!$B:$P,Q$8,FALSE)/24)+($A$8/24)+Q19,"")</f>
        <v>0.62916666666666665</v>
      </c>
      <c r="S19" s="45">
        <f>IFERROR(IFERROR(VLOOKUP(D19,PROCESSO!B:P,15,FALSE),"")/SUMIFS(C:C,A:A,A19),"")</f>
        <v>0.21939151820491831</v>
      </c>
      <c r="T19" s="45">
        <f t="shared" si="1"/>
        <v>40.504062090992022</v>
      </c>
      <c r="U19" s="45">
        <f>IFERROR(VLOOKUP(B19,RECEITAS!A:C,3,FALSE),"")</f>
        <v>2.38</v>
      </c>
      <c r="V19" s="45">
        <f>IFERROR((U19+S19)*(1-ANALISE!$I$4),"")</f>
        <v>2.5993915182049183</v>
      </c>
      <c r="W19" s="45">
        <f t="shared" si="2"/>
        <v>479.89966209099202</v>
      </c>
    </row>
    <row r="20" spans="1:23" x14ac:dyDescent="0.3">
      <c r="A20">
        <f>Crono_Sex!A18</f>
        <v>7</v>
      </c>
      <c r="B20" t="str">
        <f>Crono_Sex!B18</f>
        <v>DONUTS</v>
      </c>
      <c r="C20" s="17">
        <f>Crono_Sex!C18</f>
        <v>3.44</v>
      </c>
      <c r="D20" t="str">
        <f>IFERROR(VLOOKUP(B20,RECEITAS!A:C,$D$7,FALSE),"")</f>
        <v>DIRETO</v>
      </c>
      <c r="E20" s="1">
        <f>IFERROR(E19+(VLOOKUP($D20,PROCESSO!$B:$P,AP_CRONO_Sex!E$8,FALSE)/24),"")</f>
        <v>0.2486111111111112</v>
      </c>
      <c r="F20" s="1">
        <f>Crono_Sex!E18</f>
        <v>0.3298611111111111</v>
      </c>
      <c r="G20" s="1">
        <f>IFERROR(IF(F20=0,"",VLOOKUP($D20,PROCESSO!$B:$P,G$8,FALSE)/24)*IFERROR(IF(#REF!&gt;$B$8,ROUNDUP(#REF!/$B$8,0),1),1)+($A$8/24)+F20,"")</f>
        <v>0.34375</v>
      </c>
      <c r="H20" s="1">
        <f t="shared" ref="H20:H51" si="3">G20</f>
        <v>0.34375</v>
      </c>
      <c r="I20" s="1">
        <f>IFERROR(IF(H20=0,"",VLOOKUP($D20,PROCESSO!$B:$P,H$8,FALSE)/24)+($A$8/24)+H20,"")</f>
        <v>0.34722222222222221</v>
      </c>
      <c r="J20" s="1">
        <f>IFERROR(IF(I20=0,"",VLOOKUP($D20,PROCESSO!$B:$P,I$8,FALSE)/24)+($A$8/24)+I20,"")</f>
        <v>0.35555555555555557</v>
      </c>
      <c r="K20" s="1">
        <f>IFERROR(IF(J20=0,"",VLOOKUP($D20,PROCESSO!$B:$P,J$8,FALSE)/24)+($A$8/24)+J20,"")</f>
        <v>0.36388888888888893</v>
      </c>
      <c r="L20" s="1">
        <f>IFERROR(IF(K20=0,"",VLOOKUP($D20,PROCESSO!$B:$P,K$8,FALSE)/24)+($A$8/24)+K20,"")</f>
        <v>0.36736111111111114</v>
      </c>
      <c r="M20" s="1">
        <f>IFERROR(IF(L20=0,"",VLOOKUP($D20,PROCESSO!$B:$P,L$8,FALSE)/24)+($A$8/24)+L20,"")</f>
        <v>0.39513888888888893</v>
      </c>
      <c r="N20" s="1">
        <f>IFERROR(IF(M20=0,"",VLOOKUP($D20,PROCESSO!$B:$P,M$8,FALSE)/24)+($A$8/24)+M20,"")</f>
        <v>0.46111111111111114</v>
      </c>
      <c r="O20" s="1">
        <f>IFERROR(IF(N20=0,"",VLOOKUP($D20,PROCESSO!$B:$P,N$8,FALSE)/24)+($A$8/24)+N20,"")</f>
        <v>0.48541666666666672</v>
      </c>
      <c r="P20" s="1">
        <f>IFERROR(IF(O20=0,"",VLOOKUP($D20,PROCESSO!$B:$P,O$8,FALSE)/24)+($A$8/24)+O20,"")</f>
        <v>0.55138888888888893</v>
      </c>
      <c r="Q20" s="1">
        <f>IFERROR(IF(P20=0,"",VLOOKUP($D20,PROCESSO!$B:$P,P$8,FALSE)/24)+($A$8/24)+P20,"")</f>
        <v>0.58402777777777781</v>
      </c>
      <c r="R20" s="1">
        <f>IFERROR(IF(Q20=0,"",VLOOKUP($D20,PROCESSO!$B:$P,Q$8,FALSE)/24)+($A$8/24)+Q20,"")</f>
        <v>0.62916666666666665</v>
      </c>
      <c r="S20" s="45">
        <f>IFERROR(IFERROR(VLOOKUP(D20,PROCESSO!B:P,15,FALSE),"")/SUMIFS(C:C,A:A,A20),"")</f>
        <v>0.21939151820491831</v>
      </c>
      <c r="T20" s="45">
        <f t="shared" ref="T20:T51" si="4">IFERROR(S20*C20,"")</f>
        <v>0.75470682262491895</v>
      </c>
      <c r="U20" s="45">
        <f>IFERROR(VLOOKUP(B20,RECEITAS!A:C,3,FALSE),"")</f>
        <v>2.3235487959442338</v>
      </c>
      <c r="V20" s="45">
        <f>IFERROR((U20+S20)*(1-ANALISE!$I$4),"")</f>
        <v>2.5429403141491522</v>
      </c>
      <c r="W20" s="45">
        <f t="shared" ref="W20:W51" si="5">IFERROR(V20*C20,"")</f>
        <v>8.7477146806730843</v>
      </c>
    </row>
    <row r="21" spans="1:23" x14ac:dyDescent="0.3">
      <c r="A21">
        <f>Crono_Sex!A19</f>
        <v>7</v>
      </c>
      <c r="B21" t="str">
        <f>Crono_Sex!B19</f>
        <v>VEGANO TRAD.</v>
      </c>
      <c r="C21" s="17">
        <f>Crono_Sex!C19</f>
        <v>10.440000000000001</v>
      </c>
      <c r="D21" t="str">
        <f>IFERROR(VLOOKUP(B21,RECEITAS!A:C,$D$7,FALSE),"")</f>
        <v>DIRETO</v>
      </c>
      <c r="E21" s="1">
        <f>IFERROR(E20+(VLOOKUP($D21,PROCESSO!$B:$P,AP_CRONO_Sex!E$8,FALSE)/24),"")</f>
        <v>0.25416666666666676</v>
      </c>
      <c r="F21" s="1">
        <f>Crono_Sex!E19</f>
        <v>0.3298611111111111</v>
      </c>
      <c r="G21" s="1">
        <f>IFERROR(IF(F21=0,"",VLOOKUP($D21,PROCESSO!$B:$P,G$8,FALSE)/24)*IFERROR(IF(#REF!&gt;$B$8,ROUNDUP(#REF!/$B$8,0),1),1)+($A$8/24)+F21,"")</f>
        <v>0.34375</v>
      </c>
      <c r="H21" s="1">
        <f t="shared" si="3"/>
        <v>0.34375</v>
      </c>
      <c r="I21" s="1">
        <f>IFERROR(IF(H21=0,"",VLOOKUP($D21,PROCESSO!$B:$P,H$8,FALSE)/24)+($A$8/24)+H21,"")</f>
        <v>0.34722222222222221</v>
      </c>
      <c r="J21" s="1">
        <f>IFERROR(IF(I21=0,"",VLOOKUP($D21,PROCESSO!$B:$P,I$8,FALSE)/24)+($A$8/24)+I21,"")</f>
        <v>0.35555555555555557</v>
      </c>
      <c r="K21" s="1">
        <f>IFERROR(IF(J21=0,"",VLOOKUP($D21,PROCESSO!$B:$P,J$8,FALSE)/24)+($A$8/24)+J21,"")</f>
        <v>0.36388888888888893</v>
      </c>
      <c r="L21" s="1">
        <f>IFERROR(IF(K21=0,"",VLOOKUP($D21,PROCESSO!$B:$P,K$8,FALSE)/24)+($A$8/24)+K21,"")</f>
        <v>0.36736111111111114</v>
      </c>
      <c r="M21" s="1">
        <f>IFERROR(IF(L21=0,"",VLOOKUP($D21,PROCESSO!$B:$P,L$8,FALSE)/24)+($A$8/24)+L21,"")</f>
        <v>0.39513888888888893</v>
      </c>
      <c r="N21" s="1">
        <f>IFERROR(IF(M21=0,"",VLOOKUP($D21,PROCESSO!$B:$P,M$8,FALSE)/24)+($A$8/24)+M21,"")</f>
        <v>0.46111111111111114</v>
      </c>
      <c r="O21" s="1">
        <f>IFERROR(IF(N21=0,"",VLOOKUP($D21,PROCESSO!$B:$P,N$8,FALSE)/24)+($A$8/24)+N21,"")</f>
        <v>0.48541666666666672</v>
      </c>
      <c r="P21" s="1">
        <f>IFERROR(IF(O21=0,"",VLOOKUP($D21,PROCESSO!$B:$P,O$8,FALSE)/24)+($A$8/24)+O21,"")</f>
        <v>0.55138888888888893</v>
      </c>
      <c r="Q21" s="1">
        <f>IFERROR(IF(P21=0,"",VLOOKUP($D21,PROCESSO!$B:$P,P$8,FALSE)/24)+($A$8/24)+P21,"")</f>
        <v>0.58402777777777781</v>
      </c>
      <c r="R21" s="1">
        <f>IFERROR(IF(Q21=0,"",VLOOKUP($D21,PROCESSO!$B:$P,Q$8,FALSE)/24)+($A$8/24)+Q21,"")</f>
        <v>0.62916666666666665</v>
      </c>
      <c r="S21" s="45">
        <f>IFERROR(IFERROR(VLOOKUP(D21,PROCESSO!B:P,15,FALSE),"")/SUMIFS(C:C,A:A,A21),"")</f>
        <v>0.21939151820491831</v>
      </c>
      <c r="T21" s="45">
        <f t="shared" si="4"/>
        <v>2.2904474500593475</v>
      </c>
      <c r="U21" s="45">
        <f>IFERROR(VLOOKUP(B21,RECEITAS!A:C,3,FALSE),"")</f>
        <v>1.4304241248567149</v>
      </c>
      <c r="V21" s="45">
        <f>IFERROR((U21+S21)*(1-ANALISE!$I$4),"")</f>
        <v>1.6498156430616331</v>
      </c>
      <c r="W21" s="45">
        <f t="shared" si="5"/>
        <v>17.22407531356345</v>
      </c>
    </row>
    <row r="22" spans="1:23" x14ac:dyDescent="0.3">
      <c r="A22">
        <f>Crono_Sex!A20</f>
        <v>8</v>
      </c>
      <c r="B22" t="str">
        <f>Crono_Sex!B20</f>
        <v>CASEIRINHO</v>
      </c>
      <c r="C22" s="17">
        <f>Crono_Sex!C20</f>
        <v>184.62</v>
      </c>
      <c r="D22" t="str">
        <f>IFERROR(VLOOKUP(B22,RECEITAS!A:C,$D$7,FALSE),"")</f>
        <v>DIRETO</v>
      </c>
      <c r="E22" s="1">
        <f>IFERROR(E21+(VLOOKUP($D22,PROCESSO!$B:$P,AP_CRONO_Sex!E$8,FALSE)/24),"")</f>
        <v>0.2597222222222223</v>
      </c>
      <c r="F22" s="1">
        <f>Crono_Sex!E20</f>
        <v>0.38472222222222219</v>
      </c>
      <c r="G22" s="1">
        <f>IFERROR(IF(F22=0,"",VLOOKUP($D22,PROCESSO!$B:$P,G$8,FALSE)/24)*IFERROR(IF(#REF!&gt;$B$8,ROUNDUP(#REF!/$B$8,0),1),1)+($A$8/24)+F22,"")</f>
        <v>0.39861111111111108</v>
      </c>
      <c r="H22" s="1">
        <f t="shared" si="3"/>
        <v>0.39861111111111108</v>
      </c>
      <c r="I22" s="1">
        <f>IFERROR(IF(H22=0,"",VLOOKUP($D22,PROCESSO!$B:$P,H$8,FALSE)/24)+($A$8/24)+H22,"")</f>
        <v>0.40208333333333329</v>
      </c>
      <c r="J22" s="1">
        <f>IFERROR(IF(I22=0,"",VLOOKUP($D22,PROCESSO!$B:$P,I$8,FALSE)/24)+($A$8/24)+I22,"")</f>
        <v>0.41041666666666665</v>
      </c>
      <c r="K22" s="1">
        <f>IFERROR(IF(J22=0,"",VLOOKUP($D22,PROCESSO!$B:$P,J$8,FALSE)/24)+($A$8/24)+J22,"")</f>
        <v>0.41875000000000001</v>
      </c>
      <c r="L22" s="1">
        <f>IFERROR(IF(K22=0,"",VLOOKUP($D22,PROCESSO!$B:$P,K$8,FALSE)/24)+($A$8/24)+K22,"")</f>
        <v>0.42222222222222222</v>
      </c>
      <c r="M22" s="1">
        <f>IFERROR(IF(L22=0,"",VLOOKUP($D22,PROCESSO!$B:$P,L$8,FALSE)/24)+($A$8/24)+L22,"")</f>
        <v>0.45</v>
      </c>
      <c r="N22" s="1">
        <f>IFERROR(IF(M22=0,"",VLOOKUP($D22,PROCESSO!$B:$P,M$8,FALSE)/24)+($A$8/24)+M22,"")</f>
        <v>0.51597222222222228</v>
      </c>
      <c r="O22" s="1">
        <f>IFERROR(IF(N22=0,"",VLOOKUP($D22,PROCESSO!$B:$P,N$8,FALSE)/24)+($A$8/24)+N22,"")</f>
        <v>0.54027777777777786</v>
      </c>
      <c r="P22" s="1">
        <f>IFERROR(IF(O22=0,"",VLOOKUP($D22,PROCESSO!$B:$P,O$8,FALSE)/24)+($A$8/24)+O22,"")</f>
        <v>0.60625000000000007</v>
      </c>
      <c r="Q22" s="1">
        <f>IFERROR(IF(P22=0,"",VLOOKUP($D22,PROCESSO!$B:$P,P$8,FALSE)/24)+($A$8/24)+P22,"")</f>
        <v>0.63888888888888895</v>
      </c>
      <c r="R22" s="1">
        <f>IFERROR(IF(Q22=0,"",VLOOKUP($D22,PROCESSO!$B:$P,Q$8,FALSE)/24)+($A$8/24)+Q22,"")</f>
        <v>0.68402777777777779</v>
      </c>
      <c r="S22" s="45">
        <f>IFERROR(IFERROR(VLOOKUP(D22,PROCESSO!B:P,15,FALSE),"")/SUMIFS(C:C,A:A,A22),"")</f>
        <v>0.25146484220205162</v>
      </c>
      <c r="T22" s="45">
        <f t="shared" si="4"/>
        <v>46.425439167342773</v>
      </c>
      <c r="U22" s="45">
        <f>IFERROR(VLOOKUP(B22,RECEITAS!A:C,3,FALSE),"")</f>
        <v>2.38</v>
      </c>
      <c r="V22" s="45">
        <f>IFERROR((U22+S22)*(1-ANALISE!$I$4),"")</f>
        <v>2.6314648422020515</v>
      </c>
      <c r="W22" s="45">
        <f t="shared" si="5"/>
        <v>485.82103916734275</v>
      </c>
    </row>
    <row r="23" spans="1:23" x14ac:dyDescent="0.3">
      <c r="A23">
        <f>Crono_Sex!A21</f>
        <v>9</v>
      </c>
      <c r="B23" t="str">
        <f>Crono_Sex!B21</f>
        <v>SPONGEGG</v>
      </c>
      <c r="C23" s="17">
        <f>Crono_Sex!C21</f>
        <v>2.2400000000000002</v>
      </c>
      <c r="D23" t="str">
        <f>IFERROR(VLOOKUP(B23,RECEITAS!A:C,$D$7,FALSE),"")</f>
        <v>DIRETO</v>
      </c>
      <c r="E23" s="1">
        <f>IFERROR(E22+(VLOOKUP($D23,PROCESSO!$B:$P,AP_CRONO_Sex!E$8,FALSE)/24),"")</f>
        <v>0.26527777777777783</v>
      </c>
      <c r="F23" s="1">
        <f>Crono_Sex!E21</f>
        <v>0.40277777777777773</v>
      </c>
      <c r="G23" s="1">
        <f>IFERROR(IF(F23=0,"",VLOOKUP($D23,PROCESSO!$B:$P,G$8,FALSE)/24)*IFERROR(IF(#REF!&gt;$B$8,ROUNDUP(#REF!/$B$8,0),1),1)+($A$8/24)+F23,"")</f>
        <v>0.41666666666666663</v>
      </c>
      <c r="H23" s="1">
        <f t="shared" si="3"/>
        <v>0.41666666666666663</v>
      </c>
      <c r="I23" s="1">
        <f>IFERROR(IF(H23=0,"",VLOOKUP($D23,PROCESSO!$B:$P,H$8,FALSE)/24)+($A$8/24)+H23,"")</f>
        <v>0.42013888888888884</v>
      </c>
      <c r="J23" s="1">
        <f>IFERROR(IF(I23=0,"",VLOOKUP($D23,PROCESSO!$B:$P,I$8,FALSE)/24)+($A$8/24)+I23,"")</f>
        <v>0.4284722222222222</v>
      </c>
      <c r="K23" s="1">
        <f>IFERROR(IF(J23=0,"",VLOOKUP($D23,PROCESSO!$B:$P,J$8,FALSE)/24)+($A$8/24)+J23,"")</f>
        <v>0.43680555555555556</v>
      </c>
      <c r="L23" s="1">
        <f>IFERROR(IF(K23=0,"",VLOOKUP($D23,PROCESSO!$B:$P,K$8,FALSE)/24)+($A$8/24)+K23,"")</f>
        <v>0.44027777777777777</v>
      </c>
      <c r="M23" s="1">
        <f>IFERROR(IF(L23=0,"",VLOOKUP($D23,PROCESSO!$B:$P,L$8,FALSE)/24)+($A$8/24)+L23,"")</f>
        <v>0.46805555555555556</v>
      </c>
      <c r="N23" s="1">
        <f>IFERROR(IF(M23=0,"",VLOOKUP($D23,PROCESSO!$B:$P,M$8,FALSE)/24)+($A$8/24)+M23,"")</f>
        <v>0.53402777777777777</v>
      </c>
      <c r="O23" s="1">
        <f>IFERROR(IF(N23=0,"",VLOOKUP($D23,PROCESSO!$B:$P,N$8,FALSE)/24)+($A$8/24)+N23,"")</f>
        <v>0.55833333333333335</v>
      </c>
      <c r="P23" s="1">
        <f>IFERROR(IF(O23=0,"",VLOOKUP($D23,PROCESSO!$B:$P,O$8,FALSE)/24)+($A$8/24)+O23,"")</f>
        <v>0.62430555555555556</v>
      </c>
      <c r="Q23" s="1">
        <f>IFERROR(IF(P23=0,"",VLOOKUP($D23,PROCESSO!$B:$P,P$8,FALSE)/24)+($A$8/24)+P23,"")</f>
        <v>0.65694444444444444</v>
      </c>
      <c r="R23" s="1">
        <f>IFERROR(IF(Q23=0,"",VLOOKUP($D23,PROCESSO!$B:$P,Q$8,FALSE)/24)+($A$8/24)+Q23,"")</f>
        <v>0.70208333333333328</v>
      </c>
      <c r="S23" s="45">
        <f>IFERROR(IFERROR(VLOOKUP(D23,PROCESSO!B:P,15,FALSE),"")/SUMIFS(C:C,A:A,A23),"")</f>
        <v>20.725642485420877</v>
      </c>
      <c r="T23" s="45">
        <f t="shared" si="4"/>
        <v>46.425439167342773</v>
      </c>
      <c r="U23" s="45">
        <f>IFERROR(VLOOKUP(B23,RECEITAS!A:C,3,FALSE),"")</f>
        <v>2.8814478282576137</v>
      </c>
      <c r="V23" s="45">
        <f>IFERROR((U23+S23)*(1-ANALISE!$I$4),"")</f>
        <v>23.607090313678491</v>
      </c>
      <c r="W23" s="45">
        <f t="shared" si="5"/>
        <v>52.879882302639821</v>
      </c>
    </row>
    <row r="24" spans="1:23" x14ac:dyDescent="0.3">
      <c r="A24">
        <f>Crono_Sex!A22</f>
        <v>0</v>
      </c>
      <c r="B24">
        <f>Crono_Sex!B22</f>
        <v>0</v>
      </c>
      <c r="C24" s="17">
        <f>Crono_Sex!C22</f>
        <v>0</v>
      </c>
      <c r="D24" t="str">
        <f>IFERROR(VLOOKUP(B24,RECEITAS!A:C,$D$7,FALSE),"")</f>
        <v/>
      </c>
      <c r="E24" s="1" t="str">
        <f>IFERROR(E23+(VLOOKUP($D24,PROCESSO!$B:$P,AP_CRONO_Sex!E$8,FALSE)/24),"")</f>
        <v/>
      </c>
      <c r="F24" s="1">
        <f>Crono_Sex!E22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3">
      <c r="A25">
        <f>Crono_Sex!A23</f>
        <v>0</v>
      </c>
      <c r="B25">
        <f>Crono_Sex!B23</f>
        <v>0</v>
      </c>
      <c r="C25" s="17">
        <f>Crono_Sex!C23</f>
        <v>0</v>
      </c>
      <c r="D25" t="str">
        <f>IFERROR(VLOOKUP(B25,RECEITAS!A:C,$D$7,FALSE),"")</f>
        <v/>
      </c>
      <c r="E25" s="1" t="str">
        <f>IFERROR(E24+(VLOOKUP($D25,PROCESSO!$B:$P,AP_CRONO_Sex!E$8,FALSE)/24),"")</f>
        <v/>
      </c>
      <c r="F25" s="1">
        <f>Crono_Sex!E23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3">
      <c r="A26">
        <f>Crono_Sex!A24</f>
        <v>0</v>
      </c>
      <c r="B26">
        <f>Crono_Sex!B24</f>
        <v>0</v>
      </c>
      <c r="C26" s="17">
        <f>Crono_Sex!C24</f>
        <v>0</v>
      </c>
      <c r="D26" t="str">
        <f>IFERROR(VLOOKUP(B26,RECEITAS!A:C,$D$7,FALSE),"")</f>
        <v/>
      </c>
      <c r="E26" s="1" t="str">
        <f>IFERROR(E25+(VLOOKUP($D26,PROCESSO!$B:$P,AP_CRONO_Sex!E$8,FALSE)/24),"")</f>
        <v/>
      </c>
      <c r="F26" s="1">
        <f>Crono_Sex!E24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4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5"/>
        <v/>
      </c>
    </row>
    <row r="27" spans="1:23" x14ac:dyDescent="0.3">
      <c r="A27">
        <f>Crono_Sex!A25</f>
        <v>0</v>
      </c>
      <c r="B27">
        <f>Crono_Sex!B25</f>
        <v>0</v>
      </c>
      <c r="C27" s="17">
        <f>Crono_Sex!C25</f>
        <v>0</v>
      </c>
      <c r="D27" t="str">
        <f>IFERROR(VLOOKUP(B27,RECEITAS!A:C,$D$7,FALSE),"")</f>
        <v/>
      </c>
      <c r="E27" s="1" t="str">
        <f>IFERROR(E26+(VLOOKUP($D27,PROCESSO!$B:$P,AP_CRONO_Sex!E$8,FALSE)/24),"")</f>
        <v/>
      </c>
      <c r="F27" s="1">
        <f>Crono_Sex!E25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4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5"/>
        <v/>
      </c>
    </row>
    <row r="28" spans="1:23" x14ac:dyDescent="0.3">
      <c r="A28">
        <f>Crono_Sex!A26</f>
        <v>0</v>
      </c>
      <c r="B28">
        <f>Crono_Sex!B26</f>
        <v>0</v>
      </c>
      <c r="C28" s="17">
        <f>Crono_Sex!C26</f>
        <v>0</v>
      </c>
      <c r="D28" t="str">
        <f>IFERROR(VLOOKUP(B28,RECEITAS!A:C,$D$7,FALSE),"")</f>
        <v/>
      </c>
      <c r="E28" s="1" t="str">
        <f>IFERROR(E27+(VLOOKUP($D28,PROCESSO!$B:$P,AP_CRONO_Sex!E$8,FALSE)/24),"")</f>
        <v/>
      </c>
      <c r="F28" s="1">
        <f>Crono_Sex!E26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4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5"/>
        <v/>
      </c>
    </row>
    <row r="29" spans="1:23" x14ac:dyDescent="0.3">
      <c r="A29">
        <f>Crono_Sex!A27</f>
        <v>0</v>
      </c>
      <c r="B29">
        <f>Crono_Sex!B27</f>
        <v>0</v>
      </c>
      <c r="C29" s="17">
        <f>Crono_Sex!C27</f>
        <v>0</v>
      </c>
      <c r="D29" t="str">
        <f>IFERROR(VLOOKUP(B29,RECEITAS!A:C,$D$7,FALSE),"")</f>
        <v/>
      </c>
      <c r="E29" s="1" t="str">
        <f>IFERROR(E28+(VLOOKUP($D29,PROCESSO!$B:$P,AP_CRONO_Sex!E$8,FALSE)/24),"")</f>
        <v/>
      </c>
      <c r="F29" s="1">
        <f>Crono_Sex!E27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4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5"/>
        <v/>
      </c>
    </row>
    <row r="30" spans="1:23" x14ac:dyDescent="0.3">
      <c r="A30">
        <f>Crono_Sex!A28</f>
        <v>0</v>
      </c>
      <c r="B30">
        <f>Crono_Sex!B28</f>
        <v>0</v>
      </c>
      <c r="C30" s="17">
        <f>Crono_Sex!C28</f>
        <v>0</v>
      </c>
      <c r="D30" t="str">
        <f>IFERROR(VLOOKUP(B30,RECEITAS!A:C,$D$7,FALSE),"")</f>
        <v/>
      </c>
      <c r="E30" s="1" t="str">
        <f>IFERROR(E29+(VLOOKUP($D30,PROCESSO!$B:$P,AP_CRONO_Sex!E$8,FALSE)/24),"")</f>
        <v/>
      </c>
      <c r="F30" s="1">
        <f>Crono_Sex!E28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3">
      <c r="A31">
        <f>Crono_Sex!A29</f>
        <v>0</v>
      </c>
      <c r="B31">
        <f>Crono_Sex!B29</f>
        <v>0</v>
      </c>
      <c r="C31" s="17">
        <f>Crono_Sex!C29</f>
        <v>0</v>
      </c>
      <c r="D31" t="str">
        <f>IFERROR(VLOOKUP(B31,RECEITAS!A:C,$D$7,FALSE),"")</f>
        <v/>
      </c>
      <c r="E31" s="1" t="str">
        <f>IFERROR(E30+(VLOOKUP($D31,PROCESSO!$B:$P,AP_CRONO_Sex!E$8,FALSE)/24),"")</f>
        <v/>
      </c>
      <c r="F31" s="1">
        <f>Crono_Sex!E29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3">
      <c r="A32">
        <f>Crono_Sex!A30</f>
        <v>0</v>
      </c>
      <c r="B32">
        <f>Crono_Sex!B30</f>
        <v>0</v>
      </c>
      <c r="C32" s="17">
        <f>Crono_Sex!C30</f>
        <v>0</v>
      </c>
      <c r="D32" t="str">
        <f>IFERROR(VLOOKUP(B32,RECEITAS!A:C,$D$7,FALSE),"")</f>
        <v/>
      </c>
      <c r="E32" s="1" t="str">
        <f>IFERROR(E31+(VLOOKUP($D32,PROCESSO!$B:$P,AP_CRONO_Sex!E$8,FALSE)/24),"")</f>
        <v/>
      </c>
      <c r="F32" s="1">
        <f>Crono_Sex!E30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1:23" x14ac:dyDescent="0.3">
      <c r="A33">
        <f>Crono_Sex!A31</f>
        <v>0</v>
      </c>
      <c r="B33">
        <f>Crono_Sex!B31</f>
        <v>0</v>
      </c>
      <c r="C33" s="17">
        <f>Crono_Sex!C31</f>
        <v>0</v>
      </c>
      <c r="D33" t="str">
        <f>IFERROR(VLOOKUP(B33,RECEITAS!A:C,$D$7,FALSE),"")</f>
        <v/>
      </c>
      <c r="E33" s="1" t="str">
        <f>IFERROR(E32+(VLOOKUP($D33,PROCESSO!$B:$P,AP_CRONO_Sex!E$8,FALSE)/24),"")</f>
        <v/>
      </c>
      <c r="F33" s="1">
        <f>Crono_Sex!E31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  <row r="34" spans="1:23" x14ac:dyDescent="0.3">
      <c r="A34">
        <f>Crono_Sex!A32</f>
        <v>0</v>
      </c>
      <c r="B34">
        <f>Crono_Sex!B32</f>
        <v>0</v>
      </c>
      <c r="C34" s="17">
        <f>Crono_Sex!C32</f>
        <v>0</v>
      </c>
      <c r="D34" t="str">
        <f>IFERROR(VLOOKUP(B34,RECEITAS!A:C,$D$7,FALSE),"")</f>
        <v/>
      </c>
      <c r="E34" s="1" t="str">
        <f>IFERROR(E33+(VLOOKUP($D34,PROCESSO!$B:$P,AP_CRONO_Sex!E$8,FALSE)/24),"")</f>
        <v/>
      </c>
      <c r="F34" s="1">
        <f>Crono_Sex!E32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3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4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5"/>
        <v/>
      </c>
    </row>
    <row r="35" spans="1:23" x14ac:dyDescent="0.3">
      <c r="A35">
        <f>Crono_Sex!A33</f>
        <v>0</v>
      </c>
      <c r="B35">
        <f>Crono_Sex!B33</f>
        <v>0</v>
      </c>
      <c r="C35" s="17">
        <f>Crono_Sex!C33</f>
        <v>0</v>
      </c>
      <c r="D35" t="str">
        <f>IFERROR(VLOOKUP(B35,RECEITAS!A:C,$D$7,FALSE),"")</f>
        <v/>
      </c>
      <c r="E35" s="1" t="str">
        <f>IFERROR(E34+(VLOOKUP($D35,PROCESSO!$B:$P,AP_CRONO_Sex!E$8,FALSE)/24),"")</f>
        <v/>
      </c>
      <c r="F35" s="1">
        <f>Crono_Sex!E33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3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4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5"/>
        <v/>
      </c>
    </row>
    <row r="36" spans="1:23" x14ac:dyDescent="0.3">
      <c r="A36">
        <f>Crono_Sex!A34</f>
        <v>0</v>
      </c>
      <c r="B36">
        <f>Crono_Sex!B34</f>
        <v>0</v>
      </c>
      <c r="C36" s="17">
        <f>Crono_Sex!C34</f>
        <v>0</v>
      </c>
      <c r="D36" t="str">
        <f>IFERROR(VLOOKUP(B36,RECEITAS!A:C,$D$7,FALSE),"")</f>
        <v/>
      </c>
      <c r="E36" s="1" t="str">
        <f>IFERROR(E35+(VLOOKUP($D36,PROCESSO!$B:$P,AP_CRONO_Sex!E$8,FALSE)/24),"")</f>
        <v/>
      </c>
      <c r="F36" s="1">
        <f>Crono_Sex!E34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3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4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5"/>
        <v/>
      </c>
    </row>
    <row r="37" spans="1:23" x14ac:dyDescent="0.3">
      <c r="A37">
        <f>Crono_Sex!A35</f>
        <v>0</v>
      </c>
      <c r="B37">
        <f>Crono_Sex!B35</f>
        <v>0</v>
      </c>
      <c r="C37" s="17">
        <f>Crono_Sex!C35</f>
        <v>0</v>
      </c>
      <c r="D37" t="str">
        <f>IFERROR(VLOOKUP(B37,RECEITAS!A:C,$D$7,FALSE),"")</f>
        <v/>
      </c>
      <c r="E37" s="1" t="str">
        <f>IFERROR(E36+(VLOOKUP($D37,PROCESSO!$B:$P,AP_CRONO_Sex!E$8,FALSE)/24),"")</f>
        <v/>
      </c>
      <c r="F37" s="1">
        <f>Crono_Sex!E35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3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4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5"/>
        <v/>
      </c>
    </row>
    <row r="38" spans="1:23" x14ac:dyDescent="0.3">
      <c r="A38">
        <f>Crono_Sex!A36</f>
        <v>0</v>
      </c>
      <c r="B38">
        <f>Crono_Sex!B36</f>
        <v>0</v>
      </c>
      <c r="C38" s="17">
        <f>Crono_Sex!C36</f>
        <v>0</v>
      </c>
      <c r="D38" t="str">
        <f>IFERROR(VLOOKUP(B38,RECEITAS!A:C,$D$7,FALSE),"")</f>
        <v/>
      </c>
      <c r="E38" s="1" t="str">
        <f>IFERROR(E37+(VLOOKUP($D38,PROCESSO!$B:$P,AP_CRONO_Sex!E$8,FALSE)/24),"")</f>
        <v/>
      </c>
      <c r="F38" s="1">
        <f>Crono_Sex!E36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3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4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5"/>
        <v/>
      </c>
    </row>
    <row r="39" spans="1:23" x14ac:dyDescent="0.3">
      <c r="A39">
        <f>Crono_Sex!A37</f>
        <v>0</v>
      </c>
      <c r="B39">
        <f>Crono_Sex!B37</f>
        <v>0</v>
      </c>
      <c r="C39" s="17">
        <f>Crono_Sex!C37</f>
        <v>0</v>
      </c>
      <c r="D39" t="str">
        <f>IFERROR(VLOOKUP(B39,RECEITAS!A:C,$D$7,FALSE),"")</f>
        <v/>
      </c>
      <c r="E39" s="1" t="str">
        <f>IFERROR(E38+(VLOOKUP($D39,PROCESSO!$B:$P,AP_CRONO_Sex!E$8,FALSE)/24),"")</f>
        <v/>
      </c>
      <c r="F39" s="1">
        <f>Crono_Sex!E37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3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4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5"/>
        <v/>
      </c>
    </row>
    <row r="40" spans="1:23" x14ac:dyDescent="0.3">
      <c r="A40">
        <f>Crono_Sex!A38</f>
        <v>0</v>
      </c>
      <c r="B40">
        <f>Crono_Sex!B38</f>
        <v>0</v>
      </c>
      <c r="C40" s="17">
        <f>Crono_Sex!C38</f>
        <v>0</v>
      </c>
      <c r="D40" t="str">
        <f>IFERROR(VLOOKUP(B40,RECEITAS!A:C,$D$7,FALSE),"")</f>
        <v/>
      </c>
      <c r="E40" s="1" t="str">
        <f>IFERROR(E39+(VLOOKUP($D40,PROCESSO!$B:$P,AP_CRONO_Sex!E$8,FALSE)/24),"")</f>
        <v/>
      </c>
      <c r="F40" s="1">
        <f>Crono_Sex!E38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3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4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5"/>
        <v/>
      </c>
    </row>
    <row r="41" spans="1:23" x14ac:dyDescent="0.3">
      <c r="A41">
        <f>Crono_Sex!A39</f>
        <v>0</v>
      </c>
      <c r="B41">
        <f>Crono_Sex!B39</f>
        <v>0</v>
      </c>
      <c r="C41" s="17">
        <f>Crono_Sex!C39</f>
        <v>0</v>
      </c>
      <c r="D41" t="str">
        <f>IFERROR(VLOOKUP(B41,RECEITAS!A:C,$D$7,FALSE),"")</f>
        <v/>
      </c>
      <c r="E41" s="1" t="str">
        <f>IFERROR(E40+(VLOOKUP($D41,PROCESSO!$B:$P,AP_CRONO_Sex!E$8,FALSE)/24),"")</f>
        <v/>
      </c>
      <c r="F41" s="1">
        <f>Crono_Sex!E39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3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4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5"/>
        <v/>
      </c>
    </row>
    <row r="42" spans="1:23" x14ac:dyDescent="0.3">
      <c r="A42">
        <f>Crono_Sex!A40</f>
        <v>0</v>
      </c>
      <c r="B42">
        <f>Crono_Sex!B40</f>
        <v>0</v>
      </c>
      <c r="C42" s="17">
        <f>Crono_Sex!C40</f>
        <v>0</v>
      </c>
      <c r="D42" t="str">
        <f>IFERROR(VLOOKUP(B42,RECEITAS!A:C,$D$7,FALSE),"")</f>
        <v/>
      </c>
      <c r="E42" s="1" t="str">
        <f>IFERROR(E41+(VLOOKUP($D42,PROCESSO!$B:$P,AP_CRONO_Sex!E$8,FALSE)/24),"")</f>
        <v/>
      </c>
      <c r="F42" s="1">
        <f>Crono_Sex!E40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3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4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5"/>
        <v/>
      </c>
    </row>
    <row r="43" spans="1:23" x14ac:dyDescent="0.3">
      <c r="A43">
        <f>Crono_Sex!A41</f>
        <v>0</v>
      </c>
      <c r="B43">
        <f>Crono_Sex!B41</f>
        <v>0</v>
      </c>
      <c r="C43" s="17">
        <f>Crono_Sex!C41</f>
        <v>0</v>
      </c>
      <c r="D43" t="str">
        <f>IFERROR(VLOOKUP(B43,RECEITAS!A:C,$D$7,FALSE),"")</f>
        <v/>
      </c>
      <c r="E43" s="1" t="str">
        <f>IFERROR(E42+(VLOOKUP($D43,PROCESSO!$B:$P,AP_CRONO_Sex!E$8,FALSE)/24),"")</f>
        <v/>
      </c>
      <c r="F43" s="1">
        <f>Crono_Sex!E41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3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4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5"/>
        <v/>
      </c>
    </row>
    <row r="44" spans="1:23" x14ac:dyDescent="0.3">
      <c r="A44">
        <f>Crono_Sex!A42</f>
        <v>0</v>
      </c>
      <c r="B44">
        <f>Crono_Sex!B42</f>
        <v>0</v>
      </c>
      <c r="C44" s="17">
        <f>Crono_Sex!C42</f>
        <v>0</v>
      </c>
      <c r="D44" t="str">
        <f>IFERROR(VLOOKUP(B44,RECEITAS!A:C,$D$7,FALSE),"")</f>
        <v/>
      </c>
      <c r="E44" s="1" t="str">
        <f>IFERROR(E43+(VLOOKUP($D44,PROCESSO!$B:$P,AP_CRONO_Sex!E$8,FALSE)/24),"")</f>
        <v/>
      </c>
      <c r="F44" s="1">
        <f>Crono_Sex!E42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3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4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5"/>
        <v/>
      </c>
    </row>
    <row r="45" spans="1:23" x14ac:dyDescent="0.3">
      <c r="A45">
        <f>Crono_Sex!A43</f>
        <v>0</v>
      </c>
      <c r="B45">
        <f>Crono_Sex!B43</f>
        <v>0</v>
      </c>
      <c r="C45" s="17">
        <f>Crono_Sex!C43</f>
        <v>0</v>
      </c>
      <c r="D45" t="str">
        <f>IFERROR(VLOOKUP(B45,RECEITAS!A:C,$D$7,FALSE),"")</f>
        <v/>
      </c>
      <c r="E45" s="1" t="str">
        <f>IFERROR(E44+(VLOOKUP($D45,PROCESSO!$B:$P,AP_CRONO_Sex!E$8,FALSE)/24),"")</f>
        <v/>
      </c>
      <c r="F45" s="1">
        <f>Crono_Sex!E43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3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4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5"/>
        <v/>
      </c>
    </row>
    <row r="46" spans="1:23" x14ac:dyDescent="0.3">
      <c r="A46">
        <f>Crono_Sex!A44</f>
        <v>0</v>
      </c>
      <c r="B46">
        <f>Crono_Sex!B44</f>
        <v>0</v>
      </c>
      <c r="C46" s="17">
        <f>Crono_Sex!C44</f>
        <v>0</v>
      </c>
      <c r="D46" t="str">
        <f>IFERROR(VLOOKUP(B46,RECEITAS!A:C,$D$7,FALSE),"")</f>
        <v/>
      </c>
      <c r="E46" s="1" t="str">
        <f>IFERROR(E45+(VLOOKUP($D46,PROCESSO!$B:$P,AP_CRONO_Sex!E$8,FALSE)/24),"")</f>
        <v/>
      </c>
      <c r="F46" s="1">
        <f>Crono_Sex!E44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3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4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5"/>
        <v/>
      </c>
    </row>
    <row r="47" spans="1:23" x14ac:dyDescent="0.3">
      <c r="A47">
        <f>Crono_Sex!A45</f>
        <v>0</v>
      </c>
      <c r="B47">
        <f>Crono_Sex!B45</f>
        <v>0</v>
      </c>
      <c r="C47" s="17">
        <f>Crono_Sex!C45</f>
        <v>0</v>
      </c>
      <c r="D47" t="str">
        <f>IFERROR(VLOOKUP(B47,RECEITAS!A:C,$D$7,FALSE),"")</f>
        <v/>
      </c>
      <c r="E47" s="1" t="str">
        <f>IFERROR(E46+(VLOOKUP($D47,PROCESSO!$B:$P,AP_CRONO_Sex!E$8,FALSE)/24),"")</f>
        <v/>
      </c>
      <c r="F47" s="1">
        <f>Crono_Sex!E45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3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4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5"/>
        <v/>
      </c>
    </row>
    <row r="48" spans="1:23" x14ac:dyDescent="0.3">
      <c r="A48">
        <f>Crono_Sex!A46</f>
        <v>0</v>
      </c>
      <c r="B48">
        <f>Crono_Sex!B46</f>
        <v>0</v>
      </c>
      <c r="C48" s="17">
        <f>Crono_Sex!C46</f>
        <v>0</v>
      </c>
      <c r="D48" t="str">
        <f>IFERROR(VLOOKUP(B48,RECEITAS!A:C,$D$7,FALSE),"")</f>
        <v/>
      </c>
      <c r="E48" s="1" t="str">
        <f>IFERROR(E47+(VLOOKUP($D48,PROCESSO!$B:$P,AP_CRONO_Sex!E$8,FALSE)/24),"")</f>
        <v/>
      </c>
      <c r="F48" s="1">
        <f>Crono_Sex!E46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3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4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5"/>
        <v/>
      </c>
    </row>
    <row r="49" spans="1:23" x14ac:dyDescent="0.3">
      <c r="A49">
        <f>Crono_Sex!A47</f>
        <v>0</v>
      </c>
      <c r="B49">
        <f>Crono_Sex!B47</f>
        <v>0</v>
      </c>
      <c r="C49" s="17">
        <f>Crono_Sex!C47</f>
        <v>0</v>
      </c>
      <c r="D49" t="str">
        <f>IFERROR(VLOOKUP(B49,RECEITAS!A:C,$D$7,FALSE),"")</f>
        <v/>
      </c>
      <c r="E49" s="1" t="str">
        <f>IFERROR(E48+(VLOOKUP($D49,PROCESSO!$B:$P,AP_CRONO_Sex!E$8,FALSE)/24),"")</f>
        <v/>
      </c>
      <c r="F49" s="1">
        <f>Crono_Sex!E47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3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4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5"/>
        <v/>
      </c>
    </row>
    <row r="50" spans="1:23" x14ac:dyDescent="0.3">
      <c r="A50">
        <f>Crono_Sex!A48</f>
        <v>0</v>
      </c>
      <c r="B50">
        <f>Crono_Sex!B48</f>
        <v>0</v>
      </c>
      <c r="C50" s="17">
        <f>Crono_Sex!C48</f>
        <v>0</v>
      </c>
      <c r="D50" t="str">
        <f>IFERROR(VLOOKUP(B50,RECEITAS!A:C,$D$7,FALSE),"")</f>
        <v/>
      </c>
      <c r="E50" s="1" t="str">
        <f>IFERROR(E49+(VLOOKUP($D50,PROCESSO!$B:$P,AP_CRONO_Sex!E$8,FALSE)/24),"")</f>
        <v/>
      </c>
      <c r="F50" s="1">
        <f>Crono_Sex!E48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3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4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5"/>
        <v/>
      </c>
    </row>
    <row r="51" spans="1:23" x14ac:dyDescent="0.3">
      <c r="A51">
        <f>Crono_Sex!A49</f>
        <v>0</v>
      </c>
      <c r="B51">
        <f>Crono_Sex!B49</f>
        <v>0</v>
      </c>
      <c r="C51" s="17">
        <f>Crono_Sex!C49</f>
        <v>0</v>
      </c>
      <c r="D51" t="str">
        <f>IFERROR(VLOOKUP(B51,RECEITAS!A:C,$D$7,FALSE),"")</f>
        <v/>
      </c>
      <c r="E51" s="1" t="str">
        <f>IFERROR(E50+(VLOOKUP($D51,PROCESSO!$B:$P,AP_CRONO_Sex!E$8,FALSE)/24),"")</f>
        <v/>
      </c>
      <c r="F51" s="1">
        <f>Crono_Sex!E49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3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4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5"/>
        <v/>
      </c>
    </row>
    <row r="52" spans="1:23" x14ac:dyDescent="0.3">
      <c r="A52">
        <f>Crono_Sex!A50</f>
        <v>0</v>
      </c>
      <c r="B52">
        <f>Crono_Sex!B50</f>
        <v>0</v>
      </c>
      <c r="C52" s="17">
        <f>Crono_Sex!C50</f>
        <v>0</v>
      </c>
      <c r="D52" t="str">
        <f>IFERROR(VLOOKUP(B52,RECEITAS!A:C,$D$7,FALSE),"")</f>
        <v/>
      </c>
      <c r="E52" s="1" t="str">
        <f>IFERROR(E51+(VLOOKUP($D52,PROCESSO!$B:$P,AP_CRONO_Sex!E$8,FALSE)/24),"")</f>
        <v/>
      </c>
      <c r="F52" s="1">
        <f>Crono_Sex!E50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ref="H29:H92" si="6">G52</f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ref="T29:T92" si="7">IFERROR(S52*C52,"")</f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ref="W29:W92" si="8">IFERROR(V52*C52,"")</f>
        <v/>
      </c>
    </row>
    <row r="53" spans="1:23" x14ac:dyDescent="0.3">
      <c r="A53">
        <f>Crono_Sex!A51</f>
        <v>0</v>
      </c>
      <c r="B53">
        <f>Crono_Sex!B51</f>
        <v>0</v>
      </c>
      <c r="C53" s="17">
        <f>Crono_Sex!C51</f>
        <v>0</v>
      </c>
      <c r="D53" t="str">
        <f>IFERROR(VLOOKUP(B53,RECEITAS!A:C,$D$7,FALSE),"")</f>
        <v/>
      </c>
      <c r="E53" s="1" t="str">
        <f>IFERROR(E52+(VLOOKUP($D53,PROCESSO!$B:$P,AP_CRONO_Sex!E$8,FALSE)/24),"")</f>
        <v/>
      </c>
      <c r="F53" s="1">
        <f>Crono_Sex!E51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6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7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8"/>
        <v/>
      </c>
    </row>
    <row r="54" spans="1:23" x14ac:dyDescent="0.3">
      <c r="A54">
        <f>Crono_Sex!A52</f>
        <v>0</v>
      </c>
      <c r="B54">
        <f>Crono_Sex!B52</f>
        <v>0</v>
      </c>
      <c r="C54" s="17">
        <f>Crono_Sex!C52</f>
        <v>0</v>
      </c>
      <c r="D54" t="str">
        <f>IFERROR(VLOOKUP(B54,RECEITAS!A:C,$D$7,FALSE),"")</f>
        <v/>
      </c>
      <c r="E54" s="1" t="str">
        <f>IFERROR(E53+(VLOOKUP($D54,PROCESSO!$B:$P,AP_CRONO_Sex!E$8,FALSE)/24),"")</f>
        <v/>
      </c>
      <c r="F54" s="1">
        <f>Crono_Sex!E52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6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7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8"/>
        <v/>
      </c>
    </row>
    <row r="55" spans="1:23" x14ac:dyDescent="0.3">
      <c r="A55">
        <f>Crono_Sex!A53</f>
        <v>0</v>
      </c>
      <c r="B55">
        <f>Crono_Sex!B53</f>
        <v>0</v>
      </c>
      <c r="C55" s="17">
        <f>Crono_Sex!C53</f>
        <v>0</v>
      </c>
      <c r="D55" t="str">
        <f>IFERROR(VLOOKUP(B55,RECEITAS!A:C,$D$7,FALSE),"")</f>
        <v/>
      </c>
      <c r="E55" s="1" t="str">
        <f>IFERROR(E54+(VLOOKUP($D55,PROCESSO!$B:$P,AP_CRONO_Sex!E$8,FALSE)/24),"")</f>
        <v/>
      </c>
      <c r="F55" s="1">
        <f>Crono_Sex!E53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6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7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8"/>
        <v/>
      </c>
    </row>
    <row r="56" spans="1:23" x14ac:dyDescent="0.3">
      <c r="A56">
        <f>Crono_Sex!A54</f>
        <v>0</v>
      </c>
      <c r="B56">
        <f>Crono_Sex!B54</f>
        <v>0</v>
      </c>
      <c r="C56" s="17">
        <f>Crono_Sex!C54</f>
        <v>0</v>
      </c>
      <c r="D56" t="str">
        <f>IFERROR(VLOOKUP(B56,RECEITAS!A:C,$D$7,FALSE),"")</f>
        <v/>
      </c>
      <c r="E56" s="1" t="str">
        <f>IFERROR(E55+(VLOOKUP($D56,PROCESSO!$B:$P,AP_CRONO_Sex!E$8,FALSE)/24),"")</f>
        <v/>
      </c>
      <c r="F56" s="1">
        <f>Crono_Sex!E54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6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7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8"/>
        <v/>
      </c>
    </row>
    <row r="57" spans="1:23" x14ac:dyDescent="0.3">
      <c r="A57">
        <f>Crono_Sex!A55</f>
        <v>0</v>
      </c>
      <c r="B57">
        <f>Crono_Sex!B55</f>
        <v>0</v>
      </c>
      <c r="C57" s="17">
        <f>Crono_Sex!C55</f>
        <v>0</v>
      </c>
      <c r="D57" t="str">
        <f>IFERROR(VLOOKUP(B57,RECEITAS!A:C,$D$7,FALSE),"")</f>
        <v/>
      </c>
      <c r="E57" s="1" t="str">
        <f>IFERROR(E56+(VLOOKUP($D57,PROCESSO!$B:$P,AP_CRONO_Sex!E$8,FALSE)/24),"")</f>
        <v/>
      </c>
      <c r="F57" s="1">
        <f>Crono_Sex!E55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6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7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8"/>
        <v/>
      </c>
    </row>
    <row r="58" spans="1:23" x14ac:dyDescent="0.3">
      <c r="A58">
        <f>Crono_Sex!A56</f>
        <v>0</v>
      </c>
      <c r="B58">
        <f>Crono_Sex!B56</f>
        <v>0</v>
      </c>
      <c r="C58" s="17">
        <f>Crono_Sex!C56</f>
        <v>0</v>
      </c>
      <c r="D58" t="str">
        <f>IFERROR(VLOOKUP(B58,RECEITAS!A:C,$D$7,FALSE),"")</f>
        <v/>
      </c>
      <c r="E58" s="1" t="str">
        <f>IFERROR(E57+(VLOOKUP($D58,PROCESSO!$B:$P,AP_CRONO_Sex!E$8,FALSE)/24),"")</f>
        <v/>
      </c>
      <c r="F58" s="1">
        <f>Crono_Sex!E56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6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7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8"/>
        <v/>
      </c>
    </row>
    <row r="59" spans="1:23" x14ac:dyDescent="0.3">
      <c r="A59">
        <f>Crono_Sex!A57</f>
        <v>0</v>
      </c>
      <c r="B59">
        <f>Crono_Sex!B57</f>
        <v>0</v>
      </c>
      <c r="C59" s="17">
        <f>Crono_Sex!C57</f>
        <v>0</v>
      </c>
      <c r="D59" t="str">
        <f>IFERROR(VLOOKUP(B59,RECEITAS!A:C,$D$7,FALSE),"")</f>
        <v/>
      </c>
      <c r="E59" s="1" t="str">
        <f>IFERROR(E58+(VLOOKUP($D59,PROCESSO!$B:$P,AP_CRONO_Sex!E$8,FALSE)/24),"")</f>
        <v/>
      </c>
      <c r="F59" s="1">
        <f>Crono_Sex!E57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6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7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8"/>
        <v/>
      </c>
    </row>
    <row r="60" spans="1:23" x14ac:dyDescent="0.3">
      <c r="A60">
        <f>Crono_Sex!A58</f>
        <v>0</v>
      </c>
      <c r="B60">
        <f>Crono_Sex!B58</f>
        <v>0</v>
      </c>
      <c r="C60" s="17">
        <f>Crono_Sex!C58</f>
        <v>0</v>
      </c>
      <c r="D60" t="str">
        <f>IFERROR(VLOOKUP(B60,RECEITAS!A:C,$D$7,FALSE),"")</f>
        <v/>
      </c>
      <c r="E60" s="1" t="str">
        <f>IFERROR(E59+(VLOOKUP($D60,PROCESSO!$B:$P,AP_CRONO_Sex!E$8,FALSE)/24),"")</f>
        <v/>
      </c>
      <c r="F60" s="1">
        <f>Crono_Sex!E58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6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7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8"/>
        <v/>
      </c>
    </row>
    <row r="61" spans="1:23" x14ac:dyDescent="0.3">
      <c r="A61">
        <f>Crono_Sex!A59</f>
        <v>0</v>
      </c>
      <c r="B61">
        <f>Crono_Sex!B59</f>
        <v>0</v>
      </c>
      <c r="C61" s="17">
        <f>Crono_Sex!C59</f>
        <v>0</v>
      </c>
      <c r="D61" t="str">
        <f>IFERROR(VLOOKUP(B61,RECEITAS!A:C,$D$7,FALSE),"")</f>
        <v/>
      </c>
      <c r="E61" s="1" t="str">
        <f>IFERROR(E60+(VLOOKUP($D61,PROCESSO!$B:$P,AP_CRONO_Sex!E$8,FALSE)/24),"")</f>
        <v/>
      </c>
      <c r="F61" s="1">
        <f>Crono_Sex!E59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6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7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8"/>
        <v/>
      </c>
    </row>
    <row r="62" spans="1:23" x14ac:dyDescent="0.3">
      <c r="A62">
        <f>Crono_Sex!A60</f>
        <v>0</v>
      </c>
      <c r="B62">
        <f>Crono_Sex!B60</f>
        <v>0</v>
      </c>
      <c r="C62" s="17">
        <f>Crono_Sex!C60</f>
        <v>0</v>
      </c>
      <c r="D62" t="str">
        <f>IFERROR(VLOOKUP(B62,RECEITAS!A:C,$D$7,FALSE),"")</f>
        <v/>
      </c>
      <c r="E62" s="1" t="str">
        <f>IFERROR(E61+(VLOOKUP($D62,PROCESSO!$B:$P,AP_CRONO_Sex!E$8,FALSE)/24),"")</f>
        <v/>
      </c>
      <c r="F62" s="1">
        <f>Crono_Sex!E60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6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7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8"/>
        <v/>
      </c>
    </row>
    <row r="63" spans="1:23" x14ac:dyDescent="0.3">
      <c r="A63">
        <f>Crono_Sex!A61</f>
        <v>0</v>
      </c>
      <c r="B63">
        <f>Crono_Sex!B61</f>
        <v>0</v>
      </c>
      <c r="C63" s="17">
        <f>Crono_Sex!C61</f>
        <v>0</v>
      </c>
      <c r="D63" t="str">
        <f>IFERROR(VLOOKUP(B63,RECEITAS!A:C,$D$7,FALSE),"")</f>
        <v/>
      </c>
      <c r="E63" s="1" t="str">
        <f>IFERROR(E62+(VLOOKUP($D63,PROCESSO!$B:$P,AP_CRONO_Sex!E$8,FALSE)/24),"")</f>
        <v/>
      </c>
      <c r="F63" s="1">
        <f>Crono_Sex!E61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6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7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8"/>
        <v/>
      </c>
    </row>
    <row r="64" spans="1:23" x14ac:dyDescent="0.3">
      <c r="A64">
        <f>Crono_Sex!A62</f>
        <v>0</v>
      </c>
      <c r="B64">
        <f>Crono_Sex!B62</f>
        <v>0</v>
      </c>
      <c r="C64" s="17">
        <f>Crono_Sex!C62</f>
        <v>0</v>
      </c>
      <c r="D64" t="str">
        <f>IFERROR(VLOOKUP(B64,RECEITAS!A:C,$D$7,FALSE),"")</f>
        <v/>
      </c>
      <c r="E64" s="1" t="str">
        <f>IFERROR(E63+(VLOOKUP($D64,PROCESSO!$B:$P,AP_CRONO_Sex!E$8,FALSE)/24),"")</f>
        <v/>
      </c>
      <c r="F64" s="1">
        <f>Crono_Sex!E62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6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7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8"/>
        <v/>
      </c>
    </row>
    <row r="65" spans="1:23" x14ac:dyDescent="0.3">
      <c r="A65">
        <f>Crono_Sex!A63</f>
        <v>0</v>
      </c>
      <c r="B65">
        <f>Crono_Sex!B63</f>
        <v>0</v>
      </c>
      <c r="C65" s="17">
        <f>Crono_Sex!C63</f>
        <v>0</v>
      </c>
      <c r="D65" t="str">
        <f>IFERROR(VLOOKUP(B65,RECEITAS!A:C,$D$7,FALSE),"")</f>
        <v/>
      </c>
      <c r="E65" s="1" t="str">
        <f>IFERROR(E64+(VLOOKUP($D65,PROCESSO!$B:$P,AP_CRONO_Sex!E$8,FALSE)/24),"")</f>
        <v/>
      </c>
      <c r="F65" s="1">
        <f>Crono_Sex!E63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6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7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8"/>
        <v/>
      </c>
    </row>
    <row r="66" spans="1:23" x14ac:dyDescent="0.3">
      <c r="A66">
        <f>Crono_Sex!A64</f>
        <v>0</v>
      </c>
      <c r="B66">
        <f>Crono_Sex!B64</f>
        <v>0</v>
      </c>
      <c r="C66" s="17">
        <f>Crono_Sex!C64</f>
        <v>0</v>
      </c>
      <c r="D66" t="str">
        <f>IFERROR(VLOOKUP(B66,RECEITAS!A:C,$D$7,FALSE),"")</f>
        <v/>
      </c>
      <c r="E66" s="1" t="str">
        <f>IFERROR(E65+(VLOOKUP($D66,PROCESSO!$B:$P,AP_CRONO_Sex!E$8,FALSE)/24),"")</f>
        <v/>
      </c>
      <c r="F66" s="1">
        <f>Crono_Sex!E64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6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7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8"/>
        <v/>
      </c>
    </row>
    <row r="67" spans="1:23" x14ac:dyDescent="0.3">
      <c r="A67">
        <f>Crono_Sex!A65</f>
        <v>0</v>
      </c>
      <c r="B67">
        <f>Crono_Sex!B65</f>
        <v>0</v>
      </c>
      <c r="C67" s="17">
        <f>Crono_Sex!C65</f>
        <v>0</v>
      </c>
      <c r="D67" t="str">
        <f>IFERROR(VLOOKUP(B67,RECEITAS!A:C,$D$7,FALSE),"")</f>
        <v/>
      </c>
      <c r="E67" s="1" t="str">
        <f>IFERROR(E66+(VLOOKUP($D67,PROCESSO!$B:$P,AP_CRONO_Sex!E$8,FALSE)/24),"")</f>
        <v/>
      </c>
      <c r="F67" s="1">
        <f>Crono_Sex!E65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6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7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8"/>
        <v/>
      </c>
    </row>
    <row r="68" spans="1:23" x14ac:dyDescent="0.3">
      <c r="A68">
        <f>Crono_Sex!A66</f>
        <v>0</v>
      </c>
      <c r="B68">
        <f>Crono_Sex!B66</f>
        <v>0</v>
      </c>
      <c r="C68" s="17">
        <f>Crono_Sex!C66</f>
        <v>0</v>
      </c>
      <c r="D68" t="str">
        <f>IFERROR(VLOOKUP(B68,RECEITAS!A:C,$D$7,FALSE),"")</f>
        <v/>
      </c>
      <c r="E68" s="1" t="str">
        <f>IFERROR(E67+(VLOOKUP($D68,PROCESSO!$B:$P,AP_CRONO_Sex!E$8,FALSE)/24),"")</f>
        <v/>
      </c>
      <c r="F68" s="1">
        <f>Crono_Sex!E66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6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7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8"/>
        <v/>
      </c>
    </row>
    <row r="69" spans="1:23" x14ac:dyDescent="0.3">
      <c r="A69">
        <f>Crono_Sex!A67</f>
        <v>0</v>
      </c>
      <c r="B69">
        <f>Crono_Sex!B67</f>
        <v>0</v>
      </c>
      <c r="C69" s="17">
        <f>Crono_Sex!C67</f>
        <v>0</v>
      </c>
      <c r="D69" t="str">
        <f>IFERROR(VLOOKUP(B69,RECEITAS!A:C,$D$7,FALSE),"")</f>
        <v/>
      </c>
      <c r="E69" s="1" t="str">
        <f>IFERROR(E68+(VLOOKUP($D69,PROCESSO!$B:$P,AP_CRONO_Sex!E$8,FALSE)/24),"")</f>
        <v/>
      </c>
      <c r="F69" s="1">
        <f>Crono_Sex!E67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6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7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8"/>
        <v/>
      </c>
    </row>
    <row r="70" spans="1:23" x14ac:dyDescent="0.3">
      <c r="A70">
        <f>Crono_Sex!A68</f>
        <v>0</v>
      </c>
      <c r="B70">
        <f>Crono_Sex!B68</f>
        <v>0</v>
      </c>
      <c r="C70" s="17">
        <f>Crono_Sex!C68</f>
        <v>0</v>
      </c>
      <c r="D70" t="str">
        <f>IFERROR(VLOOKUP(B70,RECEITAS!A:C,$D$7,FALSE),"")</f>
        <v/>
      </c>
      <c r="E70" s="1" t="str">
        <f>IFERROR(E69+(VLOOKUP($D70,PROCESSO!$B:$P,AP_CRONO_Sex!E$8,FALSE)/24),"")</f>
        <v/>
      </c>
      <c r="F70" s="1">
        <f>Crono_Sex!E68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6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7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8"/>
        <v/>
      </c>
    </row>
    <row r="71" spans="1:23" x14ac:dyDescent="0.3">
      <c r="A71">
        <f>Crono_Sex!A69</f>
        <v>0</v>
      </c>
      <c r="B71">
        <f>Crono_Sex!B69</f>
        <v>0</v>
      </c>
      <c r="C71" s="17">
        <f>Crono_Sex!C69</f>
        <v>0</v>
      </c>
      <c r="D71" t="str">
        <f>IFERROR(VLOOKUP(B71,RECEITAS!A:C,$D$7,FALSE),"")</f>
        <v/>
      </c>
      <c r="E71" s="1" t="str">
        <f>IFERROR(E70+(VLOOKUP($D71,PROCESSO!$B:$P,AP_CRONO_Sex!E$8,FALSE)/24),"")</f>
        <v/>
      </c>
      <c r="F71" s="1">
        <f>Crono_Sex!E69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6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7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8"/>
        <v/>
      </c>
    </row>
    <row r="72" spans="1:23" x14ac:dyDescent="0.3">
      <c r="A72">
        <f>Crono_Sex!A70</f>
        <v>0</v>
      </c>
      <c r="B72">
        <f>Crono_Sex!B70</f>
        <v>0</v>
      </c>
      <c r="C72" s="17">
        <f>Crono_Sex!C70</f>
        <v>0</v>
      </c>
      <c r="D72" t="str">
        <f>IFERROR(VLOOKUP(B72,RECEITAS!A:C,$D$7,FALSE),"")</f>
        <v/>
      </c>
      <c r="E72" s="1" t="str">
        <f>IFERROR(E71+(VLOOKUP($D72,PROCESSO!$B:$P,AP_CRONO_Sex!E$8,FALSE)/24),"")</f>
        <v/>
      </c>
      <c r="F72" s="1">
        <f>Crono_Sex!E70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6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7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8"/>
        <v/>
      </c>
    </row>
    <row r="73" spans="1:23" x14ac:dyDescent="0.3">
      <c r="A73">
        <f>Crono_Sex!A71</f>
        <v>0</v>
      </c>
      <c r="B73">
        <f>Crono_Sex!B71</f>
        <v>0</v>
      </c>
      <c r="C73" s="17">
        <f>Crono_Sex!C71</f>
        <v>0</v>
      </c>
      <c r="D73" t="str">
        <f>IFERROR(VLOOKUP(B73,RECEITAS!A:C,$D$7,FALSE),"")</f>
        <v/>
      </c>
      <c r="E73" s="1" t="str">
        <f>IFERROR(E72+(VLOOKUP($D73,PROCESSO!$B:$P,AP_CRONO_Sex!E$8,FALSE)/24),"")</f>
        <v/>
      </c>
      <c r="F73" s="1">
        <f>Crono_Sex!E71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6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7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8"/>
        <v/>
      </c>
    </row>
    <row r="74" spans="1:23" x14ac:dyDescent="0.3">
      <c r="A74">
        <f>Crono_Sex!A72</f>
        <v>0</v>
      </c>
      <c r="B74">
        <f>Crono_Sex!B72</f>
        <v>0</v>
      </c>
      <c r="C74" s="17">
        <f>Crono_Sex!C72</f>
        <v>0</v>
      </c>
      <c r="D74" t="str">
        <f>IFERROR(VLOOKUP(B74,RECEITAS!A:C,$D$7,FALSE),"")</f>
        <v/>
      </c>
      <c r="E74" s="1" t="str">
        <f>IFERROR(E73+(VLOOKUP($D74,PROCESSO!$B:$P,AP_CRONO_Sex!E$8,FALSE)/24),"")</f>
        <v/>
      </c>
      <c r="F74" s="1">
        <f>Crono_Sex!E72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6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7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8"/>
        <v/>
      </c>
    </row>
    <row r="75" spans="1:23" x14ac:dyDescent="0.3">
      <c r="A75">
        <f>Crono_Sex!A73</f>
        <v>0</v>
      </c>
      <c r="B75">
        <f>Crono_Sex!B73</f>
        <v>0</v>
      </c>
      <c r="C75" s="17">
        <f>Crono_Sex!C73</f>
        <v>0</v>
      </c>
      <c r="D75" t="str">
        <f>IFERROR(VLOOKUP(B75,RECEITAS!A:C,$D$7,FALSE),"")</f>
        <v/>
      </c>
      <c r="E75" s="1" t="str">
        <f>IFERROR(E74+(VLOOKUP($D75,PROCESSO!$B:$P,AP_CRONO_Sex!E$8,FALSE)/24),"")</f>
        <v/>
      </c>
      <c r="F75" s="1">
        <f>Crono_Sex!E73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6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7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8"/>
        <v/>
      </c>
    </row>
    <row r="76" spans="1:23" x14ac:dyDescent="0.3">
      <c r="A76">
        <f>Crono_Sex!A74</f>
        <v>0</v>
      </c>
      <c r="B76">
        <f>Crono_Sex!B74</f>
        <v>0</v>
      </c>
      <c r="C76" s="17">
        <f>Crono_Sex!C74</f>
        <v>0</v>
      </c>
      <c r="D76" t="str">
        <f>IFERROR(VLOOKUP(B76,RECEITAS!A:C,$D$7,FALSE),"")</f>
        <v/>
      </c>
      <c r="E76" s="1" t="str">
        <f>IFERROR(E75+(VLOOKUP($D76,PROCESSO!$B:$P,AP_CRONO_Sex!E$8,FALSE)/24),"")</f>
        <v/>
      </c>
      <c r="F76" s="1">
        <f>Crono_Sex!E74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6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7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8"/>
        <v/>
      </c>
    </row>
    <row r="77" spans="1:23" x14ac:dyDescent="0.3">
      <c r="A77">
        <f>Crono_Sex!A75</f>
        <v>0</v>
      </c>
      <c r="B77">
        <f>Crono_Sex!B75</f>
        <v>0</v>
      </c>
      <c r="C77" s="17">
        <f>Crono_Sex!C75</f>
        <v>0</v>
      </c>
      <c r="D77" t="str">
        <f>IFERROR(VLOOKUP(B77,RECEITAS!A:C,$D$7,FALSE),"")</f>
        <v/>
      </c>
      <c r="E77" s="1" t="str">
        <f>IFERROR(E76+(VLOOKUP($D77,PROCESSO!$B:$P,AP_CRONO_Sex!E$8,FALSE)/24),"")</f>
        <v/>
      </c>
      <c r="F77" s="1">
        <f>Crono_Sex!E75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6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7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8"/>
        <v/>
      </c>
    </row>
    <row r="78" spans="1:23" x14ac:dyDescent="0.3">
      <c r="A78">
        <f>Crono_Sex!A76</f>
        <v>0</v>
      </c>
      <c r="B78">
        <f>Crono_Sex!B76</f>
        <v>0</v>
      </c>
      <c r="C78" s="17">
        <f>Crono_Sex!C76</f>
        <v>0</v>
      </c>
      <c r="D78" t="str">
        <f>IFERROR(VLOOKUP(B78,RECEITAS!A:C,$D$7,FALSE),"")</f>
        <v/>
      </c>
      <c r="E78" s="1" t="str">
        <f>IFERROR(E77+(VLOOKUP($D78,PROCESSO!$B:$P,AP_CRONO_Sex!E$8,FALSE)/24),"")</f>
        <v/>
      </c>
      <c r="F78" s="1">
        <f>Crono_Sex!E76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6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7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8"/>
        <v/>
      </c>
    </row>
    <row r="79" spans="1:23" x14ac:dyDescent="0.3">
      <c r="A79">
        <f>Crono_Sex!A77</f>
        <v>0</v>
      </c>
      <c r="B79">
        <f>Crono_Sex!B77</f>
        <v>0</v>
      </c>
      <c r="C79" s="17">
        <f>Crono_Sex!C77</f>
        <v>0</v>
      </c>
      <c r="D79" t="str">
        <f>IFERROR(VLOOKUP(B79,RECEITAS!A:C,$D$7,FALSE),"")</f>
        <v/>
      </c>
      <c r="E79" s="1" t="str">
        <f>IFERROR(E78+(VLOOKUP($D79,PROCESSO!$B:$P,AP_CRONO_Sex!E$8,FALSE)/24),"")</f>
        <v/>
      </c>
      <c r="F79" s="1">
        <f>Crono_Sex!E77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6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7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8"/>
        <v/>
      </c>
    </row>
    <row r="80" spans="1:23" x14ac:dyDescent="0.3">
      <c r="A80">
        <f>Crono_Sex!A78</f>
        <v>0</v>
      </c>
      <c r="B80">
        <f>Crono_Sex!B78</f>
        <v>0</v>
      </c>
      <c r="C80" s="17">
        <f>Crono_Sex!C78</f>
        <v>0</v>
      </c>
      <c r="D80" t="str">
        <f>IFERROR(VLOOKUP(B80,RECEITAS!A:C,$D$7,FALSE),"")</f>
        <v/>
      </c>
      <c r="E80" s="1" t="str">
        <f>IFERROR(E79+(VLOOKUP($D80,PROCESSO!$B:$P,AP_CRONO_Sex!E$8,FALSE)/24),"")</f>
        <v/>
      </c>
      <c r="F80" s="1">
        <f>Crono_Sex!E78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6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7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8"/>
        <v/>
      </c>
    </row>
    <row r="81" spans="1:23" x14ac:dyDescent="0.3">
      <c r="A81">
        <f>Crono_Sex!A79</f>
        <v>0</v>
      </c>
      <c r="B81">
        <f>Crono_Sex!B79</f>
        <v>0</v>
      </c>
      <c r="C81" s="17">
        <f>Crono_Sex!C79</f>
        <v>0</v>
      </c>
      <c r="D81" t="str">
        <f>IFERROR(VLOOKUP(B81,RECEITAS!A:C,$D$7,FALSE),"")</f>
        <v/>
      </c>
      <c r="E81" s="1" t="str">
        <f>IFERROR(E80+(VLOOKUP($D81,PROCESSO!$B:$P,AP_CRONO_Sex!E$8,FALSE)/24),"")</f>
        <v/>
      </c>
      <c r="F81" s="1">
        <f>Crono_Sex!E79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6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7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8"/>
        <v/>
      </c>
    </row>
    <row r="82" spans="1:23" x14ac:dyDescent="0.3">
      <c r="A82">
        <f>Crono_Sex!A80</f>
        <v>0</v>
      </c>
      <c r="B82">
        <f>Crono_Sex!B80</f>
        <v>0</v>
      </c>
      <c r="C82" s="17">
        <f>Crono_Sex!C80</f>
        <v>0</v>
      </c>
      <c r="D82" t="str">
        <f>IFERROR(VLOOKUP(B82,RECEITAS!A:C,$D$7,FALSE),"")</f>
        <v/>
      </c>
      <c r="E82" s="1" t="str">
        <f>IFERROR(E81+(VLOOKUP($D82,PROCESSO!$B:$P,AP_CRONO_Sex!E$8,FALSE)/24),"")</f>
        <v/>
      </c>
      <c r="F82" s="1">
        <f>Crono_Sex!E80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6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7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8"/>
        <v/>
      </c>
    </row>
    <row r="83" spans="1:23" x14ac:dyDescent="0.3">
      <c r="A83">
        <f>Crono_Sex!A81</f>
        <v>0</v>
      </c>
      <c r="B83">
        <f>Crono_Sex!B81</f>
        <v>0</v>
      </c>
      <c r="C83" s="17">
        <f>Crono_Sex!C81</f>
        <v>0</v>
      </c>
      <c r="D83" t="str">
        <f>IFERROR(VLOOKUP(B83,RECEITAS!A:C,$D$7,FALSE),"")</f>
        <v/>
      </c>
      <c r="E83" s="1" t="str">
        <f>IFERROR(E82+(VLOOKUP($D83,PROCESSO!$B:$P,AP_CRONO_Sex!E$8,FALSE)/24),"")</f>
        <v/>
      </c>
      <c r="F83" s="1">
        <f>Crono_Sex!E81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6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7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8"/>
        <v/>
      </c>
    </row>
    <row r="84" spans="1:23" x14ac:dyDescent="0.3">
      <c r="A84">
        <f>Crono_Sex!A82</f>
        <v>0</v>
      </c>
      <c r="B84">
        <f>Crono_Sex!B82</f>
        <v>0</v>
      </c>
      <c r="C84" s="17">
        <f>Crono_Sex!C82</f>
        <v>0</v>
      </c>
      <c r="D84" t="str">
        <f>IFERROR(VLOOKUP(B84,RECEITAS!A:C,$D$7,FALSE),"")</f>
        <v/>
      </c>
      <c r="E84" s="1" t="str">
        <f>IFERROR(E83+(VLOOKUP($D84,PROCESSO!$B:$P,AP_CRONO_Sex!E$8,FALSE)/24),"")</f>
        <v/>
      </c>
      <c r="F84" s="1">
        <f>Crono_Sex!E82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6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7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8"/>
        <v/>
      </c>
    </row>
    <row r="85" spans="1:23" x14ac:dyDescent="0.3">
      <c r="A85">
        <f>Crono_Sex!A83</f>
        <v>0</v>
      </c>
      <c r="B85">
        <f>Crono_Sex!B83</f>
        <v>0</v>
      </c>
      <c r="C85" s="17">
        <f>Crono_Sex!C83</f>
        <v>0</v>
      </c>
      <c r="D85" t="str">
        <f>IFERROR(VLOOKUP(B85,RECEITAS!A:C,$D$7,FALSE),"")</f>
        <v/>
      </c>
      <c r="E85" s="1" t="str">
        <f>IFERROR(E84+(VLOOKUP($D85,PROCESSO!$B:$P,AP_CRONO_Sex!E$8,FALSE)/24),"")</f>
        <v/>
      </c>
      <c r="F85" s="1">
        <f>Crono_Sex!E83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6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7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8"/>
        <v/>
      </c>
    </row>
    <row r="86" spans="1:23" x14ac:dyDescent="0.3">
      <c r="A86">
        <f>Crono_Sex!A84</f>
        <v>0</v>
      </c>
      <c r="B86">
        <f>Crono_Sex!B84</f>
        <v>0</v>
      </c>
      <c r="C86" s="17">
        <f>Crono_Sex!C84</f>
        <v>0</v>
      </c>
      <c r="D86" t="str">
        <f>IFERROR(VLOOKUP(B86,RECEITAS!A:C,$D$7,FALSE),"")</f>
        <v/>
      </c>
      <c r="E86" s="1" t="str">
        <f>IFERROR(E85+(VLOOKUP($D86,PROCESSO!$B:$P,AP_CRONO_Sex!E$8,FALSE)/24),"")</f>
        <v/>
      </c>
      <c r="F86" s="1">
        <f>Crono_Sex!E84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6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7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8"/>
        <v/>
      </c>
    </row>
    <row r="87" spans="1:23" x14ac:dyDescent="0.3">
      <c r="A87">
        <f>Crono_Sex!A85</f>
        <v>0</v>
      </c>
      <c r="B87">
        <f>Crono_Sex!B85</f>
        <v>0</v>
      </c>
      <c r="C87" s="17">
        <f>Crono_Sex!C85</f>
        <v>0</v>
      </c>
      <c r="D87" t="str">
        <f>IFERROR(VLOOKUP(B87,RECEITAS!A:C,$D$7,FALSE),"")</f>
        <v/>
      </c>
      <c r="E87" s="1" t="str">
        <f>IFERROR(E86+(VLOOKUP($D87,PROCESSO!$B:$P,AP_CRONO_Sex!E$8,FALSE)/24),"")</f>
        <v/>
      </c>
      <c r="F87" s="1">
        <f>Crono_Sex!E85</f>
        <v>0</v>
      </c>
      <c r="G87" s="1" t="str">
        <f>IFERROR(IF(F87=0,"",VLOOKUP($D87,PROCESSO!$B:$P,G$8,FALSE)/24)*IFERROR(IF(#REF!&gt;$B$8,ROUNDUP(#REF!/$B$8,0),1),1)+($A$8/24)+F87,"")</f>
        <v/>
      </c>
      <c r="H87" s="1" t="str">
        <f t="shared" si="6"/>
        <v/>
      </c>
      <c r="I87" s="1" t="str">
        <f>IFERROR(IF(H87=0,"",VLOOKUP($D87,PROCESSO!$B:$P,H$8,FALSE)/24)+($A$8/24)+H87,"")</f>
        <v/>
      </c>
      <c r="J87" s="1" t="str">
        <f>IFERROR(IF(I87=0,"",VLOOKUP($D87,PROCESSO!$B:$P,I$8,FALSE)/24)+($A$8/24)+I87,"")</f>
        <v/>
      </c>
      <c r="K87" s="1" t="str">
        <f>IFERROR(IF(J87=0,"",VLOOKUP($D87,PROCESSO!$B:$P,J$8,FALSE)/24)+($A$8/24)+J87,"")</f>
        <v/>
      </c>
      <c r="L87" s="1" t="str">
        <f>IFERROR(IF(K87=0,"",VLOOKUP($D87,PROCESSO!$B:$P,K$8,FALSE)/24)+($A$8/24)+K87,"")</f>
        <v/>
      </c>
      <c r="M87" s="1" t="str">
        <f>IFERROR(IF(L87=0,"",VLOOKUP($D87,PROCESSO!$B:$P,L$8,FALSE)/24)+($A$8/24)+L87,"")</f>
        <v/>
      </c>
      <c r="N87" s="1" t="str">
        <f>IFERROR(IF(M87=0,"",VLOOKUP($D87,PROCESSO!$B:$P,M$8,FALSE)/24)+($A$8/24)+M87,"")</f>
        <v/>
      </c>
      <c r="O87" s="1" t="str">
        <f>IFERROR(IF(N87=0,"",VLOOKUP($D87,PROCESSO!$B:$P,N$8,FALSE)/24)+($A$8/24)+N87,"")</f>
        <v/>
      </c>
      <c r="P87" s="1" t="str">
        <f>IFERROR(IF(O87=0,"",VLOOKUP($D87,PROCESSO!$B:$P,O$8,FALSE)/24)+($A$8/24)+O87,"")</f>
        <v/>
      </c>
      <c r="Q87" s="1" t="str">
        <f>IFERROR(IF(P87=0,"",VLOOKUP($D87,PROCESSO!$B:$P,P$8,FALSE)/24)+($A$8/24)+P87,"")</f>
        <v/>
      </c>
      <c r="R87" s="1" t="str">
        <f>IFERROR(IF(Q87=0,"",VLOOKUP($D87,PROCESSO!$B:$P,Q$8,FALSE)/24)+($A$8/24)+Q87,"")</f>
        <v/>
      </c>
      <c r="S87" s="45" t="str">
        <f>IFERROR(IFERROR(VLOOKUP(D87,PROCESSO!B:P,15,FALSE),"")/SUMIFS(C:C,A:A,A87),"")</f>
        <v/>
      </c>
      <c r="T87" s="45" t="str">
        <f t="shared" si="7"/>
        <v/>
      </c>
      <c r="U87" s="45" t="str">
        <f>IFERROR(VLOOKUP(B87,RECEITAS!A:C,3,FALSE),"")</f>
        <v/>
      </c>
      <c r="V87" s="45" t="str">
        <f>IFERROR((U87+S87)*(1-ANALISE!$I$4),"")</f>
        <v/>
      </c>
      <c r="W87" s="45" t="str">
        <f t="shared" si="8"/>
        <v/>
      </c>
    </row>
    <row r="88" spans="1:23" x14ac:dyDescent="0.3">
      <c r="A88">
        <f>Crono_Sex!A86</f>
        <v>0</v>
      </c>
      <c r="B88">
        <f>Crono_Sex!B86</f>
        <v>0</v>
      </c>
      <c r="C88" s="17">
        <f>Crono_Sex!C86</f>
        <v>0</v>
      </c>
      <c r="D88" t="str">
        <f>IFERROR(VLOOKUP(B88,RECEITAS!A:C,$D$7,FALSE),"")</f>
        <v/>
      </c>
      <c r="E88" s="1" t="str">
        <f>IFERROR(E87+(VLOOKUP($D88,PROCESSO!$B:$P,AP_CRONO_Sex!E$8,FALSE)/24),"")</f>
        <v/>
      </c>
      <c r="F88" s="1">
        <f>Crono_Sex!E86</f>
        <v>0</v>
      </c>
      <c r="G88" s="1" t="str">
        <f>IFERROR(IF(F88=0,"",VLOOKUP($D88,PROCESSO!$B:$P,G$8,FALSE)/24)*IFERROR(IF(#REF!&gt;$B$8,ROUNDUP(#REF!/$B$8,0),1),1)+($A$8/24)+F88,"")</f>
        <v/>
      </c>
      <c r="H88" s="1" t="str">
        <f t="shared" si="6"/>
        <v/>
      </c>
      <c r="I88" s="1" t="str">
        <f>IFERROR(IF(H88=0,"",VLOOKUP($D88,PROCESSO!$B:$P,H$8,FALSE)/24)+($A$8/24)+H88,"")</f>
        <v/>
      </c>
      <c r="J88" s="1" t="str">
        <f>IFERROR(IF(I88=0,"",VLOOKUP($D88,PROCESSO!$B:$P,I$8,FALSE)/24)+($A$8/24)+I88,"")</f>
        <v/>
      </c>
      <c r="K88" s="1" t="str">
        <f>IFERROR(IF(J88=0,"",VLOOKUP($D88,PROCESSO!$B:$P,J$8,FALSE)/24)+($A$8/24)+J88,"")</f>
        <v/>
      </c>
      <c r="L88" s="1" t="str">
        <f>IFERROR(IF(K88=0,"",VLOOKUP($D88,PROCESSO!$B:$P,K$8,FALSE)/24)+($A$8/24)+K88,"")</f>
        <v/>
      </c>
      <c r="M88" s="1" t="str">
        <f>IFERROR(IF(L88=0,"",VLOOKUP($D88,PROCESSO!$B:$P,L$8,FALSE)/24)+($A$8/24)+L88,"")</f>
        <v/>
      </c>
      <c r="N88" s="1" t="str">
        <f>IFERROR(IF(M88=0,"",VLOOKUP($D88,PROCESSO!$B:$P,M$8,FALSE)/24)+($A$8/24)+M88,"")</f>
        <v/>
      </c>
      <c r="O88" s="1" t="str">
        <f>IFERROR(IF(N88=0,"",VLOOKUP($D88,PROCESSO!$B:$P,N$8,FALSE)/24)+($A$8/24)+N88,"")</f>
        <v/>
      </c>
      <c r="P88" s="1" t="str">
        <f>IFERROR(IF(O88=0,"",VLOOKUP($D88,PROCESSO!$B:$P,O$8,FALSE)/24)+($A$8/24)+O88,"")</f>
        <v/>
      </c>
      <c r="Q88" s="1" t="str">
        <f>IFERROR(IF(P88=0,"",VLOOKUP($D88,PROCESSO!$B:$P,P$8,FALSE)/24)+($A$8/24)+P88,"")</f>
        <v/>
      </c>
      <c r="R88" s="1" t="str">
        <f>IFERROR(IF(Q88=0,"",VLOOKUP($D88,PROCESSO!$B:$P,Q$8,FALSE)/24)+($A$8/24)+Q88,"")</f>
        <v/>
      </c>
      <c r="S88" s="45" t="str">
        <f>IFERROR(IFERROR(VLOOKUP(D88,PROCESSO!B:P,15,FALSE),"")/SUMIFS(C:C,A:A,A88),"")</f>
        <v/>
      </c>
      <c r="T88" s="45" t="str">
        <f t="shared" si="7"/>
        <v/>
      </c>
      <c r="U88" s="45" t="str">
        <f>IFERROR(VLOOKUP(B88,RECEITAS!A:C,3,FALSE),"")</f>
        <v/>
      </c>
      <c r="V88" s="45" t="str">
        <f>IFERROR((U88+S88)*(1-ANALISE!$I$4),"")</f>
        <v/>
      </c>
      <c r="W88" s="45" t="str">
        <f t="shared" si="8"/>
        <v/>
      </c>
    </row>
    <row r="89" spans="1:23" x14ac:dyDescent="0.3">
      <c r="A89">
        <f>Crono_Sex!A87</f>
        <v>0</v>
      </c>
      <c r="B89">
        <f>Crono_Sex!B87</f>
        <v>0</v>
      </c>
      <c r="C89" s="17">
        <f>Crono_Sex!C87</f>
        <v>0</v>
      </c>
      <c r="D89" t="str">
        <f>IFERROR(VLOOKUP(B89,RECEITAS!A:C,$D$7,FALSE),"")</f>
        <v/>
      </c>
      <c r="E89" s="1" t="str">
        <f>IFERROR(E88+(VLOOKUP($D89,PROCESSO!$B:$P,AP_CRONO_Sex!E$8,FALSE)/24),"")</f>
        <v/>
      </c>
      <c r="F89" s="1">
        <f>Crono_Sex!E87</f>
        <v>0</v>
      </c>
      <c r="G89" s="1" t="str">
        <f>IFERROR(IF(F89=0,"",VLOOKUP($D89,PROCESSO!$B:$P,G$8,FALSE)/24)*IFERROR(IF(#REF!&gt;$B$8,ROUNDUP(#REF!/$B$8,0),1),1)+($A$8/24)+F89,"")</f>
        <v/>
      </c>
      <c r="H89" s="1" t="str">
        <f t="shared" si="6"/>
        <v/>
      </c>
      <c r="I89" s="1" t="str">
        <f>IFERROR(IF(H89=0,"",VLOOKUP($D89,PROCESSO!$B:$P,H$8,FALSE)/24)+($A$8/24)+H89,"")</f>
        <v/>
      </c>
      <c r="J89" s="1" t="str">
        <f>IFERROR(IF(I89=0,"",VLOOKUP($D89,PROCESSO!$B:$P,I$8,FALSE)/24)+($A$8/24)+I89,"")</f>
        <v/>
      </c>
      <c r="K89" s="1" t="str">
        <f>IFERROR(IF(J89=0,"",VLOOKUP($D89,PROCESSO!$B:$P,J$8,FALSE)/24)+($A$8/24)+J89,"")</f>
        <v/>
      </c>
      <c r="L89" s="1" t="str">
        <f>IFERROR(IF(K89=0,"",VLOOKUP($D89,PROCESSO!$B:$P,K$8,FALSE)/24)+($A$8/24)+K89,"")</f>
        <v/>
      </c>
      <c r="M89" s="1" t="str">
        <f>IFERROR(IF(L89=0,"",VLOOKUP($D89,PROCESSO!$B:$P,L$8,FALSE)/24)+($A$8/24)+L89,"")</f>
        <v/>
      </c>
      <c r="N89" s="1" t="str">
        <f>IFERROR(IF(M89=0,"",VLOOKUP($D89,PROCESSO!$B:$P,M$8,FALSE)/24)+($A$8/24)+M89,"")</f>
        <v/>
      </c>
      <c r="O89" s="1" t="str">
        <f>IFERROR(IF(N89=0,"",VLOOKUP($D89,PROCESSO!$B:$P,N$8,FALSE)/24)+($A$8/24)+N89,"")</f>
        <v/>
      </c>
      <c r="P89" s="1" t="str">
        <f>IFERROR(IF(O89=0,"",VLOOKUP($D89,PROCESSO!$B:$P,O$8,FALSE)/24)+($A$8/24)+O89,"")</f>
        <v/>
      </c>
      <c r="Q89" s="1" t="str">
        <f>IFERROR(IF(P89=0,"",VLOOKUP($D89,PROCESSO!$B:$P,P$8,FALSE)/24)+($A$8/24)+P89,"")</f>
        <v/>
      </c>
      <c r="R89" s="1" t="str">
        <f>IFERROR(IF(Q89=0,"",VLOOKUP($D89,PROCESSO!$B:$P,Q$8,FALSE)/24)+($A$8/24)+Q89,"")</f>
        <v/>
      </c>
      <c r="S89" s="45" t="str">
        <f>IFERROR(IFERROR(VLOOKUP(D89,PROCESSO!B:P,15,FALSE),"")/SUMIFS(C:C,A:A,A89),"")</f>
        <v/>
      </c>
      <c r="T89" s="45" t="str">
        <f t="shared" si="7"/>
        <v/>
      </c>
      <c r="U89" s="45" t="str">
        <f>IFERROR(VLOOKUP(B89,RECEITAS!A:C,3,FALSE),"")</f>
        <v/>
      </c>
      <c r="V89" s="45" t="str">
        <f>IFERROR((U89+S89)*(1-ANALISE!$I$4),"")</f>
        <v/>
      </c>
      <c r="W89" s="45" t="str">
        <f t="shared" si="8"/>
        <v/>
      </c>
    </row>
    <row r="90" spans="1:23" x14ac:dyDescent="0.3">
      <c r="A90">
        <f>Crono_Sex!A88</f>
        <v>0</v>
      </c>
      <c r="B90">
        <f>Crono_Sex!B88</f>
        <v>0</v>
      </c>
      <c r="C90" s="17">
        <f>Crono_Sex!C88</f>
        <v>0</v>
      </c>
      <c r="D90" t="str">
        <f>IFERROR(VLOOKUP(B90,RECEITAS!A:C,$D$7,FALSE),"")</f>
        <v/>
      </c>
      <c r="E90" s="1" t="str">
        <f>IFERROR(E89+(VLOOKUP($D90,PROCESSO!$B:$P,AP_CRONO_Sex!E$8,FALSE)/24),"")</f>
        <v/>
      </c>
      <c r="F90" s="1">
        <f>Crono_Sex!E88</f>
        <v>0</v>
      </c>
      <c r="G90" s="1" t="str">
        <f>IFERROR(IF(F90=0,"",VLOOKUP($D90,PROCESSO!$B:$P,G$8,FALSE)/24)*IFERROR(IF(#REF!&gt;$B$8,ROUNDUP(#REF!/$B$8,0),1),1)+($A$8/24)+F90,"")</f>
        <v/>
      </c>
      <c r="H90" s="1" t="str">
        <f t="shared" si="6"/>
        <v/>
      </c>
      <c r="I90" s="1" t="str">
        <f>IFERROR(IF(H90=0,"",VLOOKUP($D90,PROCESSO!$B:$P,H$8,FALSE)/24)+($A$8/24)+H90,"")</f>
        <v/>
      </c>
      <c r="J90" s="1" t="str">
        <f>IFERROR(IF(I90=0,"",VLOOKUP($D90,PROCESSO!$B:$P,I$8,FALSE)/24)+($A$8/24)+I90,"")</f>
        <v/>
      </c>
      <c r="K90" s="1" t="str">
        <f>IFERROR(IF(J90=0,"",VLOOKUP($D90,PROCESSO!$B:$P,J$8,FALSE)/24)+($A$8/24)+J90,"")</f>
        <v/>
      </c>
      <c r="L90" s="1" t="str">
        <f>IFERROR(IF(K90=0,"",VLOOKUP($D90,PROCESSO!$B:$P,K$8,FALSE)/24)+($A$8/24)+K90,"")</f>
        <v/>
      </c>
      <c r="M90" s="1" t="str">
        <f>IFERROR(IF(L90=0,"",VLOOKUP($D90,PROCESSO!$B:$P,L$8,FALSE)/24)+($A$8/24)+L90,"")</f>
        <v/>
      </c>
      <c r="N90" s="1" t="str">
        <f>IFERROR(IF(M90=0,"",VLOOKUP($D90,PROCESSO!$B:$P,M$8,FALSE)/24)+($A$8/24)+M90,"")</f>
        <v/>
      </c>
      <c r="O90" s="1" t="str">
        <f>IFERROR(IF(N90=0,"",VLOOKUP($D90,PROCESSO!$B:$P,N$8,FALSE)/24)+($A$8/24)+N90,"")</f>
        <v/>
      </c>
      <c r="P90" s="1" t="str">
        <f>IFERROR(IF(O90=0,"",VLOOKUP($D90,PROCESSO!$B:$P,O$8,FALSE)/24)+($A$8/24)+O90,"")</f>
        <v/>
      </c>
      <c r="Q90" s="1" t="str">
        <f>IFERROR(IF(P90=0,"",VLOOKUP($D90,PROCESSO!$B:$P,P$8,FALSE)/24)+($A$8/24)+P90,"")</f>
        <v/>
      </c>
      <c r="R90" s="1" t="str">
        <f>IFERROR(IF(Q90=0,"",VLOOKUP($D90,PROCESSO!$B:$P,Q$8,FALSE)/24)+($A$8/24)+Q90,"")</f>
        <v/>
      </c>
      <c r="S90" s="45" t="str">
        <f>IFERROR(IFERROR(VLOOKUP(D90,PROCESSO!B:P,15,FALSE),"")/SUMIFS(C:C,A:A,A90),"")</f>
        <v/>
      </c>
      <c r="T90" s="45" t="str">
        <f t="shared" si="7"/>
        <v/>
      </c>
      <c r="U90" s="45" t="str">
        <f>IFERROR(VLOOKUP(B90,RECEITAS!A:C,3,FALSE),"")</f>
        <v/>
      </c>
      <c r="V90" s="45" t="str">
        <f>IFERROR((U90+S90)*(1-ANALISE!$I$4),"")</f>
        <v/>
      </c>
      <c r="W90" s="45" t="str">
        <f t="shared" si="8"/>
        <v/>
      </c>
    </row>
    <row r="91" spans="1:23" x14ac:dyDescent="0.3">
      <c r="A91">
        <f>Crono_Sex!A89</f>
        <v>0</v>
      </c>
      <c r="B91">
        <f>Crono_Sex!B89</f>
        <v>0</v>
      </c>
      <c r="C91" s="17">
        <f>Crono_Sex!C89</f>
        <v>0</v>
      </c>
      <c r="D91" t="str">
        <f>IFERROR(VLOOKUP(B91,RECEITAS!A:C,$D$7,FALSE),"")</f>
        <v/>
      </c>
      <c r="E91" s="1" t="str">
        <f>IFERROR(E90+(VLOOKUP($D91,PROCESSO!$B:$P,AP_CRONO_Sex!E$8,FALSE)/24),"")</f>
        <v/>
      </c>
      <c r="F91" s="1">
        <f>Crono_Sex!E89</f>
        <v>0</v>
      </c>
      <c r="G91" s="1" t="str">
        <f>IFERROR(IF(F91=0,"",VLOOKUP($D91,PROCESSO!$B:$P,G$8,FALSE)/24)*IFERROR(IF(#REF!&gt;$B$8,ROUNDUP(#REF!/$B$8,0),1),1)+($A$8/24)+F91,"")</f>
        <v/>
      </c>
      <c r="H91" s="1" t="str">
        <f t="shared" si="6"/>
        <v/>
      </c>
      <c r="I91" s="1" t="str">
        <f>IFERROR(IF(H91=0,"",VLOOKUP($D91,PROCESSO!$B:$P,H$8,FALSE)/24)+($A$8/24)+H91,"")</f>
        <v/>
      </c>
      <c r="J91" s="1" t="str">
        <f>IFERROR(IF(I91=0,"",VLOOKUP($D91,PROCESSO!$B:$P,I$8,FALSE)/24)+($A$8/24)+I91,"")</f>
        <v/>
      </c>
      <c r="K91" s="1" t="str">
        <f>IFERROR(IF(J91=0,"",VLOOKUP($D91,PROCESSO!$B:$P,J$8,FALSE)/24)+($A$8/24)+J91,"")</f>
        <v/>
      </c>
      <c r="L91" s="1" t="str">
        <f>IFERROR(IF(K91=0,"",VLOOKUP($D91,PROCESSO!$B:$P,K$8,FALSE)/24)+($A$8/24)+K91,"")</f>
        <v/>
      </c>
      <c r="M91" s="1" t="str">
        <f>IFERROR(IF(L91=0,"",VLOOKUP($D91,PROCESSO!$B:$P,L$8,FALSE)/24)+($A$8/24)+L91,"")</f>
        <v/>
      </c>
      <c r="N91" s="1" t="str">
        <f>IFERROR(IF(M91=0,"",VLOOKUP($D91,PROCESSO!$B:$P,M$8,FALSE)/24)+($A$8/24)+M91,"")</f>
        <v/>
      </c>
      <c r="O91" s="1" t="str">
        <f>IFERROR(IF(N91=0,"",VLOOKUP($D91,PROCESSO!$B:$P,N$8,FALSE)/24)+($A$8/24)+N91,"")</f>
        <v/>
      </c>
      <c r="P91" s="1" t="str">
        <f>IFERROR(IF(O91=0,"",VLOOKUP($D91,PROCESSO!$B:$P,O$8,FALSE)/24)+($A$8/24)+O91,"")</f>
        <v/>
      </c>
      <c r="Q91" s="1" t="str">
        <f>IFERROR(IF(P91=0,"",VLOOKUP($D91,PROCESSO!$B:$P,P$8,FALSE)/24)+($A$8/24)+P91,"")</f>
        <v/>
      </c>
      <c r="R91" s="1" t="str">
        <f>IFERROR(IF(Q91=0,"",VLOOKUP($D91,PROCESSO!$B:$P,Q$8,FALSE)/24)+($A$8/24)+Q91,"")</f>
        <v/>
      </c>
      <c r="S91" s="45" t="str">
        <f>IFERROR(IFERROR(VLOOKUP(D91,PROCESSO!B:P,15,FALSE),"")/SUMIFS(C:C,A:A,A91),"")</f>
        <v/>
      </c>
      <c r="T91" s="45" t="str">
        <f t="shared" si="7"/>
        <v/>
      </c>
      <c r="U91" s="45" t="str">
        <f>IFERROR(VLOOKUP(B91,RECEITAS!A:C,3,FALSE),"")</f>
        <v/>
      </c>
      <c r="V91" s="45" t="str">
        <f>IFERROR((U91+S91)*(1-ANALISE!$I$4),"")</f>
        <v/>
      </c>
      <c r="W91" s="45" t="str">
        <f t="shared" si="8"/>
        <v/>
      </c>
    </row>
    <row r="92" spans="1:23" x14ac:dyDescent="0.3">
      <c r="A92">
        <f>Crono_Sex!A90</f>
        <v>0</v>
      </c>
      <c r="B92">
        <f>Crono_Sex!B90</f>
        <v>0</v>
      </c>
      <c r="C92" s="17">
        <f>Crono_Sex!C90</f>
        <v>0</v>
      </c>
      <c r="D92" t="str">
        <f>IFERROR(VLOOKUP(B92,RECEITAS!A:C,$D$7,FALSE),"")</f>
        <v/>
      </c>
      <c r="E92" s="1" t="str">
        <f>IFERROR(E91+(VLOOKUP($D92,PROCESSO!$B:$P,AP_CRONO_Sex!E$8,FALSE)/24),"")</f>
        <v/>
      </c>
      <c r="F92" s="1">
        <f>Crono_Sex!E90</f>
        <v>0</v>
      </c>
      <c r="G92" s="1" t="str">
        <f>IFERROR(IF(F92=0,"",VLOOKUP($D92,PROCESSO!$B:$P,G$8,FALSE)/24)*IFERROR(IF(#REF!&gt;$B$8,ROUNDUP(#REF!/$B$8,0),1),1)+($A$8/24)+F92,"")</f>
        <v/>
      </c>
      <c r="H92" s="1" t="str">
        <f t="shared" si="6"/>
        <v/>
      </c>
      <c r="I92" s="1" t="str">
        <f>IFERROR(IF(H92=0,"",VLOOKUP($D92,PROCESSO!$B:$P,H$8,FALSE)/24)+($A$8/24)+H92,"")</f>
        <v/>
      </c>
      <c r="J92" s="1" t="str">
        <f>IFERROR(IF(I92=0,"",VLOOKUP($D92,PROCESSO!$B:$P,I$8,FALSE)/24)+($A$8/24)+I92,"")</f>
        <v/>
      </c>
      <c r="K92" s="1" t="str">
        <f>IFERROR(IF(J92=0,"",VLOOKUP($D92,PROCESSO!$B:$P,J$8,FALSE)/24)+($A$8/24)+J92,"")</f>
        <v/>
      </c>
      <c r="L92" s="1" t="str">
        <f>IFERROR(IF(K92=0,"",VLOOKUP($D92,PROCESSO!$B:$P,K$8,FALSE)/24)+($A$8/24)+K92,"")</f>
        <v/>
      </c>
      <c r="M92" s="1" t="str">
        <f>IFERROR(IF(L92=0,"",VLOOKUP($D92,PROCESSO!$B:$P,L$8,FALSE)/24)+($A$8/24)+L92,"")</f>
        <v/>
      </c>
      <c r="N92" s="1" t="str">
        <f>IFERROR(IF(M92=0,"",VLOOKUP($D92,PROCESSO!$B:$P,M$8,FALSE)/24)+($A$8/24)+M92,"")</f>
        <v/>
      </c>
      <c r="O92" s="1" t="str">
        <f>IFERROR(IF(N92=0,"",VLOOKUP($D92,PROCESSO!$B:$P,N$8,FALSE)/24)+($A$8/24)+N92,"")</f>
        <v/>
      </c>
      <c r="P92" s="1" t="str">
        <f>IFERROR(IF(O92=0,"",VLOOKUP($D92,PROCESSO!$B:$P,O$8,FALSE)/24)+($A$8/24)+O92,"")</f>
        <v/>
      </c>
      <c r="Q92" s="1" t="str">
        <f>IFERROR(IF(P92=0,"",VLOOKUP($D92,PROCESSO!$B:$P,P$8,FALSE)/24)+($A$8/24)+P92,"")</f>
        <v/>
      </c>
      <c r="R92" s="1" t="str">
        <f>IFERROR(IF(Q92=0,"",VLOOKUP($D92,PROCESSO!$B:$P,Q$8,FALSE)/24)+($A$8/24)+Q92,"")</f>
        <v/>
      </c>
      <c r="S92" s="45" t="str">
        <f>IFERROR(IFERROR(VLOOKUP(D92,PROCESSO!B:P,15,FALSE),"")/SUMIFS(C:C,A:A,A92),"")</f>
        <v/>
      </c>
      <c r="T92" s="45" t="str">
        <f t="shared" si="7"/>
        <v/>
      </c>
      <c r="U92" s="45" t="str">
        <f>IFERROR(VLOOKUP(B92,RECEITAS!A:C,3,FALSE),"")</f>
        <v/>
      </c>
      <c r="V92" s="45" t="str">
        <f>IFERROR((U92+S92)*(1-ANALISE!$I$4),"")</f>
        <v/>
      </c>
      <c r="W92" s="45" t="str">
        <f t="shared" si="8"/>
        <v/>
      </c>
    </row>
    <row r="93" spans="1:23" x14ac:dyDescent="0.3">
      <c r="A93">
        <f>Crono_Sex!A91</f>
        <v>0</v>
      </c>
      <c r="B93">
        <f>Crono_Sex!B91</f>
        <v>0</v>
      </c>
      <c r="C93" s="17">
        <f>Crono_Sex!C91</f>
        <v>0</v>
      </c>
      <c r="D93" t="str">
        <f>IFERROR(VLOOKUP(B93,RECEITAS!A:C,$D$7,FALSE),"")</f>
        <v/>
      </c>
      <c r="E93" s="1" t="str">
        <f>IFERROR(E92+(VLOOKUP($D93,PROCESSO!$B:$P,AP_CRONO_Sex!E$8,FALSE)/24),"")</f>
        <v/>
      </c>
      <c r="F93" s="1">
        <f>Crono_Sex!E91</f>
        <v>0</v>
      </c>
      <c r="G93" s="1" t="str">
        <f>IFERROR(IF(F93=0,"",VLOOKUP($D93,PROCESSO!$B:$P,G$8,FALSE)/24)*IFERROR(IF(#REF!&gt;$B$8,ROUNDUP(#REF!/$B$8,0),1),1)+($A$8/24)+F93,"")</f>
        <v/>
      </c>
      <c r="H93" s="1" t="str">
        <f t="shared" ref="H93:H133" si="9">G93</f>
        <v/>
      </c>
      <c r="I93" s="1" t="str">
        <f>IFERROR(IF(H93=0,"",VLOOKUP($D93,PROCESSO!$B:$P,H$8,FALSE)/24)+($A$8/24)+H93,"")</f>
        <v/>
      </c>
      <c r="J93" s="1" t="str">
        <f>IFERROR(IF(I93=0,"",VLOOKUP($D93,PROCESSO!$B:$P,I$8,FALSE)/24)+($A$8/24)+I93,"")</f>
        <v/>
      </c>
      <c r="K93" s="1" t="str">
        <f>IFERROR(IF(J93=0,"",VLOOKUP($D93,PROCESSO!$B:$P,J$8,FALSE)/24)+($A$8/24)+J93,"")</f>
        <v/>
      </c>
      <c r="L93" s="1" t="str">
        <f>IFERROR(IF(K93=0,"",VLOOKUP($D93,PROCESSO!$B:$P,K$8,FALSE)/24)+($A$8/24)+K93,"")</f>
        <v/>
      </c>
      <c r="M93" s="1" t="str">
        <f>IFERROR(IF(L93=0,"",VLOOKUP($D93,PROCESSO!$B:$P,L$8,FALSE)/24)+($A$8/24)+L93,"")</f>
        <v/>
      </c>
      <c r="N93" s="1" t="str">
        <f>IFERROR(IF(M93=0,"",VLOOKUP($D93,PROCESSO!$B:$P,M$8,FALSE)/24)+($A$8/24)+M93,"")</f>
        <v/>
      </c>
      <c r="O93" s="1" t="str">
        <f>IFERROR(IF(N93=0,"",VLOOKUP($D93,PROCESSO!$B:$P,N$8,FALSE)/24)+($A$8/24)+N93,"")</f>
        <v/>
      </c>
      <c r="P93" s="1" t="str">
        <f>IFERROR(IF(O93=0,"",VLOOKUP($D93,PROCESSO!$B:$P,O$8,FALSE)/24)+($A$8/24)+O93,"")</f>
        <v/>
      </c>
      <c r="Q93" s="1" t="str">
        <f>IFERROR(IF(P93=0,"",VLOOKUP($D93,PROCESSO!$B:$P,P$8,FALSE)/24)+($A$8/24)+P93,"")</f>
        <v/>
      </c>
      <c r="R93" s="1" t="str">
        <f>IFERROR(IF(Q93=0,"",VLOOKUP($D93,PROCESSO!$B:$P,Q$8,FALSE)/24)+($A$8/24)+Q93,"")</f>
        <v/>
      </c>
      <c r="S93" s="45" t="str">
        <f>IFERROR(IFERROR(VLOOKUP(D93,PROCESSO!B:P,15,FALSE),"")/SUMIFS(C:C,A:A,A93),"")</f>
        <v/>
      </c>
      <c r="T93" s="45" t="str">
        <f t="shared" ref="T93:T133" si="10">IFERROR(S93*C93,"")</f>
        <v/>
      </c>
      <c r="U93" s="45" t="str">
        <f>IFERROR(VLOOKUP(B93,RECEITAS!A:C,3,FALSE),"")</f>
        <v/>
      </c>
      <c r="V93" s="45" t="str">
        <f>IFERROR((U93+S93)*(1-ANALISE!$I$4),"")</f>
        <v/>
      </c>
      <c r="W93" s="45" t="str">
        <f t="shared" ref="W93:W133" si="11">IFERROR(V93*C93,"")</f>
        <v/>
      </c>
    </row>
    <row r="94" spans="1:23" x14ac:dyDescent="0.3">
      <c r="A94">
        <f>Crono_Sex!A92</f>
        <v>0</v>
      </c>
      <c r="B94">
        <f>Crono_Sex!B92</f>
        <v>0</v>
      </c>
      <c r="C94" s="17">
        <f>Crono_Sex!C92</f>
        <v>0</v>
      </c>
      <c r="D94" t="str">
        <f>IFERROR(VLOOKUP(B94,RECEITAS!A:C,$D$7,FALSE),"")</f>
        <v/>
      </c>
      <c r="E94" s="1" t="str">
        <f>IFERROR(E93+(VLOOKUP($D94,PROCESSO!$B:$P,AP_CRONO_Sex!E$8,FALSE)/24),"")</f>
        <v/>
      </c>
      <c r="F94" s="1">
        <f>Crono_Sex!E92</f>
        <v>0</v>
      </c>
      <c r="G94" s="1" t="str">
        <f>IFERROR(IF(F94=0,"",VLOOKUP($D94,PROCESSO!$B:$P,G$8,FALSE)/24)*IFERROR(IF(#REF!&gt;$B$8,ROUNDUP(#REF!/$B$8,0),1),1)+($A$8/24)+F94,"")</f>
        <v/>
      </c>
      <c r="H94" s="1" t="str">
        <f t="shared" si="9"/>
        <v/>
      </c>
      <c r="I94" s="1" t="str">
        <f>IFERROR(IF(H94=0,"",VLOOKUP($D94,PROCESSO!$B:$P,H$8,FALSE)/24)+($A$8/24)+H94,"")</f>
        <v/>
      </c>
      <c r="J94" s="1" t="str">
        <f>IFERROR(IF(I94=0,"",VLOOKUP($D94,PROCESSO!$B:$P,I$8,FALSE)/24)+($A$8/24)+I94,"")</f>
        <v/>
      </c>
      <c r="K94" s="1" t="str">
        <f>IFERROR(IF(J94=0,"",VLOOKUP($D94,PROCESSO!$B:$P,J$8,FALSE)/24)+($A$8/24)+J94,"")</f>
        <v/>
      </c>
      <c r="L94" s="1" t="str">
        <f>IFERROR(IF(K94=0,"",VLOOKUP($D94,PROCESSO!$B:$P,K$8,FALSE)/24)+($A$8/24)+K94,"")</f>
        <v/>
      </c>
      <c r="M94" s="1" t="str">
        <f>IFERROR(IF(L94=0,"",VLOOKUP($D94,PROCESSO!$B:$P,L$8,FALSE)/24)+($A$8/24)+L94,"")</f>
        <v/>
      </c>
      <c r="N94" s="1" t="str">
        <f>IFERROR(IF(M94=0,"",VLOOKUP($D94,PROCESSO!$B:$P,M$8,FALSE)/24)+($A$8/24)+M94,"")</f>
        <v/>
      </c>
      <c r="O94" s="1" t="str">
        <f>IFERROR(IF(N94=0,"",VLOOKUP($D94,PROCESSO!$B:$P,N$8,FALSE)/24)+($A$8/24)+N94,"")</f>
        <v/>
      </c>
      <c r="P94" s="1" t="str">
        <f>IFERROR(IF(O94=0,"",VLOOKUP($D94,PROCESSO!$B:$P,O$8,FALSE)/24)+($A$8/24)+O94,"")</f>
        <v/>
      </c>
      <c r="Q94" s="1" t="str">
        <f>IFERROR(IF(P94=0,"",VLOOKUP($D94,PROCESSO!$B:$P,P$8,FALSE)/24)+($A$8/24)+P94,"")</f>
        <v/>
      </c>
      <c r="R94" s="1" t="str">
        <f>IFERROR(IF(Q94=0,"",VLOOKUP($D94,PROCESSO!$B:$P,Q$8,FALSE)/24)+($A$8/24)+Q94,"")</f>
        <v/>
      </c>
      <c r="S94" s="45" t="str">
        <f>IFERROR(IFERROR(VLOOKUP(D94,PROCESSO!B:P,15,FALSE),"")/SUMIFS(C:C,A:A,A94),"")</f>
        <v/>
      </c>
      <c r="T94" s="45" t="str">
        <f t="shared" si="10"/>
        <v/>
      </c>
      <c r="U94" s="45" t="str">
        <f>IFERROR(VLOOKUP(B94,RECEITAS!A:C,3,FALSE),"")</f>
        <v/>
      </c>
      <c r="V94" s="45" t="str">
        <f>IFERROR((U94+S94)*(1-ANALISE!$I$4),"")</f>
        <v/>
      </c>
      <c r="W94" s="45" t="str">
        <f t="shared" si="11"/>
        <v/>
      </c>
    </row>
    <row r="95" spans="1:23" x14ac:dyDescent="0.3">
      <c r="A95">
        <f>Crono_Sex!A93</f>
        <v>0</v>
      </c>
      <c r="B95">
        <f>Crono_Sex!B93</f>
        <v>0</v>
      </c>
      <c r="C95" s="17">
        <f>Crono_Sex!C93</f>
        <v>0</v>
      </c>
      <c r="D95" t="str">
        <f>IFERROR(VLOOKUP(B95,RECEITAS!A:C,$D$7,FALSE),"")</f>
        <v/>
      </c>
      <c r="E95" s="1" t="str">
        <f>IFERROR(E94+(VLOOKUP($D95,PROCESSO!$B:$P,AP_CRONO_Sex!E$8,FALSE)/24),"")</f>
        <v/>
      </c>
      <c r="F95" s="1">
        <f>Crono_Sex!E93</f>
        <v>0</v>
      </c>
      <c r="G95" s="1" t="str">
        <f>IFERROR(IF(F95=0,"",VLOOKUP($D95,PROCESSO!$B:$P,G$8,FALSE)/24)*IFERROR(IF(#REF!&gt;$B$8,ROUNDUP(#REF!/$B$8,0),1),1)+($A$8/24)+F95,"")</f>
        <v/>
      </c>
      <c r="H95" s="1" t="str">
        <f t="shared" si="9"/>
        <v/>
      </c>
      <c r="I95" s="1" t="str">
        <f>IFERROR(IF(H95=0,"",VLOOKUP($D95,PROCESSO!$B:$P,H$8,FALSE)/24)+($A$8/24)+H95,"")</f>
        <v/>
      </c>
      <c r="J95" s="1" t="str">
        <f>IFERROR(IF(I95=0,"",VLOOKUP($D95,PROCESSO!$B:$P,I$8,FALSE)/24)+($A$8/24)+I95,"")</f>
        <v/>
      </c>
      <c r="K95" s="1" t="str">
        <f>IFERROR(IF(J95=0,"",VLOOKUP($D95,PROCESSO!$B:$P,J$8,FALSE)/24)+($A$8/24)+J95,"")</f>
        <v/>
      </c>
      <c r="L95" s="1" t="str">
        <f>IFERROR(IF(K95=0,"",VLOOKUP($D95,PROCESSO!$B:$P,K$8,FALSE)/24)+($A$8/24)+K95,"")</f>
        <v/>
      </c>
      <c r="M95" s="1" t="str">
        <f>IFERROR(IF(L95=0,"",VLOOKUP($D95,PROCESSO!$B:$P,L$8,FALSE)/24)+($A$8/24)+L95,"")</f>
        <v/>
      </c>
      <c r="N95" s="1" t="str">
        <f>IFERROR(IF(M95=0,"",VLOOKUP($D95,PROCESSO!$B:$P,M$8,FALSE)/24)+($A$8/24)+M95,"")</f>
        <v/>
      </c>
      <c r="O95" s="1" t="str">
        <f>IFERROR(IF(N95=0,"",VLOOKUP($D95,PROCESSO!$B:$P,N$8,FALSE)/24)+($A$8/24)+N95,"")</f>
        <v/>
      </c>
      <c r="P95" s="1" t="str">
        <f>IFERROR(IF(O95=0,"",VLOOKUP($D95,PROCESSO!$B:$P,O$8,FALSE)/24)+($A$8/24)+O95,"")</f>
        <v/>
      </c>
      <c r="Q95" s="1" t="str">
        <f>IFERROR(IF(P95=0,"",VLOOKUP($D95,PROCESSO!$B:$P,P$8,FALSE)/24)+($A$8/24)+P95,"")</f>
        <v/>
      </c>
      <c r="R95" s="1" t="str">
        <f>IFERROR(IF(Q95=0,"",VLOOKUP($D95,PROCESSO!$B:$P,Q$8,FALSE)/24)+($A$8/24)+Q95,"")</f>
        <v/>
      </c>
      <c r="S95" s="45" t="str">
        <f>IFERROR(IFERROR(VLOOKUP(D95,PROCESSO!B:P,15,FALSE),"")/SUMIFS(C:C,A:A,A95),"")</f>
        <v/>
      </c>
      <c r="T95" s="45" t="str">
        <f t="shared" si="10"/>
        <v/>
      </c>
      <c r="U95" s="45" t="str">
        <f>IFERROR(VLOOKUP(B95,RECEITAS!A:C,3,FALSE),"")</f>
        <v/>
      </c>
      <c r="V95" s="45" t="str">
        <f>IFERROR((U95+S95)*(1-ANALISE!$I$4),"")</f>
        <v/>
      </c>
      <c r="W95" s="45" t="str">
        <f t="shared" si="11"/>
        <v/>
      </c>
    </row>
    <row r="96" spans="1:23" x14ac:dyDescent="0.3">
      <c r="A96">
        <f>Crono_Sex!A94</f>
        <v>0</v>
      </c>
      <c r="B96">
        <f>Crono_Sex!B94</f>
        <v>0</v>
      </c>
      <c r="C96" s="17">
        <f>Crono_Sex!C94</f>
        <v>0</v>
      </c>
      <c r="D96" t="str">
        <f>IFERROR(VLOOKUP(B96,RECEITAS!A:C,$D$7,FALSE),"")</f>
        <v/>
      </c>
      <c r="E96" s="1" t="str">
        <f>IFERROR(E95+(VLOOKUP($D96,PROCESSO!$B:$P,AP_CRONO_Sex!E$8,FALSE)/24),"")</f>
        <v/>
      </c>
      <c r="F96" s="1">
        <f>Crono_Sex!E94</f>
        <v>0</v>
      </c>
      <c r="G96" s="1" t="str">
        <f>IFERROR(IF(F96=0,"",VLOOKUP($D96,PROCESSO!$B:$P,G$8,FALSE)/24)*IFERROR(IF(#REF!&gt;$B$8,ROUNDUP(#REF!/$B$8,0),1),1)+($A$8/24)+F96,"")</f>
        <v/>
      </c>
      <c r="H96" s="1" t="str">
        <f t="shared" si="9"/>
        <v/>
      </c>
      <c r="I96" s="1" t="str">
        <f>IFERROR(IF(H96=0,"",VLOOKUP($D96,PROCESSO!$B:$P,H$8,FALSE)/24)+($A$8/24)+H96,"")</f>
        <v/>
      </c>
      <c r="J96" s="1" t="str">
        <f>IFERROR(IF(I96=0,"",VLOOKUP($D96,PROCESSO!$B:$P,I$8,FALSE)/24)+($A$8/24)+I96,"")</f>
        <v/>
      </c>
      <c r="K96" s="1" t="str">
        <f>IFERROR(IF(J96=0,"",VLOOKUP($D96,PROCESSO!$B:$P,J$8,FALSE)/24)+($A$8/24)+J96,"")</f>
        <v/>
      </c>
      <c r="L96" s="1" t="str">
        <f>IFERROR(IF(K96=0,"",VLOOKUP($D96,PROCESSO!$B:$P,K$8,FALSE)/24)+($A$8/24)+K96,"")</f>
        <v/>
      </c>
      <c r="M96" s="1" t="str">
        <f>IFERROR(IF(L96=0,"",VLOOKUP($D96,PROCESSO!$B:$P,L$8,FALSE)/24)+($A$8/24)+L96,"")</f>
        <v/>
      </c>
      <c r="N96" s="1" t="str">
        <f>IFERROR(IF(M96=0,"",VLOOKUP($D96,PROCESSO!$B:$P,M$8,FALSE)/24)+($A$8/24)+M96,"")</f>
        <v/>
      </c>
      <c r="O96" s="1" t="str">
        <f>IFERROR(IF(N96=0,"",VLOOKUP($D96,PROCESSO!$B:$P,N$8,FALSE)/24)+($A$8/24)+N96,"")</f>
        <v/>
      </c>
      <c r="P96" s="1" t="str">
        <f>IFERROR(IF(O96=0,"",VLOOKUP($D96,PROCESSO!$B:$P,O$8,FALSE)/24)+($A$8/24)+O96,"")</f>
        <v/>
      </c>
      <c r="Q96" s="1" t="str">
        <f>IFERROR(IF(P96=0,"",VLOOKUP($D96,PROCESSO!$B:$P,P$8,FALSE)/24)+($A$8/24)+P96,"")</f>
        <v/>
      </c>
      <c r="R96" s="1" t="str">
        <f>IFERROR(IF(Q96=0,"",VLOOKUP($D96,PROCESSO!$B:$P,Q$8,FALSE)/24)+($A$8/24)+Q96,"")</f>
        <v/>
      </c>
      <c r="S96" s="45" t="str">
        <f>IFERROR(IFERROR(VLOOKUP(D96,PROCESSO!B:P,15,FALSE),"")/SUMIFS(C:C,A:A,A96),"")</f>
        <v/>
      </c>
      <c r="T96" s="45" t="str">
        <f t="shared" si="10"/>
        <v/>
      </c>
      <c r="U96" s="45" t="str">
        <f>IFERROR(VLOOKUP(B96,RECEITAS!A:C,3,FALSE),"")</f>
        <v/>
      </c>
      <c r="V96" s="45" t="str">
        <f>IFERROR((U96+S96)*(1-ANALISE!$I$4),"")</f>
        <v/>
      </c>
      <c r="W96" s="45" t="str">
        <f t="shared" si="11"/>
        <v/>
      </c>
    </row>
    <row r="97" spans="1:23" x14ac:dyDescent="0.3">
      <c r="A97">
        <f>Crono_Sex!A95</f>
        <v>0</v>
      </c>
      <c r="B97">
        <f>Crono_Sex!B95</f>
        <v>0</v>
      </c>
      <c r="C97" s="17">
        <f>Crono_Sex!C95</f>
        <v>0</v>
      </c>
      <c r="D97" t="str">
        <f>IFERROR(VLOOKUP(B97,RECEITAS!A:C,$D$7,FALSE),"")</f>
        <v/>
      </c>
      <c r="E97" s="1" t="str">
        <f>IFERROR(E96+(VLOOKUP($D97,PROCESSO!$B:$P,AP_CRONO_Sex!E$8,FALSE)/24),"")</f>
        <v/>
      </c>
      <c r="F97" s="1">
        <f>Crono_Sex!E95</f>
        <v>0</v>
      </c>
      <c r="G97" s="1" t="str">
        <f>IFERROR(IF(F97=0,"",VLOOKUP($D97,PROCESSO!$B:$P,G$8,FALSE)/24)*IFERROR(IF(#REF!&gt;$B$8,ROUNDUP(#REF!/$B$8,0),1),1)+($A$8/24)+F97,"")</f>
        <v/>
      </c>
      <c r="H97" s="1" t="str">
        <f t="shared" si="9"/>
        <v/>
      </c>
      <c r="I97" s="1" t="str">
        <f>IFERROR(IF(H97=0,"",VLOOKUP($D97,PROCESSO!$B:$P,H$8,FALSE)/24)+($A$8/24)+H97,"")</f>
        <v/>
      </c>
      <c r="J97" s="1" t="str">
        <f>IFERROR(IF(I97=0,"",VLOOKUP($D97,PROCESSO!$B:$P,I$8,FALSE)/24)+($A$8/24)+I97,"")</f>
        <v/>
      </c>
      <c r="K97" s="1" t="str">
        <f>IFERROR(IF(J97=0,"",VLOOKUP($D97,PROCESSO!$B:$P,J$8,FALSE)/24)+($A$8/24)+J97,"")</f>
        <v/>
      </c>
      <c r="L97" s="1" t="str">
        <f>IFERROR(IF(K97=0,"",VLOOKUP($D97,PROCESSO!$B:$P,K$8,FALSE)/24)+($A$8/24)+K97,"")</f>
        <v/>
      </c>
      <c r="M97" s="1" t="str">
        <f>IFERROR(IF(L97=0,"",VLOOKUP($D97,PROCESSO!$B:$P,L$8,FALSE)/24)+($A$8/24)+L97,"")</f>
        <v/>
      </c>
      <c r="N97" s="1" t="str">
        <f>IFERROR(IF(M97=0,"",VLOOKUP($D97,PROCESSO!$B:$P,M$8,FALSE)/24)+($A$8/24)+M97,"")</f>
        <v/>
      </c>
      <c r="O97" s="1" t="str">
        <f>IFERROR(IF(N97=0,"",VLOOKUP($D97,PROCESSO!$B:$P,N$8,FALSE)/24)+($A$8/24)+N97,"")</f>
        <v/>
      </c>
      <c r="P97" s="1" t="str">
        <f>IFERROR(IF(O97=0,"",VLOOKUP($D97,PROCESSO!$B:$P,O$8,FALSE)/24)+($A$8/24)+O97,"")</f>
        <v/>
      </c>
      <c r="Q97" s="1" t="str">
        <f>IFERROR(IF(P97=0,"",VLOOKUP($D97,PROCESSO!$B:$P,P$8,FALSE)/24)+($A$8/24)+P97,"")</f>
        <v/>
      </c>
      <c r="R97" s="1" t="str">
        <f>IFERROR(IF(Q97=0,"",VLOOKUP($D97,PROCESSO!$B:$P,Q$8,FALSE)/24)+($A$8/24)+Q97,"")</f>
        <v/>
      </c>
      <c r="S97" s="45" t="str">
        <f>IFERROR(IFERROR(VLOOKUP(D97,PROCESSO!B:P,15,FALSE),"")/SUMIFS(C:C,A:A,A97),"")</f>
        <v/>
      </c>
      <c r="T97" s="45" t="str">
        <f t="shared" si="10"/>
        <v/>
      </c>
      <c r="U97" s="45" t="str">
        <f>IFERROR(VLOOKUP(B97,RECEITAS!A:C,3,FALSE),"")</f>
        <v/>
      </c>
      <c r="V97" s="45" t="str">
        <f>IFERROR((U97+S97)*(1-ANALISE!$I$4),"")</f>
        <v/>
      </c>
      <c r="W97" s="45" t="str">
        <f t="shared" si="11"/>
        <v/>
      </c>
    </row>
    <row r="98" spans="1:23" x14ac:dyDescent="0.3">
      <c r="A98">
        <f>Crono_Sex!A96</f>
        <v>0</v>
      </c>
      <c r="B98">
        <f>Crono_Sex!B96</f>
        <v>0</v>
      </c>
      <c r="C98" s="17">
        <f>Crono_Sex!C96</f>
        <v>0</v>
      </c>
      <c r="D98" t="str">
        <f>IFERROR(VLOOKUP(B98,RECEITAS!A:C,$D$7,FALSE),"")</f>
        <v/>
      </c>
      <c r="E98" s="1" t="str">
        <f>IFERROR(E97+(VLOOKUP($D98,PROCESSO!$B:$P,AP_CRONO_Sex!E$8,FALSE)/24),"")</f>
        <v/>
      </c>
      <c r="F98" s="1">
        <f>Crono_Sex!E96</f>
        <v>0</v>
      </c>
      <c r="G98" s="1" t="str">
        <f>IFERROR(IF(F98=0,"",VLOOKUP($D98,PROCESSO!$B:$P,G$8,FALSE)/24)*IFERROR(IF(#REF!&gt;$B$8,ROUNDUP(#REF!/$B$8,0),1),1)+($A$8/24)+F98,"")</f>
        <v/>
      </c>
      <c r="H98" s="1" t="str">
        <f t="shared" si="9"/>
        <v/>
      </c>
      <c r="I98" s="1" t="str">
        <f>IFERROR(IF(H98=0,"",VLOOKUP($D98,PROCESSO!$B:$P,H$8,FALSE)/24)+($A$8/24)+H98,"")</f>
        <v/>
      </c>
      <c r="J98" s="1" t="str">
        <f>IFERROR(IF(I98=0,"",VLOOKUP($D98,PROCESSO!$B:$P,I$8,FALSE)/24)+($A$8/24)+I98,"")</f>
        <v/>
      </c>
      <c r="K98" s="1" t="str">
        <f>IFERROR(IF(J98=0,"",VLOOKUP($D98,PROCESSO!$B:$P,J$8,FALSE)/24)+($A$8/24)+J98,"")</f>
        <v/>
      </c>
      <c r="L98" s="1" t="str">
        <f>IFERROR(IF(K98=0,"",VLOOKUP($D98,PROCESSO!$B:$P,K$8,FALSE)/24)+($A$8/24)+K98,"")</f>
        <v/>
      </c>
      <c r="M98" s="1" t="str">
        <f>IFERROR(IF(L98=0,"",VLOOKUP($D98,PROCESSO!$B:$P,L$8,FALSE)/24)+($A$8/24)+L98,"")</f>
        <v/>
      </c>
      <c r="N98" s="1" t="str">
        <f>IFERROR(IF(M98=0,"",VLOOKUP($D98,PROCESSO!$B:$P,M$8,FALSE)/24)+($A$8/24)+M98,"")</f>
        <v/>
      </c>
      <c r="O98" s="1" t="str">
        <f>IFERROR(IF(N98=0,"",VLOOKUP($D98,PROCESSO!$B:$P,N$8,FALSE)/24)+($A$8/24)+N98,"")</f>
        <v/>
      </c>
      <c r="P98" s="1" t="str">
        <f>IFERROR(IF(O98=0,"",VLOOKUP($D98,PROCESSO!$B:$P,O$8,FALSE)/24)+($A$8/24)+O98,"")</f>
        <v/>
      </c>
      <c r="Q98" s="1" t="str">
        <f>IFERROR(IF(P98=0,"",VLOOKUP($D98,PROCESSO!$B:$P,P$8,FALSE)/24)+($A$8/24)+P98,"")</f>
        <v/>
      </c>
      <c r="R98" s="1" t="str">
        <f>IFERROR(IF(Q98=0,"",VLOOKUP($D98,PROCESSO!$B:$P,Q$8,FALSE)/24)+($A$8/24)+Q98,"")</f>
        <v/>
      </c>
      <c r="S98" s="45" t="str">
        <f>IFERROR(IFERROR(VLOOKUP(D98,PROCESSO!B:P,15,FALSE),"")/SUMIFS(C:C,A:A,A98),"")</f>
        <v/>
      </c>
      <c r="T98" s="45" t="str">
        <f t="shared" si="10"/>
        <v/>
      </c>
      <c r="U98" s="45" t="str">
        <f>IFERROR(VLOOKUP(B98,RECEITAS!A:C,3,FALSE),"")</f>
        <v/>
      </c>
      <c r="V98" s="45" t="str">
        <f>IFERROR((U98+S98)*(1-ANALISE!$I$4),"")</f>
        <v/>
      </c>
      <c r="W98" s="45" t="str">
        <f t="shared" si="11"/>
        <v/>
      </c>
    </row>
    <row r="99" spans="1:23" x14ac:dyDescent="0.3">
      <c r="A99">
        <f>Crono_Sex!A97</f>
        <v>0</v>
      </c>
      <c r="B99">
        <f>Crono_Sex!B97</f>
        <v>0</v>
      </c>
      <c r="C99" s="17">
        <f>Crono_Sex!C97</f>
        <v>0</v>
      </c>
      <c r="D99" t="str">
        <f>IFERROR(VLOOKUP(B99,RECEITAS!A:C,$D$7,FALSE),"")</f>
        <v/>
      </c>
      <c r="E99" s="1" t="str">
        <f>IFERROR(E98+(VLOOKUP($D99,PROCESSO!$B:$P,AP_CRONO_Sex!E$8,FALSE)/24),"")</f>
        <v/>
      </c>
      <c r="F99" s="1">
        <f>Crono_Sex!E97</f>
        <v>0</v>
      </c>
      <c r="G99" s="1" t="str">
        <f>IFERROR(IF(F99=0,"",VLOOKUP($D99,PROCESSO!$B:$P,G$8,FALSE)/24)*IFERROR(IF(#REF!&gt;$B$8,ROUNDUP(#REF!/$B$8,0),1),1)+($A$8/24)+F99,"")</f>
        <v/>
      </c>
      <c r="H99" s="1" t="str">
        <f t="shared" si="9"/>
        <v/>
      </c>
      <c r="I99" s="1" t="str">
        <f>IFERROR(IF(H99=0,"",VLOOKUP($D99,PROCESSO!$B:$P,H$8,FALSE)/24)+($A$8/24)+H99,"")</f>
        <v/>
      </c>
      <c r="J99" s="1" t="str">
        <f>IFERROR(IF(I99=0,"",VLOOKUP($D99,PROCESSO!$B:$P,I$8,FALSE)/24)+($A$8/24)+I99,"")</f>
        <v/>
      </c>
      <c r="K99" s="1" t="str">
        <f>IFERROR(IF(J99=0,"",VLOOKUP($D99,PROCESSO!$B:$P,J$8,FALSE)/24)+($A$8/24)+J99,"")</f>
        <v/>
      </c>
      <c r="L99" s="1" t="str">
        <f>IFERROR(IF(K99=0,"",VLOOKUP($D99,PROCESSO!$B:$P,K$8,FALSE)/24)+($A$8/24)+K99,"")</f>
        <v/>
      </c>
      <c r="M99" s="1" t="str">
        <f>IFERROR(IF(L99=0,"",VLOOKUP($D99,PROCESSO!$B:$P,L$8,FALSE)/24)+($A$8/24)+L99,"")</f>
        <v/>
      </c>
      <c r="N99" s="1" t="str">
        <f>IFERROR(IF(M99=0,"",VLOOKUP($D99,PROCESSO!$B:$P,M$8,FALSE)/24)+($A$8/24)+M99,"")</f>
        <v/>
      </c>
      <c r="O99" s="1" t="str">
        <f>IFERROR(IF(N99=0,"",VLOOKUP($D99,PROCESSO!$B:$P,N$8,FALSE)/24)+($A$8/24)+N99,"")</f>
        <v/>
      </c>
      <c r="P99" s="1" t="str">
        <f>IFERROR(IF(O99=0,"",VLOOKUP($D99,PROCESSO!$B:$P,O$8,FALSE)/24)+($A$8/24)+O99,"")</f>
        <v/>
      </c>
      <c r="Q99" s="1" t="str">
        <f>IFERROR(IF(P99=0,"",VLOOKUP($D99,PROCESSO!$B:$P,P$8,FALSE)/24)+($A$8/24)+P99,"")</f>
        <v/>
      </c>
      <c r="R99" s="1" t="str">
        <f>IFERROR(IF(Q99=0,"",VLOOKUP($D99,PROCESSO!$B:$P,Q$8,FALSE)/24)+($A$8/24)+Q99,"")</f>
        <v/>
      </c>
      <c r="S99" s="45" t="str">
        <f>IFERROR(IFERROR(VLOOKUP(D99,PROCESSO!B:P,15,FALSE),"")/SUMIFS(C:C,A:A,A99),"")</f>
        <v/>
      </c>
      <c r="T99" s="45" t="str">
        <f t="shared" si="10"/>
        <v/>
      </c>
      <c r="U99" s="45" t="str">
        <f>IFERROR(VLOOKUP(B99,RECEITAS!A:C,3,FALSE),"")</f>
        <v/>
      </c>
      <c r="V99" s="45" t="str">
        <f>IFERROR((U99+S99)*(1-ANALISE!$I$4),"")</f>
        <v/>
      </c>
      <c r="W99" s="45" t="str">
        <f t="shared" si="11"/>
        <v/>
      </c>
    </row>
    <row r="100" spans="1:23" x14ac:dyDescent="0.3">
      <c r="A100">
        <f>Crono_Sex!A98</f>
        <v>0</v>
      </c>
      <c r="B100">
        <f>Crono_Sex!B98</f>
        <v>0</v>
      </c>
      <c r="C100" s="17">
        <f>Crono_Sex!C98</f>
        <v>0</v>
      </c>
      <c r="D100" t="str">
        <f>IFERROR(VLOOKUP(B100,RECEITAS!A:C,$D$7,FALSE),"")</f>
        <v/>
      </c>
      <c r="E100" s="1" t="str">
        <f>IFERROR(E99+(VLOOKUP($D100,PROCESSO!$B:$P,AP_CRONO_Sex!E$8,FALSE)/24),"")</f>
        <v/>
      </c>
      <c r="F100" s="1">
        <f>Crono_Sex!E98</f>
        <v>0</v>
      </c>
      <c r="G100" s="1" t="str">
        <f>IFERROR(IF(F100=0,"",VLOOKUP($D100,PROCESSO!$B:$P,G$8,FALSE)/24)*IFERROR(IF(#REF!&gt;$B$8,ROUNDUP(#REF!/$B$8,0),1),1)+($A$8/24)+F100,"")</f>
        <v/>
      </c>
      <c r="H100" s="1" t="str">
        <f t="shared" si="9"/>
        <v/>
      </c>
      <c r="I100" s="1" t="str">
        <f>IFERROR(IF(H100=0,"",VLOOKUP($D100,PROCESSO!$B:$P,H$8,FALSE)/24)+($A$8/24)+H100,"")</f>
        <v/>
      </c>
      <c r="J100" s="1" t="str">
        <f>IFERROR(IF(I100=0,"",VLOOKUP($D100,PROCESSO!$B:$P,I$8,FALSE)/24)+($A$8/24)+I100,"")</f>
        <v/>
      </c>
      <c r="K100" s="1" t="str">
        <f>IFERROR(IF(J100=0,"",VLOOKUP($D100,PROCESSO!$B:$P,J$8,FALSE)/24)+($A$8/24)+J100,"")</f>
        <v/>
      </c>
      <c r="L100" s="1" t="str">
        <f>IFERROR(IF(K100=0,"",VLOOKUP($D100,PROCESSO!$B:$P,K$8,FALSE)/24)+($A$8/24)+K100,"")</f>
        <v/>
      </c>
      <c r="M100" s="1" t="str">
        <f>IFERROR(IF(L100=0,"",VLOOKUP($D100,PROCESSO!$B:$P,L$8,FALSE)/24)+($A$8/24)+L100,"")</f>
        <v/>
      </c>
      <c r="N100" s="1" t="str">
        <f>IFERROR(IF(M100=0,"",VLOOKUP($D100,PROCESSO!$B:$P,M$8,FALSE)/24)+($A$8/24)+M100,"")</f>
        <v/>
      </c>
      <c r="O100" s="1" t="str">
        <f>IFERROR(IF(N100=0,"",VLOOKUP($D100,PROCESSO!$B:$P,N$8,FALSE)/24)+($A$8/24)+N100,"")</f>
        <v/>
      </c>
      <c r="P100" s="1" t="str">
        <f>IFERROR(IF(O100=0,"",VLOOKUP($D100,PROCESSO!$B:$P,O$8,FALSE)/24)+($A$8/24)+O100,"")</f>
        <v/>
      </c>
      <c r="Q100" s="1" t="str">
        <f>IFERROR(IF(P100=0,"",VLOOKUP($D100,PROCESSO!$B:$P,P$8,FALSE)/24)+($A$8/24)+P100,"")</f>
        <v/>
      </c>
      <c r="R100" s="1" t="str">
        <f>IFERROR(IF(Q100=0,"",VLOOKUP($D100,PROCESSO!$B:$P,Q$8,FALSE)/24)+($A$8/24)+Q100,"")</f>
        <v/>
      </c>
      <c r="S100" s="45" t="str">
        <f>IFERROR(IFERROR(VLOOKUP(D100,PROCESSO!B:P,15,FALSE),"")/SUMIFS(C:C,A:A,A100),"")</f>
        <v/>
      </c>
      <c r="T100" s="45" t="str">
        <f t="shared" si="10"/>
        <v/>
      </c>
      <c r="U100" s="45" t="str">
        <f>IFERROR(VLOOKUP(B100,RECEITAS!A:C,3,FALSE),"")</f>
        <v/>
      </c>
      <c r="V100" s="45" t="str">
        <f>IFERROR((U100+S100)*(1-ANALISE!$I$4),"")</f>
        <v/>
      </c>
      <c r="W100" s="45" t="str">
        <f t="shared" si="11"/>
        <v/>
      </c>
    </row>
    <row r="101" spans="1:23" x14ac:dyDescent="0.3">
      <c r="A101">
        <f>Crono_Sex!A99</f>
        <v>0</v>
      </c>
      <c r="B101">
        <f>Crono_Sex!B99</f>
        <v>0</v>
      </c>
      <c r="C101" s="17">
        <f>Crono_Sex!C99</f>
        <v>0</v>
      </c>
      <c r="D101" t="str">
        <f>IFERROR(VLOOKUP(B101,RECEITAS!A:C,$D$7,FALSE),"")</f>
        <v/>
      </c>
      <c r="E101" s="1" t="str">
        <f>IFERROR(E100+(VLOOKUP($D101,PROCESSO!$B:$P,AP_CRONO_Sex!E$8,FALSE)/24),"")</f>
        <v/>
      </c>
      <c r="F101" s="1">
        <f>Crono_Sex!E99</f>
        <v>0</v>
      </c>
      <c r="G101" s="1" t="str">
        <f>IFERROR(IF(F101=0,"",VLOOKUP($D101,PROCESSO!$B:$P,G$8,FALSE)/24)*IFERROR(IF(#REF!&gt;$B$8,ROUNDUP(#REF!/$B$8,0),1),1)+($A$8/24)+F101,"")</f>
        <v/>
      </c>
      <c r="H101" s="1" t="str">
        <f t="shared" si="9"/>
        <v/>
      </c>
      <c r="I101" s="1" t="str">
        <f>IFERROR(IF(H101=0,"",VLOOKUP($D101,PROCESSO!$B:$P,H$8,FALSE)/24)+($A$8/24)+H101,"")</f>
        <v/>
      </c>
      <c r="J101" s="1" t="str">
        <f>IFERROR(IF(I101=0,"",VLOOKUP($D101,PROCESSO!$B:$P,I$8,FALSE)/24)+($A$8/24)+I101,"")</f>
        <v/>
      </c>
      <c r="K101" s="1" t="str">
        <f>IFERROR(IF(J101=0,"",VLOOKUP($D101,PROCESSO!$B:$P,J$8,FALSE)/24)+($A$8/24)+J101,"")</f>
        <v/>
      </c>
      <c r="L101" s="1" t="str">
        <f>IFERROR(IF(K101=0,"",VLOOKUP($D101,PROCESSO!$B:$P,K$8,FALSE)/24)+($A$8/24)+K101,"")</f>
        <v/>
      </c>
      <c r="M101" s="1" t="str">
        <f>IFERROR(IF(L101=0,"",VLOOKUP($D101,PROCESSO!$B:$P,L$8,FALSE)/24)+($A$8/24)+L101,"")</f>
        <v/>
      </c>
      <c r="N101" s="1" t="str">
        <f>IFERROR(IF(M101=0,"",VLOOKUP($D101,PROCESSO!$B:$P,M$8,FALSE)/24)+($A$8/24)+M101,"")</f>
        <v/>
      </c>
      <c r="O101" s="1" t="str">
        <f>IFERROR(IF(N101=0,"",VLOOKUP($D101,PROCESSO!$B:$P,N$8,FALSE)/24)+($A$8/24)+N101,"")</f>
        <v/>
      </c>
      <c r="P101" s="1" t="str">
        <f>IFERROR(IF(O101=0,"",VLOOKUP($D101,PROCESSO!$B:$P,O$8,FALSE)/24)+($A$8/24)+O101,"")</f>
        <v/>
      </c>
      <c r="Q101" s="1" t="str">
        <f>IFERROR(IF(P101=0,"",VLOOKUP($D101,PROCESSO!$B:$P,P$8,FALSE)/24)+($A$8/24)+P101,"")</f>
        <v/>
      </c>
      <c r="R101" s="1" t="str">
        <f>IFERROR(IF(Q101=0,"",VLOOKUP($D101,PROCESSO!$B:$P,Q$8,FALSE)/24)+($A$8/24)+Q101,"")</f>
        <v/>
      </c>
      <c r="S101" s="45" t="str">
        <f>IFERROR(IFERROR(VLOOKUP(D101,PROCESSO!B:P,15,FALSE),"")/SUMIFS(C:C,A:A,A101),"")</f>
        <v/>
      </c>
      <c r="T101" s="45" t="str">
        <f t="shared" si="10"/>
        <v/>
      </c>
      <c r="U101" s="45" t="str">
        <f>IFERROR(VLOOKUP(B101,RECEITAS!A:C,3,FALSE),"")</f>
        <v/>
      </c>
      <c r="V101" s="45" t="str">
        <f>IFERROR((U101+S101)*(1-ANALISE!$I$4),"")</f>
        <v/>
      </c>
      <c r="W101" s="45" t="str">
        <f t="shared" si="11"/>
        <v/>
      </c>
    </row>
    <row r="102" spans="1:23" x14ac:dyDescent="0.3">
      <c r="A102">
        <f>Crono_Sex!A100</f>
        <v>0</v>
      </c>
      <c r="B102">
        <f>Crono_Sex!B100</f>
        <v>0</v>
      </c>
      <c r="C102" s="17">
        <f>Crono_Sex!C100</f>
        <v>0</v>
      </c>
      <c r="D102" t="str">
        <f>IFERROR(VLOOKUP(B102,RECEITAS!A:C,$D$7,FALSE),"")</f>
        <v/>
      </c>
      <c r="E102" s="1" t="str">
        <f>IFERROR(E101+(VLOOKUP($D102,PROCESSO!$B:$P,AP_CRONO_Sex!E$8,FALSE)/24),"")</f>
        <v/>
      </c>
      <c r="F102" s="1">
        <f>Crono_Sex!E100</f>
        <v>0</v>
      </c>
      <c r="G102" s="1" t="str">
        <f>IFERROR(IF(F102=0,"",VLOOKUP($D102,PROCESSO!$B:$P,G$8,FALSE)/24)*IFERROR(IF(#REF!&gt;$B$8,ROUNDUP(#REF!/$B$8,0),1),1)+($A$8/24)+F102,"")</f>
        <v/>
      </c>
      <c r="H102" s="1" t="str">
        <f t="shared" si="9"/>
        <v/>
      </c>
      <c r="I102" s="1" t="str">
        <f>IFERROR(IF(H102=0,"",VLOOKUP($D102,PROCESSO!$B:$P,H$8,FALSE)/24)+($A$8/24)+H102,"")</f>
        <v/>
      </c>
      <c r="J102" s="1" t="str">
        <f>IFERROR(IF(I102=0,"",VLOOKUP($D102,PROCESSO!$B:$P,I$8,FALSE)/24)+($A$8/24)+I102,"")</f>
        <v/>
      </c>
      <c r="K102" s="1" t="str">
        <f>IFERROR(IF(J102=0,"",VLOOKUP($D102,PROCESSO!$B:$P,J$8,FALSE)/24)+($A$8/24)+J102,"")</f>
        <v/>
      </c>
      <c r="L102" s="1" t="str">
        <f>IFERROR(IF(K102=0,"",VLOOKUP($D102,PROCESSO!$B:$P,K$8,FALSE)/24)+($A$8/24)+K102,"")</f>
        <v/>
      </c>
      <c r="M102" s="1" t="str">
        <f>IFERROR(IF(L102=0,"",VLOOKUP($D102,PROCESSO!$B:$P,L$8,FALSE)/24)+($A$8/24)+L102,"")</f>
        <v/>
      </c>
      <c r="N102" s="1" t="str">
        <f>IFERROR(IF(M102=0,"",VLOOKUP($D102,PROCESSO!$B:$P,M$8,FALSE)/24)+($A$8/24)+M102,"")</f>
        <v/>
      </c>
      <c r="O102" s="1" t="str">
        <f>IFERROR(IF(N102=0,"",VLOOKUP($D102,PROCESSO!$B:$P,N$8,FALSE)/24)+($A$8/24)+N102,"")</f>
        <v/>
      </c>
      <c r="P102" s="1" t="str">
        <f>IFERROR(IF(O102=0,"",VLOOKUP($D102,PROCESSO!$B:$P,O$8,FALSE)/24)+($A$8/24)+O102,"")</f>
        <v/>
      </c>
      <c r="Q102" s="1" t="str">
        <f>IFERROR(IF(P102=0,"",VLOOKUP($D102,PROCESSO!$B:$P,P$8,FALSE)/24)+($A$8/24)+P102,"")</f>
        <v/>
      </c>
      <c r="R102" s="1" t="str">
        <f>IFERROR(IF(Q102=0,"",VLOOKUP($D102,PROCESSO!$B:$P,Q$8,FALSE)/24)+($A$8/24)+Q102,"")</f>
        <v/>
      </c>
      <c r="S102" s="45" t="str">
        <f>IFERROR(IFERROR(VLOOKUP(D102,PROCESSO!B:P,15,FALSE),"")/SUMIFS(C:C,A:A,A102),"")</f>
        <v/>
      </c>
      <c r="T102" s="45" t="str">
        <f t="shared" si="10"/>
        <v/>
      </c>
      <c r="U102" s="45" t="str">
        <f>IFERROR(VLOOKUP(B102,RECEITAS!A:C,3,FALSE),"")</f>
        <v/>
      </c>
      <c r="V102" s="45" t="str">
        <f>IFERROR((U102+S102)*(1-ANALISE!$I$4),"")</f>
        <v/>
      </c>
      <c r="W102" s="45" t="str">
        <f t="shared" si="11"/>
        <v/>
      </c>
    </row>
    <row r="103" spans="1:23" x14ac:dyDescent="0.3">
      <c r="A103">
        <f>Crono_Sex!A101</f>
        <v>0</v>
      </c>
      <c r="B103">
        <f>Crono_Sex!B101</f>
        <v>0</v>
      </c>
      <c r="C103" s="17">
        <f>Crono_Sex!C101</f>
        <v>0</v>
      </c>
      <c r="D103" t="str">
        <f>IFERROR(VLOOKUP(B103,RECEITAS!A:C,$D$7,FALSE),"")</f>
        <v/>
      </c>
      <c r="E103" s="1" t="str">
        <f>IFERROR(E102+(VLOOKUP($D103,PROCESSO!$B:$P,AP_CRONO_Sex!E$8,FALSE)/24),"")</f>
        <v/>
      </c>
      <c r="F103" s="1">
        <f>Crono_Sex!E101</f>
        <v>0</v>
      </c>
      <c r="G103" s="1" t="str">
        <f>IFERROR(IF(F103=0,"",VLOOKUP($D103,PROCESSO!$B:$P,G$8,FALSE)/24)*IFERROR(IF(#REF!&gt;$B$8,ROUNDUP(#REF!/$B$8,0),1),1)+($A$8/24)+F103,"")</f>
        <v/>
      </c>
      <c r="H103" s="1" t="str">
        <f t="shared" si="9"/>
        <v/>
      </c>
      <c r="I103" s="1" t="str">
        <f>IFERROR(IF(H103=0,"",VLOOKUP($D103,PROCESSO!$B:$P,H$8,FALSE)/24)+($A$8/24)+H103,"")</f>
        <v/>
      </c>
      <c r="J103" s="1" t="str">
        <f>IFERROR(IF(I103=0,"",VLOOKUP($D103,PROCESSO!$B:$P,I$8,FALSE)/24)+($A$8/24)+I103,"")</f>
        <v/>
      </c>
      <c r="K103" s="1" t="str">
        <f>IFERROR(IF(J103=0,"",VLOOKUP($D103,PROCESSO!$B:$P,J$8,FALSE)/24)+($A$8/24)+J103,"")</f>
        <v/>
      </c>
      <c r="L103" s="1" t="str">
        <f>IFERROR(IF(K103=0,"",VLOOKUP($D103,PROCESSO!$B:$P,K$8,FALSE)/24)+($A$8/24)+K103,"")</f>
        <v/>
      </c>
      <c r="M103" s="1" t="str">
        <f>IFERROR(IF(L103=0,"",VLOOKUP($D103,PROCESSO!$B:$P,L$8,FALSE)/24)+($A$8/24)+L103,"")</f>
        <v/>
      </c>
      <c r="N103" s="1" t="str">
        <f>IFERROR(IF(M103=0,"",VLOOKUP($D103,PROCESSO!$B:$P,M$8,FALSE)/24)+($A$8/24)+M103,"")</f>
        <v/>
      </c>
      <c r="O103" s="1" t="str">
        <f>IFERROR(IF(N103=0,"",VLOOKUP($D103,PROCESSO!$B:$P,N$8,FALSE)/24)+($A$8/24)+N103,"")</f>
        <v/>
      </c>
      <c r="P103" s="1" t="str">
        <f>IFERROR(IF(O103=0,"",VLOOKUP($D103,PROCESSO!$B:$P,O$8,FALSE)/24)+($A$8/24)+O103,"")</f>
        <v/>
      </c>
      <c r="Q103" s="1" t="str">
        <f>IFERROR(IF(P103=0,"",VLOOKUP($D103,PROCESSO!$B:$P,P$8,FALSE)/24)+($A$8/24)+P103,"")</f>
        <v/>
      </c>
      <c r="R103" s="1" t="str">
        <f>IFERROR(IF(Q103=0,"",VLOOKUP($D103,PROCESSO!$B:$P,Q$8,FALSE)/24)+($A$8/24)+Q103,"")</f>
        <v/>
      </c>
      <c r="S103" s="45" t="str">
        <f>IFERROR(IFERROR(VLOOKUP(D103,PROCESSO!B:P,15,FALSE),"")/SUMIFS(C:C,A:A,A103),"")</f>
        <v/>
      </c>
      <c r="T103" s="45" t="str">
        <f t="shared" si="10"/>
        <v/>
      </c>
      <c r="U103" s="45" t="str">
        <f>IFERROR(VLOOKUP(B103,RECEITAS!A:C,3,FALSE),"")</f>
        <v/>
      </c>
      <c r="V103" s="45" t="str">
        <f>IFERROR((U103+S103)*(1-ANALISE!$I$4),"")</f>
        <v/>
      </c>
      <c r="W103" s="45" t="str">
        <f t="shared" si="11"/>
        <v/>
      </c>
    </row>
    <row r="104" spans="1:23" x14ac:dyDescent="0.3">
      <c r="A104">
        <f>Crono_Sex!A102</f>
        <v>0</v>
      </c>
      <c r="B104">
        <f>Crono_Sex!B102</f>
        <v>0</v>
      </c>
      <c r="C104" s="17">
        <f>Crono_Sex!C102</f>
        <v>0</v>
      </c>
      <c r="D104" t="str">
        <f>IFERROR(VLOOKUP(B104,RECEITAS!A:C,$D$7,FALSE),"")</f>
        <v/>
      </c>
      <c r="E104" s="1" t="str">
        <f>IFERROR(E103+(VLOOKUP($D104,PROCESSO!$B:$P,AP_CRONO_Sex!E$8,FALSE)/24),"")</f>
        <v/>
      </c>
      <c r="F104" s="1">
        <f>Crono_Sex!E102</f>
        <v>0</v>
      </c>
      <c r="G104" s="1" t="str">
        <f>IFERROR(IF(F104=0,"",VLOOKUP($D104,PROCESSO!$B:$P,G$8,FALSE)/24)*IFERROR(IF(#REF!&gt;$B$8,ROUNDUP(#REF!/$B$8,0),1),1)+($A$8/24)+F104,"")</f>
        <v/>
      </c>
      <c r="H104" s="1" t="str">
        <f t="shared" si="9"/>
        <v/>
      </c>
      <c r="I104" s="1" t="str">
        <f>IFERROR(IF(H104=0,"",VLOOKUP($D104,PROCESSO!$B:$P,H$8,FALSE)/24)+($A$8/24)+H104,"")</f>
        <v/>
      </c>
      <c r="J104" s="1" t="str">
        <f>IFERROR(IF(I104=0,"",VLOOKUP($D104,PROCESSO!$B:$P,I$8,FALSE)/24)+($A$8/24)+I104,"")</f>
        <v/>
      </c>
      <c r="K104" s="1" t="str">
        <f>IFERROR(IF(J104=0,"",VLOOKUP($D104,PROCESSO!$B:$P,J$8,FALSE)/24)+($A$8/24)+J104,"")</f>
        <v/>
      </c>
      <c r="L104" s="1" t="str">
        <f>IFERROR(IF(K104=0,"",VLOOKUP($D104,PROCESSO!$B:$P,K$8,FALSE)/24)+($A$8/24)+K104,"")</f>
        <v/>
      </c>
      <c r="M104" s="1" t="str">
        <f>IFERROR(IF(L104=0,"",VLOOKUP($D104,PROCESSO!$B:$P,L$8,FALSE)/24)+($A$8/24)+L104,"")</f>
        <v/>
      </c>
      <c r="N104" s="1" t="str">
        <f>IFERROR(IF(M104=0,"",VLOOKUP($D104,PROCESSO!$B:$P,M$8,FALSE)/24)+($A$8/24)+M104,"")</f>
        <v/>
      </c>
      <c r="O104" s="1" t="str">
        <f>IFERROR(IF(N104=0,"",VLOOKUP($D104,PROCESSO!$B:$P,N$8,FALSE)/24)+($A$8/24)+N104,"")</f>
        <v/>
      </c>
      <c r="P104" s="1" t="str">
        <f>IFERROR(IF(O104=0,"",VLOOKUP($D104,PROCESSO!$B:$P,O$8,FALSE)/24)+($A$8/24)+O104,"")</f>
        <v/>
      </c>
      <c r="Q104" s="1" t="str">
        <f>IFERROR(IF(P104=0,"",VLOOKUP($D104,PROCESSO!$B:$P,P$8,FALSE)/24)+($A$8/24)+P104,"")</f>
        <v/>
      </c>
      <c r="R104" s="1" t="str">
        <f>IFERROR(IF(Q104=0,"",VLOOKUP($D104,PROCESSO!$B:$P,Q$8,FALSE)/24)+($A$8/24)+Q104,"")</f>
        <v/>
      </c>
      <c r="S104" s="45" t="str">
        <f>IFERROR(IFERROR(VLOOKUP(D104,PROCESSO!B:P,15,FALSE),"")/SUMIFS(C:C,A:A,A104),"")</f>
        <v/>
      </c>
      <c r="T104" s="45" t="str">
        <f t="shared" si="10"/>
        <v/>
      </c>
      <c r="U104" s="45" t="str">
        <f>IFERROR(VLOOKUP(B104,RECEITAS!A:C,3,FALSE),"")</f>
        <v/>
      </c>
      <c r="V104" s="45" t="str">
        <f>IFERROR((U104+S104)*(1-ANALISE!$I$4),"")</f>
        <v/>
      </c>
      <c r="W104" s="45" t="str">
        <f t="shared" si="11"/>
        <v/>
      </c>
    </row>
    <row r="105" spans="1:23" x14ac:dyDescent="0.3">
      <c r="A105">
        <f>Crono_Sex!A103</f>
        <v>0</v>
      </c>
      <c r="B105">
        <f>Crono_Sex!B103</f>
        <v>0</v>
      </c>
      <c r="C105" s="17">
        <f>Crono_Sex!C103</f>
        <v>0</v>
      </c>
      <c r="D105" t="str">
        <f>IFERROR(VLOOKUP(B105,RECEITAS!A:C,$D$7,FALSE),"")</f>
        <v/>
      </c>
      <c r="E105" s="1" t="str">
        <f>IFERROR(E104+(VLOOKUP($D105,PROCESSO!$B:$P,AP_CRONO_Sex!E$8,FALSE)/24),"")</f>
        <v/>
      </c>
      <c r="F105" s="1">
        <f>Crono_Sex!E103</f>
        <v>0</v>
      </c>
      <c r="G105" s="1" t="str">
        <f>IFERROR(IF(F105=0,"",VLOOKUP($D105,PROCESSO!$B:$P,G$8,FALSE)/24)*IFERROR(IF(#REF!&gt;$B$8,ROUNDUP(#REF!/$B$8,0),1),1)+($A$8/24)+F105,"")</f>
        <v/>
      </c>
      <c r="H105" s="1" t="str">
        <f t="shared" si="9"/>
        <v/>
      </c>
      <c r="I105" s="1" t="str">
        <f>IFERROR(IF(H105=0,"",VLOOKUP($D105,PROCESSO!$B:$P,H$8,FALSE)/24)+($A$8/24)+H105,"")</f>
        <v/>
      </c>
      <c r="J105" s="1" t="str">
        <f>IFERROR(IF(I105=0,"",VLOOKUP($D105,PROCESSO!$B:$P,I$8,FALSE)/24)+($A$8/24)+I105,"")</f>
        <v/>
      </c>
      <c r="K105" s="1" t="str">
        <f>IFERROR(IF(J105=0,"",VLOOKUP($D105,PROCESSO!$B:$P,J$8,FALSE)/24)+($A$8/24)+J105,"")</f>
        <v/>
      </c>
      <c r="L105" s="1" t="str">
        <f>IFERROR(IF(K105=0,"",VLOOKUP($D105,PROCESSO!$B:$P,K$8,FALSE)/24)+($A$8/24)+K105,"")</f>
        <v/>
      </c>
      <c r="M105" s="1" t="str">
        <f>IFERROR(IF(L105=0,"",VLOOKUP($D105,PROCESSO!$B:$P,L$8,FALSE)/24)+($A$8/24)+L105,"")</f>
        <v/>
      </c>
      <c r="N105" s="1" t="str">
        <f>IFERROR(IF(M105=0,"",VLOOKUP($D105,PROCESSO!$B:$P,M$8,FALSE)/24)+($A$8/24)+M105,"")</f>
        <v/>
      </c>
      <c r="O105" s="1" t="str">
        <f>IFERROR(IF(N105=0,"",VLOOKUP($D105,PROCESSO!$B:$P,N$8,FALSE)/24)+($A$8/24)+N105,"")</f>
        <v/>
      </c>
      <c r="P105" s="1" t="str">
        <f>IFERROR(IF(O105=0,"",VLOOKUP($D105,PROCESSO!$B:$P,O$8,FALSE)/24)+($A$8/24)+O105,"")</f>
        <v/>
      </c>
      <c r="Q105" s="1" t="str">
        <f>IFERROR(IF(P105=0,"",VLOOKUP($D105,PROCESSO!$B:$P,P$8,FALSE)/24)+($A$8/24)+P105,"")</f>
        <v/>
      </c>
      <c r="R105" s="1" t="str">
        <f>IFERROR(IF(Q105=0,"",VLOOKUP($D105,PROCESSO!$B:$P,Q$8,FALSE)/24)+($A$8/24)+Q105,"")</f>
        <v/>
      </c>
      <c r="S105" s="45" t="str">
        <f>IFERROR(IFERROR(VLOOKUP(D105,PROCESSO!B:P,15,FALSE),"")/SUMIFS(C:C,A:A,A105),"")</f>
        <v/>
      </c>
      <c r="T105" s="45" t="str">
        <f t="shared" si="10"/>
        <v/>
      </c>
      <c r="U105" s="45" t="str">
        <f>IFERROR(VLOOKUP(B105,RECEITAS!A:C,3,FALSE),"")</f>
        <v/>
      </c>
      <c r="V105" s="45" t="str">
        <f>IFERROR((U105+S105)*(1-ANALISE!$I$4),"")</f>
        <v/>
      </c>
      <c r="W105" s="45" t="str">
        <f t="shared" si="11"/>
        <v/>
      </c>
    </row>
    <row r="106" spans="1:23" x14ac:dyDescent="0.3">
      <c r="A106">
        <f>Crono_Sex!A104</f>
        <v>0</v>
      </c>
      <c r="B106">
        <f>Crono_Sex!B104</f>
        <v>0</v>
      </c>
      <c r="C106" s="17">
        <f>Crono_Sex!C104</f>
        <v>0</v>
      </c>
      <c r="D106" t="str">
        <f>IFERROR(VLOOKUP(B106,RECEITAS!A:C,$D$7,FALSE),"")</f>
        <v/>
      </c>
      <c r="E106" s="1" t="str">
        <f>IFERROR(E105+(VLOOKUP($D106,PROCESSO!$B:$P,AP_CRONO_Sex!E$8,FALSE)/24),"")</f>
        <v/>
      </c>
      <c r="F106" s="1">
        <f>Crono_Sex!E104</f>
        <v>0</v>
      </c>
      <c r="G106" s="1" t="str">
        <f>IFERROR(IF(F106=0,"",VLOOKUP($D106,PROCESSO!$B:$P,G$8,FALSE)/24)*IFERROR(IF(#REF!&gt;$B$8,ROUNDUP(#REF!/$B$8,0),1),1)+($A$8/24)+F106,"")</f>
        <v/>
      </c>
      <c r="H106" s="1" t="str">
        <f t="shared" si="9"/>
        <v/>
      </c>
      <c r="I106" s="1" t="str">
        <f>IFERROR(IF(H106=0,"",VLOOKUP($D106,PROCESSO!$B:$P,H$8,FALSE)/24)+($A$8/24)+H106,"")</f>
        <v/>
      </c>
      <c r="J106" s="1" t="str">
        <f>IFERROR(IF(I106=0,"",VLOOKUP($D106,PROCESSO!$B:$P,I$8,FALSE)/24)+($A$8/24)+I106,"")</f>
        <v/>
      </c>
      <c r="K106" s="1" t="str">
        <f>IFERROR(IF(J106=0,"",VLOOKUP($D106,PROCESSO!$B:$P,J$8,FALSE)/24)+($A$8/24)+J106,"")</f>
        <v/>
      </c>
      <c r="L106" s="1" t="str">
        <f>IFERROR(IF(K106=0,"",VLOOKUP($D106,PROCESSO!$B:$P,K$8,FALSE)/24)+($A$8/24)+K106,"")</f>
        <v/>
      </c>
      <c r="M106" s="1" t="str">
        <f>IFERROR(IF(L106=0,"",VLOOKUP($D106,PROCESSO!$B:$P,L$8,FALSE)/24)+($A$8/24)+L106,"")</f>
        <v/>
      </c>
      <c r="N106" s="1" t="str">
        <f>IFERROR(IF(M106=0,"",VLOOKUP($D106,PROCESSO!$B:$P,M$8,FALSE)/24)+($A$8/24)+M106,"")</f>
        <v/>
      </c>
      <c r="O106" s="1" t="str">
        <f>IFERROR(IF(N106=0,"",VLOOKUP($D106,PROCESSO!$B:$P,N$8,FALSE)/24)+($A$8/24)+N106,"")</f>
        <v/>
      </c>
      <c r="P106" s="1" t="str">
        <f>IFERROR(IF(O106=0,"",VLOOKUP($D106,PROCESSO!$B:$P,O$8,FALSE)/24)+($A$8/24)+O106,"")</f>
        <v/>
      </c>
      <c r="Q106" s="1" t="str">
        <f>IFERROR(IF(P106=0,"",VLOOKUP($D106,PROCESSO!$B:$P,P$8,FALSE)/24)+($A$8/24)+P106,"")</f>
        <v/>
      </c>
      <c r="R106" s="1" t="str">
        <f>IFERROR(IF(Q106=0,"",VLOOKUP($D106,PROCESSO!$B:$P,Q$8,FALSE)/24)+($A$8/24)+Q106,"")</f>
        <v/>
      </c>
      <c r="S106" s="45" t="str">
        <f>IFERROR(IFERROR(VLOOKUP(D106,PROCESSO!B:P,15,FALSE),"")/SUMIFS(C:C,A:A,A106),"")</f>
        <v/>
      </c>
      <c r="T106" s="45" t="str">
        <f t="shared" si="10"/>
        <v/>
      </c>
      <c r="U106" s="45" t="str">
        <f>IFERROR(VLOOKUP(B106,RECEITAS!A:C,3,FALSE),"")</f>
        <v/>
      </c>
      <c r="V106" s="45" t="str">
        <f>IFERROR((U106+S106)*(1-ANALISE!$I$4),"")</f>
        <v/>
      </c>
      <c r="W106" s="45" t="str">
        <f t="shared" si="11"/>
        <v/>
      </c>
    </row>
    <row r="107" spans="1:23" x14ac:dyDescent="0.3">
      <c r="A107">
        <f>Crono_Sex!A105</f>
        <v>0</v>
      </c>
      <c r="B107">
        <f>Crono_Sex!B105</f>
        <v>0</v>
      </c>
      <c r="C107" s="17">
        <f>Crono_Sex!C105</f>
        <v>0</v>
      </c>
      <c r="D107" t="str">
        <f>IFERROR(VLOOKUP(B107,RECEITAS!A:C,$D$7,FALSE),"")</f>
        <v/>
      </c>
      <c r="E107" s="1" t="str">
        <f>IFERROR(E106+(VLOOKUP($D107,PROCESSO!$B:$P,AP_CRONO_Sex!E$8,FALSE)/24),"")</f>
        <v/>
      </c>
      <c r="F107" s="1">
        <f>Crono_Sex!E105</f>
        <v>0</v>
      </c>
      <c r="G107" s="1" t="str">
        <f>IFERROR(IF(F107=0,"",VLOOKUP($D107,PROCESSO!$B:$P,G$8,FALSE)/24)*IFERROR(IF(#REF!&gt;$B$8,ROUNDUP(#REF!/$B$8,0),1),1)+($A$8/24)+F107,"")</f>
        <v/>
      </c>
      <c r="H107" s="1" t="str">
        <f t="shared" si="9"/>
        <v/>
      </c>
      <c r="I107" s="1" t="str">
        <f>IFERROR(IF(H107=0,"",VLOOKUP($D107,PROCESSO!$B:$P,H$8,FALSE)/24)+($A$8/24)+H107,"")</f>
        <v/>
      </c>
      <c r="J107" s="1" t="str">
        <f>IFERROR(IF(I107=0,"",VLOOKUP($D107,PROCESSO!$B:$P,I$8,FALSE)/24)+($A$8/24)+I107,"")</f>
        <v/>
      </c>
      <c r="K107" s="1" t="str">
        <f>IFERROR(IF(J107=0,"",VLOOKUP($D107,PROCESSO!$B:$P,J$8,FALSE)/24)+($A$8/24)+J107,"")</f>
        <v/>
      </c>
      <c r="L107" s="1" t="str">
        <f>IFERROR(IF(K107=0,"",VLOOKUP($D107,PROCESSO!$B:$P,K$8,FALSE)/24)+($A$8/24)+K107,"")</f>
        <v/>
      </c>
      <c r="M107" s="1" t="str">
        <f>IFERROR(IF(L107=0,"",VLOOKUP($D107,PROCESSO!$B:$P,L$8,FALSE)/24)+($A$8/24)+L107,"")</f>
        <v/>
      </c>
      <c r="N107" s="1" t="str">
        <f>IFERROR(IF(M107=0,"",VLOOKUP($D107,PROCESSO!$B:$P,M$8,FALSE)/24)+($A$8/24)+M107,"")</f>
        <v/>
      </c>
      <c r="O107" s="1" t="str">
        <f>IFERROR(IF(N107=0,"",VLOOKUP($D107,PROCESSO!$B:$P,N$8,FALSE)/24)+($A$8/24)+N107,"")</f>
        <v/>
      </c>
      <c r="P107" s="1" t="str">
        <f>IFERROR(IF(O107=0,"",VLOOKUP($D107,PROCESSO!$B:$P,O$8,FALSE)/24)+($A$8/24)+O107,"")</f>
        <v/>
      </c>
      <c r="Q107" s="1" t="str">
        <f>IFERROR(IF(P107=0,"",VLOOKUP($D107,PROCESSO!$B:$P,P$8,FALSE)/24)+($A$8/24)+P107,"")</f>
        <v/>
      </c>
      <c r="R107" s="1" t="str">
        <f>IFERROR(IF(Q107=0,"",VLOOKUP($D107,PROCESSO!$B:$P,Q$8,FALSE)/24)+($A$8/24)+Q107,"")</f>
        <v/>
      </c>
      <c r="S107" s="45" t="str">
        <f>IFERROR(IFERROR(VLOOKUP(D107,PROCESSO!B:P,15,FALSE),"")/SUMIFS(C:C,A:A,A107),"")</f>
        <v/>
      </c>
      <c r="T107" s="45" t="str">
        <f t="shared" si="10"/>
        <v/>
      </c>
      <c r="U107" s="45" t="str">
        <f>IFERROR(VLOOKUP(B107,RECEITAS!A:C,3,FALSE),"")</f>
        <v/>
      </c>
      <c r="V107" s="45" t="str">
        <f>IFERROR((U107+S107)*(1-ANALISE!$I$4),"")</f>
        <v/>
      </c>
      <c r="W107" s="45" t="str">
        <f t="shared" si="11"/>
        <v/>
      </c>
    </row>
    <row r="108" spans="1:23" x14ac:dyDescent="0.3">
      <c r="A108">
        <f>Crono_Sex!A106</f>
        <v>0</v>
      </c>
      <c r="B108">
        <f>Crono_Sex!B106</f>
        <v>0</v>
      </c>
      <c r="C108" s="17">
        <f>Crono_Sex!C106</f>
        <v>0</v>
      </c>
      <c r="D108" t="str">
        <f>IFERROR(VLOOKUP(B108,RECEITAS!A:C,$D$7,FALSE),"")</f>
        <v/>
      </c>
      <c r="E108" s="1" t="str">
        <f>IFERROR(E107+(VLOOKUP($D108,PROCESSO!$B:$P,AP_CRONO_Sex!E$8,FALSE)/24),"")</f>
        <v/>
      </c>
      <c r="F108" s="1">
        <f>Crono_Sex!E106</f>
        <v>0</v>
      </c>
      <c r="G108" s="1" t="str">
        <f>IFERROR(IF(F108=0,"",VLOOKUP($D108,PROCESSO!$B:$P,G$8,FALSE)/24)*IFERROR(IF(#REF!&gt;$B$8,ROUNDUP(#REF!/$B$8,0),1),1)+($A$8/24)+F108,"")</f>
        <v/>
      </c>
      <c r="H108" s="1" t="str">
        <f t="shared" si="9"/>
        <v/>
      </c>
      <c r="I108" s="1" t="str">
        <f>IFERROR(IF(H108=0,"",VLOOKUP($D108,PROCESSO!$B:$P,H$8,FALSE)/24)+($A$8/24)+H108,"")</f>
        <v/>
      </c>
      <c r="J108" s="1" t="str">
        <f>IFERROR(IF(I108=0,"",VLOOKUP($D108,PROCESSO!$B:$P,I$8,FALSE)/24)+($A$8/24)+I108,"")</f>
        <v/>
      </c>
      <c r="K108" s="1" t="str">
        <f>IFERROR(IF(J108=0,"",VLOOKUP($D108,PROCESSO!$B:$P,J$8,FALSE)/24)+($A$8/24)+J108,"")</f>
        <v/>
      </c>
      <c r="L108" s="1" t="str">
        <f>IFERROR(IF(K108=0,"",VLOOKUP($D108,PROCESSO!$B:$P,K$8,FALSE)/24)+($A$8/24)+K108,"")</f>
        <v/>
      </c>
      <c r="M108" s="1" t="str">
        <f>IFERROR(IF(L108=0,"",VLOOKUP($D108,PROCESSO!$B:$P,L$8,FALSE)/24)+($A$8/24)+L108,"")</f>
        <v/>
      </c>
      <c r="N108" s="1" t="str">
        <f>IFERROR(IF(M108=0,"",VLOOKUP($D108,PROCESSO!$B:$P,M$8,FALSE)/24)+($A$8/24)+M108,"")</f>
        <v/>
      </c>
      <c r="O108" s="1" t="str">
        <f>IFERROR(IF(N108=0,"",VLOOKUP($D108,PROCESSO!$B:$P,N$8,FALSE)/24)+($A$8/24)+N108,"")</f>
        <v/>
      </c>
      <c r="P108" s="1" t="str">
        <f>IFERROR(IF(O108=0,"",VLOOKUP($D108,PROCESSO!$B:$P,O$8,FALSE)/24)+($A$8/24)+O108,"")</f>
        <v/>
      </c>
      <c r="Q108" s="1" t="str">
        <f>IFERROR(IF(P108=0,"",VLOOKUP($D108,PROCESSO!$B:$P,P$8,FALSE)/24)+($A$8/24)+P108,"")</f>
        <v/>
      </c>
      <c r="R108" s="1" t="str">
        <f>IFERROR(IF(Q108=0,"",VLOOKUP($D108,PROCESSO!$B:$P,Q$8,FALSE)/24)+($A$8/24)+Q108,"")</f>
        <v/>
      </c>
      <c r="S108" s="45" t="str">
        <f>IFERROR(IFERROR(VLOOKUP(D108,PROCESSO!B:P,15,FALSE),"")/SUMIFS(C:C,A:A,A108),"")</f>
        <v/>
      </c>
      <c r="T108" s="45" t="str">
        <f t="shared" si="10"/>
        <v/>
      </c>
      <c r="U108" s="45" t="str">
        <f>IFERROR(VLOOKUP(B108,RECEITAS!A:C,3,FALSE),"")</f>
        <v/>
      </c>
      <c r="V108" s="45" t="str">
        <f>IFERROR((U108+S108)*(1-ANALISE!$I$4),"")</f>
        <v/>
      </c>
      <c r="W108" s="45" t="str">
        <f t="shared" si="11"/>
        <v/>
      </c>
    </row>
    <row r="109" spans="1:23" x14ac:dyDescent="0.3">
      <c r="A109">
        <f>Crono_Sex!A107</f>
        <v>0</v>
      </c>
      <c r="B109">
        <f>Crono_Sex!B107</f>
        <v>0</v>
      </c>
      <c r="C109" s="17">
        <f>Crono_Sex!C107</f>
        <v>0</v>
      </c>
      <c r="D109" t="str">
        <f>IFERROR(VLOOKUP(B109,RECEITAS!A:C,$D$7,FALSE),"")</f>
        <v/>
      </c>
      <c r="E109" s="1" t="str">
        <f>IFERROR(E108+(VLOOKUP($D109,PROCESSO!$B:$P,AP_CRONO_Sex!E$8,FALSE)/24),"")</f>
        <v/>
      </c>
      <c r="F109" s="1">
        <f>Crono_Sex!E107</f>
        <v>0</v>
      </c>
      <c r="G109" s="1" t="str">
        <f>IFERROR(IF(F109=0,"",VLOOKUP($D109,PROCESSO!$B:$P,G$8,FALSE)/24)*IFERROR(IF(#REF!&gt;$B$8,ROUNDUP(#REF!/$B$8,0),1),1)+($A$8/24)+F109,"")</f>
        <v/>
      </c>
      <c r="H109" s="1" t="str">
        <f t="shared" si="9"/>
        <v/>
      </c>
      <c r="I109" s="1" t="str">
        <f>IFERROR(IF(H109=0,"",VLOOKUP($D109,PROCESSO!$B:$P,H$8,FALSE)/24)+($A$8/24)+H109,"")</f>
        <v/>
      </c>
      <c r="J109" s="1" t="str">
        <f>IFERROR(IF(I109=0,"",VLOOKUP($D109,PROCESSO!$B:$P,I$8,FALSE)/24)+($A$8/24)+I109,"")</f>
        <v/>
      </c>
      <c r="K109" s="1" t="str">
        <f>IFERROR(IF(J109=0,"",VLOOKUP($D109,PROCESSO!$B:$P,J$8,FALSE)/24)+($A$8/24)+J109,"")</f>
        <v/>
      </c>
      <c r="L109" s="1" t="str">
        <f>IFERROR(IF(K109=0,"",VLOOKUP($D109,PROCESSO!$B:$P,K$8,FALSE)/24)+($A$8/24)+K109,"")</f>
        <v/>
      </c>
      <c r="M109" s="1" t="str">
        <f>IFERROR(IF(L109=0,"",VLOOKUP($D109,PROCESSO!$B:$P,L$8,FALSE)/24)+($A$8/24)+L109,"")</f>
        <v/>
      </c>
      <c r="N109" s="1" t="str">
        <f>IFERROR(IF(M109=0,"",VLOOKUP($D109,PROCESSO!$B:$P,M$8,FALSE)/24)+($A$8/24)+M109,"")</f>
        <v/>
      </c>
      <c r="O109" s="1" t="str">
        <f>IFERROR(IF(N109=0,"",VLOOKUP($D109,PROCESSO!$B:$P,N$8,FALSE)/24)+($A$8/24)+N109,"")</f>
        <v/>
      </c>
      <c r="P109" s="1" t="str">
        <f>IFERROR(IF(O109=0,"",VLOOKUP($D109,PROCESSO!$B:$P,O$8,FALSE)/24)+($A$8/24)+O109,"")</f>
        <v/>
      </c>
      <c r="Q109" s="1" t="str">
        <f>IFERROR(IF(P109=0,"",VLOOKUP($D109,PROCESSO!$B:$P,P$8,FALSE)/24)+($A$8/24)+P109,"")</f>
        <v/>
      </c>
      <c r="R109" s="1" t="str">
        <f>IFERROR(IF(Q109=0,"",VLOOKUP($D109,PROCESSO!$B:$P,Q$8,FALSE)/24)+($A$8/24)+Q109,"")</f>
        <v/>
      </c>
      <c r="S109" s="45" t="str">
        <f>IFERROR(IFERROR(VLOOKUP(D109,PROCESSO!B:P,15,FALSE),"")/SUMIFS(C:C,A:A,A109),"")</f>
        <v/>
      </c>
      <c r="T109" s="45" t="str">
        <f t="shared" si="10"/>
        <v/>
      </c>
      <c r="U109" s="45" t="str">
        <f>IFERROR(VLOOKUP(B109,RECEITAS!A:C,3,FALSE),"")</f>
        <v/>
      </c>
      <c r="V109" s="45" t="str">
        <f>IFERROR((U109+S109)*(1-ANALISE!$I$4),"")</f>
        <v/>
      </c>
      <c r="W109" s="45" t="str">
        <f t="shared" si="11"/>
        <v/>
      </c>
    </row>
    <row r="110" spans="1:23" x14ac:dyDescent="0.3">
      <c r="A110">
        <f>Crono_Sex!A108</f>
        <v>0</v>
      </c>
      <c r="B110">
        <f>Crono_Sex!B108</f>
        <v>0</v>
      </c>
      <c r="C110" s="17">
        <f>Crono_Sex!C108</f>
        <v>0</v>
      </c>
      <c r="D110" t="str">
        <f>IFERROR(VLOOKUP(B110,RECEITAS!A:C,$D$7,FALSE),"")</f>
        <v/>
      </c>
      <c r="E110" s="1" t="str">
        <f>IFERROR(E109+(VLOOKUP($D110,PROCESSO!$B:$P,AP_CRONO_Sex!E$8,FALSE)/24),"")</f>
        <v/>
      </c>
      <c r="F110" s="1">
        <f>Crono_Sex!E108</f>
        <v>0</v>
      </c>
      <c r="G110" s="1" t="str">
        <f>IFERROR(IF(F110=0,"",VLOOKUP($D110,PROCESSO!$B:$P,G$8,FALSE)/24)*IFERROR(IF(#REF!&gt;$B$8,ROUNDUP(#REF!/$B$8,0),1),1)+($A$8/24)+F110,"")</f>
        <v/>
      </c>
      <c r="H110" s="1" t="str">
        <f t="shared" si="9"/>
        <v/>
      </c>
      <c r="I110" s="1" t="str">
        <f>IFERROR(IF(H110=0,"",VLOOKUP($D110,PROCESSO!$B:$P,H$8,FALSE)/24)+($A$8/24)+H110,"")</f>
        <v/>
      </c>
      <c r="J110" s="1" t="str">
        <f>IFERROR(IF(I110=0,"",VLOOKUP($D110,PROCESSO!$B:$P,I$8,FALSE)/24)+($A$8/24)+I110,"")</f>
        <v/>
      </c>
      <c r="K110" s="1" t="str">
        <f>IFERROR(IF(J110=0,"",VLOOKUP($D110,PROCESSO!$B:$P,J$8,FALSE)/24)+($A$8/24)+J110,"")</f>
        <v/>
      </c>
      <c r="L110" s="1" t="str">
        <f>IFERROR(IF(K110=0,"",VLOOKUP($D110,PROCESSO!$B:$P,K$8,FALSE)/24)+($A$8/24)+K110,"")</f>
        <v/>
      </c>
      <c r="M110" s="1" t="str">
        <f>IFERROR(IF(L110=0,"",VLOOKUP($D110,PROCESSO!$B:$P,L$8,FALSE)/24)+($A$8/24)+L110,"")</f>
        <v/>
      </c>
      <c r="N110" s="1" t="str">
        <f>IFERROR(IF(M110=0,"",VLOOKUP($D110,PROCESSO!$B:$P,M$8,FALSE)/24)+($A$8/24)+M110,"")</f>
        <v/>
      </c>
      <c r="O110" s="1" t="str">
        <f>IFERROR(IF(N110=0,"",VLOOKUP($D110,PROCESSO!$B:$P,N$8,FALSE)/24)+($A$8/24)+N110,"")</f>
        <v/>
      </c>
      <c r="P110" s="1" t="str">
        <f>IFERROR(IF(O110=0,"",VLOOKUP($D110,PROCESSO!$B:$P,O$8,FALSE)/24)+($A$8/24)+O110,"")</f>
        <v/>
      </c>
      <c r="Q110" s="1" t="str">
        <f>IFERROR(IF(P110=0,"",VLOOKUP($D110,PROCESSO!$B:$P,P$8,FALSE)/24)+($A$8/24)+P110,"")</f>
        <v/>
      </c>
      <c r="R110" s="1" t="str">
        <f>IFERROR(IF(Q110=0,"",VLOOKUP($D110,PROCESSO!$B:$P,Q$8,FALSE)/24)+($A$8/24)+Q110,"")</f>
        <v/>
      </c>
      <c r="S110" s="45" t="str">
        <f>IFERROR(IFERROR(VLOOKUP(D110,PROCESSO!B:P,15,FALSE),"")/SUMIFS(C:C,A:A,A110),"")</f>
        <v/>
      </c>
      <c r="T110" s="45" t="str">
        <f t="shared" si="10"/>
        <v/>
      </c>
      <c r="U110" s="45" t="str">
        <f>IFERROR(VLOOKUP(B110,RECEITAS!A:C,3,FALSE),"")</f>
        <v/>
      </c>
      <c r="V110" s="45" t="str">
        <f>IFERROR((U110+S110)*(1-ANALISE!$I$4),"")</f>
        <v/>
      </c>
      <c r="W110" s="45" t="str">
        <f t="shared" si="11"/>
        <v/>
      </c>
    </row>
    <row r="111" spans="1:23" x14ac:dyDescent="0.3">
      <c r="A111">
        <f>Crono_Sex!A109</f>
        <v>0</v>
      </c>
      <c r="B111">
        <f>Crono_Sex!B109</f>
        <v>0</v>
      </c>
      <c r="C111" s="17">
        <f>Crono_Sex!C109</f>
        <v>0</v>
      </c>
      <c r="D111" t="str">
        <f>IFERROR(VLOOKUP(B111,RECEITAS!A:C,$D$7,FALSE),"")</f>
        <v/>
      </c>
      <c r="E111" s="1" t="str">
        <f>IFERROR(E110+(VLOOKUP($D111,PROCESSO!$B:$P,AP_CRONO_Sex!E$8,FALSE)/24),"")</f>
        <v/>
      </c>
      <c r="F111" s="1">
        <f>Crono_Sex!E109</f>
        <v>0</v>
      </c>
      <c r="G111" s="1" t="str">
        <f>IFERROR(IF(F111=0,"",VLOOKUP($D111,PROCESSO!$B:$P,G$8,FALSE)/24)*IFERROR(IF(#REF!&gt;$B$8,ROUNDUP(#REF!/$B$8,0),1),1)+($A$8/24)+F111,"")</f>
        <v/>
      </c>
      <c r="H111" s="1" t="str">
        <f t="shared" si="9"/>
        <v/>
      </c>
      <c r="I111" s="1" t="str">
        <f>IFERROR(IF(H111=0,"",VLOOKUP($D111,PROCESSO!$B:$P,H$8,FALSE)/24)+($A$8/24)+H111,"")</f>
        <v/>
      </c>
      <c r="J111" s="1" t="str">
        <f>IFERROR(IF(I111=0,"",VLOOKUP($D111,PROCESSO!$B:$P,I$8,FALSE)/24)+($A$8/24)+I111,"")</f>
        <v/>
      </c>
      <c r="K111" s="1" t="str">
        <f>IFERROR(IF(J111=0,"",VLOOKUP($D111,PROCESSO!$B:$P,J$8,FALSE)/24)+($A$8/24)+J111,"")</f>
        <v/>
      </c>
      <c r="L111" s="1" t="str">
        <f>IFERROR(IF(K111=0,"",VLOOKUP($D111,PROCESSO!$B:$P,K$8,FALSE)/24)+($A$8/24)+K111,"")</f>
        <v/>
      </c>
      <c r="M111" s="1" t="str">
        <f>IFERROR(IF(L111=0,"",VLOOKUP($D111,PROCESSO!$B:$P,L$8,FALSE)/24)+($A$8/24)+L111,"")</f>
        <v/>
      </c>
      <c r="N111" s="1" t="str">
        <f>IFERROR(IF(M111=0,"",VLOOKUP($D111,PROCESSO!$B:$P,M$8,FALSE)/24)+($A$8/24)+M111,"")</f>
        <v/>
      </c>
      <c r="O111" s="1" t="str">
        <f>IFERROR(IF(N111=0,"",VLOOKUP($D111,PROCESSO!$B:$P,N$8,FALSE)/24)+($A$8/24)+N111,"")</f>
        <v/>
      </c>
      <c r="P111" s="1" t="str">
        <f>IFERROR(IF(O111=0,"",VLOOKUP($D111,PROCESSO!$B:$P,O$8,FALSE)/24)+($A$8/24)+O111,"")</f>
        <v/>
      </c>
      <c r="Q111" s="1" t="str">
        <f>IFERROR(IF(P111=0,"",VLOOKUP($D111,PROCESSO!$B:$P,P$8,FALSE)/24)+($A$8/24)+P111,"")</f>
        <v/>
      </c>
      <c r="R111" s="1" t="str">
        <f>IFERROR(IF(Q111=0,"",VLOOKUP($D111,PROCESSO!$B:$P,Q$8,FALSE)/24)+($A$8/24)+Q111,"")</f>
        <v/>
      </c>
      <c r="S111" s="45" t="str">
        <f>IFERROR(IFERROR(VLOOKUP(D111,PROCESSO!B:P,15,FALSE),"")/SUMIFS(C:C,A:A,A111),"")</f>
        <v/>
      </c>
      <c r="T111" s="45" t="str">
        <f t="shared" si="10"/>
        <v/>
      </c>
      <c r="U111" s="45" t="str">
        <f>IFERROR(VLOOKUP(B111,RECEITAS!A:C,3,FALSE),"")</f>
        <v/>
      </c>
      <c r="V111" s="45" t="str">
        <f>IFERROR((U111+S111)*(1-ANALISE!$I$4),"")</f>
        <v/>
      </c>
      <c r="W111" s="45" t="str">
        <f t="shared" si="11"/>
        <v/>
      </c>
    </row>
    <row r="112" spans="1:23" x14ac:dyDescent="0.3">
      <c r="A112">
        <f>Crono_Sex!A110</f>
        <v>0</v>
      </c>
      <c r="B112">
        <f>Crono_Sex!B110</f>
        <v>0</v>
      </c>
      <c r="C112" s="17">
        <f>Crono_Sex!C110</f>
        <v>0</v>
      </c>
      <c r="D112" t="str">
        <f>IFERROR(VLOOKUP(B112,RECEITAS!A:C,$D$7,FALSE),"")</f>
        <v/>
      </c>
      <c r="E112" s="1" t="str">
        <f>IFERROR(E111+(VLOOKUP($D112,PROCESSO!$B:$P,AP_CRONO_Sex!E$8,FALSE)/24),"")</f>
        <v/>
      </c>
      <c r="F112" s="1">
        <f>Crono_Sex!E110</f>
        <v>0</v>
      </c>
      <c r="G112" s="1" t="str">
        <f>IFERROR(IF(F112=0,"",VLOOKUP($D112,PROCESSO!$B:$P,G$8,FALSE)/24)*IFERROR(IF(#REF!&gt;$B$8,ROUNDUP(#REF!/$B$8,0),1),1)+($A$8/24)+F112,"")</f>
        <v/>
      </c>
      <c r="H112" s="1" t="str">
        <f t="shared" si="9"/>
        <v/>
      </c>
      <c r="I112" s="1" t="str">
        <f>IFERROR(IF(H112=0,"",VLOOKUP($D112,PROCESSO!$B:$P,H$8,FALSE)/24)+($A$8/24)+H112,"")</f>
        <v/>
      </c>
      <c r="J112" s="1" t="str">
        <f>IFERROR(IF(I112=0,"",VLOOKUP($D112,PROCESSO!$B:$P,I$8,FALSE)/24)+($A$8/24)+I112,"")</f>
        <v/>
      </c>
      <c r="K112" s="1" t="str">
        <f>IFERROR(IF(J112=0,"",VLOOKUP($D112,PROCESSO!$B:$P,J$8,FALSE)/24)+($A$8/24)+J112,"")</f>
        <v/>
      </c>
      <c r="L112" s="1" t="str">
        <f>IFERROR(IF(K112=0,"",VLOOKUP($D112,PROCESSO!$B:$P,K$8,FALSE)/24)+($A$8/24)+K112,"")</f>
        <v/>
      </c>
      <c r="M112" s="1" t="str">
        <f>IFERROR(IF(L112=0,"",VLOOKUP($D112,PROCESSO!$B:$P,L$8,FALSE)/24)+($A$8/24)+L112,"")</f>
        <v/>
      </c>
      <c r="N112" s="1" t="str">
        <f>IFERROR(IF(M112=0,"",VLOOKUP($D112,PROCESSO!$B:$P,M$8,FALSE)/24)+($A$8/24)+M112,"")</f>
        <v/>
      </c>
      <c r="O112" s="1" t="str">
        <f>IFERROR(IF(N112=0,"",VLOOKUP($D112,PROCESSO!$B:$P,N$8,FALSE)/24)+($A$8/24)+N112,"")</f>
        <v/>
      </c>
      <c r="P112" s="1" t="str">
        <f>IFERROR(IF(O112=0,"",VLOOKUP($D112,PROCESSO!$B:$P,O$8,FALSE)/24)+($A$8/24)+O112,"")</f>
        <v/>
      </c>
      <c r="Q112" s="1" t="str">
        <f>IFERROR(IF(P112=0,"",VLOOKUP($D112,PROCESSO!$B:$P,P$8,FALSE)/24)+($A$8/24)+P112,"")</f>
        <v/>
      </c>
      <c r="R112" s="1" t="str">
        <f>IFERROR(IF(Q112=0,"",VLOOKUP($D112,PROCESSO!$B:$P,Q$8,FALSE)/24)+($A$8/24)+Q112,"")</f>
        <v/>
      </c>
      <c r="S112" s="45" t="str">
        <f>IFERROR(IFERROR(VLOOKUP(D112,PROCESSO!B:P,15,FALSE),"")/SUMIFS(C:C,A:A,A112),"")</f>
        <v/>
      </c>
      <c r="T112" s="45" t="str">
        <f t="shared" si="10"/>
        <v/>
      </c>
      <c r="U112" s="45" t="str">
        <f>IFERROR(VLOOKUP(B112,RECEITAS!A:C,3,FALSE),"")</f>
        <v/>
      </c>
      <c r="V112" s="45" t="str">
        <f>IFERROR((U112+S112)*(1-ANALISE!$I$4),"")</f>
        <v/>
      </c>
      <c r="W112" s="45" t="str">
        <f t="shared" si="11"/>
        <v/>
      </c>
    </row>
    <row r="113" spans="1:23" x14ac:dyDescent="0.3">
      <c r="A113">
        <f>Crono_Sex!A111</f>
        <v>0</v>
      </c>
      <c r="B113">
        <f>Crono_Sex!B111</f>
        <v>0</v>
      </c>
      <c r="C113" s="17">
        <f>Crono_Sex!C111</f>
        <v>0</v>
      </c>
      <c r="D113" t="str">
        <f>IFERROR(VLOOKUP(B113,RECEITAS!A:C,$D$7,FALSE),"")</f>
        <v/>
      </c>
      <c r="E113" s="1" t="str">
        <f>IFERROR(E112+(VLOOKUP($D113,PROCESSO!$B:$P,AP_CRONO_Sex!E$8,FALSE)/24),"")</f>
        <v/>
      </c>
      <c r="F113" s="1">
        <f>Crono_Sex!E111</f>
        <v>0</v>
      </c>
      <c r="G113" s="1" t="str">
        <f>IFERROR(IF(F113=0,"",VLOOKUP($D113,PROCESSO!$B:$P,G$8,FALSE)/24)*IFERROR(IF(#REF!&gt;$B$8,ROUNDUP(#REF!/$B$8,0),1),1)+($A$8/24)+F113,"")</f>
        <v/>
      </c>
      <c r="H113" s="1" t="str">
        <f t="shared" si="9"/>
        <v/>
      </c>
      <c r="I113" s="1" t="str">
        <f>IFERROR(IF(H113=0,"",VLOOKUP($D113,PROCESSO!$B:$P,H$8,FALSE)/24)+($A$8/24)+H113,"")</f>
        <v/>
      </c>
      <c r="J113" s="1" t="str">
        <f>IFERROR(IF(I113=0,"",VLOOKUP($D113,PROCESSO!$B:$P,I$8,FALSE)/24)+($A$8/24)+I113,"")</f>
        <v/>
      </c>
      <c r="K113" s="1" t="str">
        <f>IFERROR(IF(J113=0,"",VLOOKUP($D113,PROCESSO!$B:$P,J$8,FALSE)/24)+($A$8/24)+J113,"")</f>
        <v/>
      </c>
      <c r="L113" s="1" t="str">
        <f>IFERROR(IF(K113=0,"",VLOOKUP($D113,PROCESSO!$B:$P,K$8,FALSE)/24)+($A$8/24)+K113,"")</f>
        <v/>
      </c>
      <c r="M113" s="1" t="str">
        <f>IFERROR(IF(L113=0,"",VLOOKUP($D113,PROCESSO!$B:$P,L$8,FALSE)/24)+($A$8/24)+L113,"")</f>
        <v/>
      </c>
      <c r="N113" s="1" t="str">
        <f>IFERROR(IF(M113=0,"",VLOOKUP($D113,PROCESSO!$B:$P,M$8,FALSE)/24)+($A$8/24)+M113,"")</f>
        <v/>
      </c>
      <c r="O113" s="1" t="str">
        <f>IFERROR(IF(N113=0,"",VLOOKUP($D113,PROCESSO!$B:$P,N$8,FALSE)/24)+($A$8/24)+N113,"")</f>
        <v/>
      </c>
      <c r="P113" s="1" t="str">
        <f>IFERROR(IF(O113=0,"",VLOOKUP($D113,PROCESSO!$B:$P,O$8,FALSE)/24)+($A$8/24)+O113,"")</f>
        <v/>
      </c>
      <c r="Q113" s="1" t="str">
        <f>IFERROR(IF(P113=0,"",VLOOKUP($D113,PROCESSO!$B:$P,P$8,FALSE)/24)+($A$8/24)+P113,"")</f>
        <v/>
      </c>
      <c r="R113" s="1" t="str">
        <f>IFERROR(IF(Q113=0,"",VLOOKUP($D113,PROCESSO!$B:$P,Q$8,FALSE)/24)+($A$8/24)+Q113,"")</f>
        <v/>
      </c>
      <c r="S113" s="45" t="str">
        <f>IFERROR(IFERROR(VLOOKUP(D113,PROCESSO!B:P,15,FALSE),"")/SUMIFS(C:C,A:A,A113),"")</f>
        <v/>
      </c>
      <c r="T113" s="45" t="str">
        <f t="shared" si="10"/>
        <v/>
      </c>
      <c r="U113" s="45" t="str">
        <f>IFERROR(VLOOKUP(B113,RECEITAS!A:C,3,FALSE),"")</f>
        <v/>
      </c>
      <c r="V113" s="45" t="str">
        <f>IFERROR((U113+S113)*(1-ANALISE!$I$4),"")</f>
        <v/>
      </c>
      <c r="W113" s="45" t="str">
        <f t="shared" si="11"/>
        <v/>
      </c>
    </row>
    <row r="114" spans="1:23" x14ac:dyDescent="0.3">
      <c r="A114">
        <f>Crono_Sex!A112</f>
        <v>0</v>
      </c>
      <c r="B114">
        <f>Crono_Sex!B112</f>
        <v>0</v>
      </c>
      <c r="C114" s="17">
        <f>Crono_Sex!C112</f>
        <v>0</v>
      </c>
      <c r="D114" t="str">
        <f>IFERROR(VLOOKUP(B114,RECEITAS!A:C,$D$7,FALSE),"")</f>
        <v/>
      </c>
      <c r="E114" s="1" t="str">
        <f>IFERROR(E113+(VLOOKUP($D114,PROCESSO!$B:$P,AP_CRONO_Sex!E$8,FALSE)/24),"")</f>
        <v/>
      </c>
      <c r="F114" s="1">
        <f>Crono_Sex!E112</f>
        <v>0</v>
      </c>
      <c r="G114" s="1" t="str">
        <f>IFERROR(IF(F114=0,"",VLOOKUP($D114,PROCESSO!$B:$P,G$8,FALSE)/24)*IFERROR(IF(#REF!&gt;$B$8,ROUNDUP(#REF!/$B$8,0),1),1)+($A$8/24)+F114,"")</f>
        <v/>
      </c>
      <c r="H114" s="1" t="str">
        <f t="shared" si="9"/>
        <v/>
      </c>
      <c r="I114" s="1" t="str">
        <f>IFERROR(IF(H114=0,"",VLOOKUP($D114,PROCESSO!$B:$P,H$8,FALSE)/24)+($A$8/24)+H114,"")</f>
        <v/>
      </c>
      <c r="J114" s="1" t="str">
        <f>IFERROR(IF(I114=0,"",VLOOKUP($D114,PROCESSO!$B:$P,I$8,FALSE)/24)+($A$8/24)+I114,"")</f>
        <v/>
      </c>
      <c r="K114" s="1" t="str">
        <f>IFERROR(IF(J114=0,"",VLOOKUP($D114,PROCESSO!$B:$P,J$8,FALSE)/24)+($A$8/24)+J114,"")</f>
        <v/>
      </c>
      <c r="L114" s="1" t="str">
        <f>IFERROR(IF(K114=0,"",VLOOKUP($D114,PROCESSO!$B:$P,K$8,FALSE)/24)+($A$8/24)+K114,"")</f>
        <v/>
      </c>
      <c r="M114" s="1" t="str">
        <f>IFERROR(IF(L114=0,"",VLOOKUP($D114,PROCESSO!$B:$P,L$8,FALSE)/24)+($A$8/24)+L114,"")</f>
        <v/>
      </c>
      <c r="N114" s="1" t="str">
        <f>IFERROR(IF(M114=0,"",VLOOKUP($D114,PROCESSO!$B:$P,M$8,FALSE)/24)+($A$8/24)+M114,"")</f>
        <v/>
      </c>
      <c r="O114" s="1" t="str">
        <f>IFERROR(IF(N114=0,"",VLOOKUP($D114,PROCESSO!$B:$P,N$8,FALSE)/24)+($A$8/24)+N114,"")</f>
        <v/>
      </c>
      <c r="P114" s="1" t="str">
        <f>IFERROR(IF(O114=0,"",VLOOKUP($D114,PROCESSO!$B:$P,O$8,FALSE)/24)+($A$8/24)+O114,"")</f>
        <v/>
      </c>
      <c r="Q114" s="1" t="str">
        <f>IFERROR(IF(P114=0,"",VLOOKUP($D114,PROCESSO!$B:$P,P$8,FALSE)/24)+($A$8/24)+P114,"")</f>
        <v/>
      </c>
      <c r="R114" s="1" t="str">
        <f>IFERROR(IF(Q114=0,"",VLOOKUP($D114,PROCESSO!$B:$P,Q$8,FALSE)/24)+($A$8/24)+Q114,"")</f>
        <v/>
      </c>
      <c r="S114" s="45" t="str">
        <f>IFERROR(IFERROR(VLOOKUP(D114,PROCESSO!B:P,15,FALSE),"")/SUMIFS(C:C,A:A,A114),"")</f>
        <v/>
      </c>
      <c r="T114" s="45" t="str">
        <f t="shared" si="10"/>
        <v/>
      </c>
      <c r="U114" s="45" t="str">
        <f>IFERROR(VLOOKUP(B114,RECEITAS!A:C,3,FALSE),"")</f>
        <v/>
      </c>
      <c r="V114" s="45" t="str">
        <f>IFERROR((U114+S114)*(1-ANALISE!$I$4),"")</f>
        <v/>
      </c>
      <c r="W114" s="45" t="str">
        <f t="shared" si="11"/>
        <v/>
      </c>
    </row>
    <row r="115" spans="1:23" x14ac:dyDescent="0.3">
      <c r="A115">
        <f>Crono_Sex!A113</f>
        <v>0</v>
      </c>
      <c r="B115">
        <f>Crono_Sex!B113</f>
        <v>0</v>
      </c>
      <c r="C115" s="17">
        <f>Crono_Sex!C113</f>
        <v>0</v>
      </c>
      <c r="D115" t="str">
        <f>IFERROR(VLOOKUP(B115,RECEITAS!A:C,$D$7,FALSE),"")</f>
        <v/>
      </c>
      <c r="E115" s="1" t="str">
        <f>IFERROR(E114+(VLOOKUP($D115,PROCESSO!$B:$P,AP_CRONO_Sex!E$8,FALSE)/24),"")</f>
        <v/>
      </c>
      <c r="F115" s="1">
        <f>Crono_Sex!E113</f>
        <v>0</v>
      </c>
      <c r="G115" s="1" t="str">
        <f>IFERROR(IF(F115=0,"",VLOOKUP($D115,PROCESSO!$B:$P,G$8,FALSE)/24)*IFERROR(IF(#REF!&gt;$B$8,ROUNDUP(#REF!/$B$8,0),1),1)+($A$8/24)+F115,"")</f>
        <v/>
      </c>
      <c r="H115" s="1" t="str">
        <f t="shared" si="9"/>
        <v/>
      </c>
      <c r="I115" s="1" t="str">
        <f>IFERROR(IF(H115=0,"",VLOOKUP($D115,PROCESSO!$B:$P,H$8,FALSE)/24)+($A$8/24)+H115,"")</f>
        <v/>
      </c>
      <c r="J115" s="1" t="str">
        <f>IFERROR(IF(I115=0,"",VLOOKUP($D115,PROCESSO!$B:$P,I$8,FALSE)/24)+($A$8/24)+I115,"")</f>
        <v/>
      </c>
      <c r="K115" s="1" t="str">
        <f>IFERROR(IF(J115=0,"",VLOOKUP($D115,PROCESSO!$B:$P,J$8,FALSE)/24)+($A$8/24)+J115,"")</f>
        <v/>
      </c>
      <c r="L115" s="1" t="str">
        <f>IFERROR(IF(K115=0,"",VLOOKUP($D115,PROCESSO!$B:$P,K$8,FALSE)/24)+($A$8/24)+K115,"")</f>
        <v/>
      </c>
      <c r="M115" s="1" t="str">
        <f>IFERROR(IF(L115=0,"",VLOOKUP($D115,PROCESSO!$B:$P,L$8,FALSE)/24)+($A$8/24)+L115,"")</f>
        <v/>
      </c>
      <c r="N115" s="1" t="str">
        <f>IFERROR(IF(M115=0,"",VLOOKUP($D115,PROCESSO!$B:$P,M$8,FALSE)/24)+($A$8/24)+M115,"")</f>
        <v/>
      </c>
      <c r="O115" s="1" t="str">
        <f>IFERROR(IF(N115=0,"",VLOOKUP($D115,PROCESSO!$B:$P,N$8,FALSE)/24)+($A$8/24)+N115,"")</f>
        <v/>
      </c>
      <c r="P115" s="1" t="str">
        <f>IFERROR(IF(O115=0,"",VLOOKUP($D115,PROCESSO!$B:$P,O$8,FALSE)/24)+($A$8/24)+O115,"")</f>
        <v/>
      </c>
      <c r="Q115" s="1" t="str">
        <f>IFERROR(IF(P115=0,"",VLOOKUP($D115,PROCESSO!$B:$P,P$8,FALSE)/24)+($A$8/24)+P115,"")</f>
        <v/>
      </c>
      <c r="R115" s="1" t="str">
        <f>IFERROR(IF(Q115=0,"",VLOOKUP($D115,PROCESSO!$B:$P,Q$8,FALSE)/24)+($A$8/24)+Q115,"")</f>
        <v/>
      </c>
      <c r="S115" s="45" t="str">
        <f>IFERROR(IFERROR(VLOOKUP(D115,PROCESSO!B:P,15,FALSE),"")/SUMIFS(C:C,A:A,A115),"")</f>
        <v/>
      </c>
      <c r="T115" s="45" t="str">
        <f t="shared" si="10"/>
        <v/>
      </c>
      <c r="U115" s="45" t="str">
        <f>IFERROR(VLOOKUP(B115,RECEITAS!A:C,3,FALSE),"")</f>
        <v/>
      </c>
      <c r="V115" s="45" t="str">
        <f>IFERROR((U115+S115)*(1-ANALISE!$I$4),"")</f>
        <v/>
      </c>
      <c r="W115" s="45" t="str">
        <f t="shared" si="11"/>
        <v/>
      </c>
    </row>
    <row r="116" spans="1:23" x14ac:dyDescent="0.3">
      <c r="A116">
        <f>Crono_Sex!A114</f>
        <v>0</v>
      </c>
      <c r="B116">
        <f>Crono_Sex!B114</f>
        <v>0</v>
      </c>
      <c r="C116" s="17">
        <f>Crono_Sex!C114</f>
        <v>0</v>
      </c>
      <c r="D116" t="str">
        <f>IFERROR(VLOOKUP(B116,RECEITAS!A:C,$D$7,FALSE),"")</f>
        <v/>
      </c>
      <c r="E116" s="1" t="str">
        <f>IFERROR(E115+(VLOOKUP($D116,PROCESSO!$B:$P,AP_CRONO_Sex!E$8,FALSE)/24),"")</f>
        <v/>
      </c>
      <c r="F116" s="1">
        <f>Crono_Sex!E114</f>
        <v>0</v>
      </c>
      <c r="G116" s="1" t="str">
        <f>IFERROR(IF(F116=0,"",VLOOKUP($D116,PROCESSO!$B:$P,G$8,FALSE)/24)*IFERROR(IF(#REF!&gt;$B$8,ROUNDUP(#REF!/$B$8,0),1),1)+($A$8/24)+F116,"")</f>
        <v/>
      </c>
      <c r="H116" s="1" t="str">
        <f t="shared" si="9"/>
        <v/>
      </c>
      <c r="I116" s="1" t="str">
        <f>IFERROR(IF(H116=0,"",VLOOKUP($D116,PROCESSO!$B:$P,H$8,FALSE)/24)+($A$8/24)+H116,"")</f>
        <v/>
      </c>
      <c r="J116" s="1" t="str">
        <f>IFERROR(IF(I116=0,"",VLOOKUP($D116,PROCESSO!$B:$P,I$8,FALSE)/24)+($A$8/24)+I116,"")</f>
        <v/>
      </c>
      <c r="K116" s="1" t="str">
        <f>IFERROR(IF(J116=0,"",VLOOKUP($D116,PROCESSO!$B:$P,J$8,FALSE)/24)+($A$8/24)+J116,"")</f>
        <v/>
      </c>
      <c r="L116" s="1" t="str">
        <f>IFERROR(IF(K116=0,"",VLOOKUP($D116,PROCESSO!$B:$P,K$8,FALSE)/24)+($A$8/24)+K116,"")</f>
        <v/>
      </c>
      <c r="M116" s="1" t="str">
        <f>IFERROR(IF(L116=0,"",VLOOKUP($D116,PROCESSO!$B:$P,L$8,FALSE)/24)+($A$8/24)+L116,"")</f>
        <v/>
      </c>
      <c r="N116" s="1" t="str">
        <f>IFERROR(IF(M116=0,"",VLOOKUP($D116,PROCESSO!$B:$P,M$8,FALSE)/24)+($A$8/24)+M116,"")</f>
        <v/>
      </c>
      <c r="O116" s="1" t="str">
        <f>IFERROR(IF(N116=0,"",VLOOKUP($D116,PROCESSO!$B:$P,N$8,FALSE)/24)+($A$8/24)+N116,"")</f>
        <v/>
      </c>
      <c r="P116" s="1" t="str">
        <f>IFERROR(IF(O116=0,"",VLOOKUP($D116,PROCESSO!$B:$P,O$8,FALSE)/24)+($A$8/24)+O116,"")</f>
        <v/>
      </c>
      <c r="Q116" s="1" t="str">
        <f>IFERROR(IF(P116=0,"",VLOOKUP($D116,PROCESSO!$B:$P,P$8,FALSE)/24)+($A$8/24)+P116,"")</f>
        <v/>
      </c>
      <c r="R116" s="1" t="str">
        <f>IFERROR(IF(Q116=0,"",VLOOKUP($D116,PROCESSO!$B:$P,Q$8,FALSE)/24)+($A$8/24)+Q116,"")</f>
        <v/>
      </c>
      <c r="S116" s="45" t="str">
        <f>IFERROR(IFERROR(VLOOKUP(D116,PROCESSO!B:P,15,FALSE),"")/SUMIFS(C:C,A:A,A116),"")</f>
        <v/>
      </c>
      <c r="T116" s="45" t="str">
        <f t="shared" si="10"/>
        <v/>
      </c>
      <c r="U116" s="45" t="str">
        <f>IFERROR(VLOOKUP(B116,RECEITAS!A:C,3,FALSE),"")</f>
        <v/>
      </c>
      <c r="V116" s="45" t="str">
        <f>IFERROR((U116+S116)*(1-ANALISE!$I$4),"")</f>
        <v/>
      </c>
      <c r="W116" s="45" t="str">
        <f t="shared" si="11"/>
        <v/>
      </c>
    </row>
    <row r="117" spans="1:23" x14ac:dyDescent="0.3">
      <c r="A117">
        <f>Crono_Sex!A115</f>
        <v>0</v>
      </c>
      <c r="B117">
        <f>Crono_Sex!B115</f>
        <v>0</v>
      </c>
      <c r="C117" s="17">
        <f>Crono_Sex!C115</f>
        <v>0</v>
      </c>
      <c r="D117" t="str">
        <f>IFERROR(VLOOKUP(B117,RECEITAS!A:C,$D$7,FALSE),"")</f>
        <v/>
      </c>
      <c r="E117" s="1" t="str">
        <f>IFERROR(E116+(VLOOKUP($D117,PROCESSO!$B:$P,AP_CRONO_Sex!E$8,FALSE)/24),"")</f>
        <v/>
      </c>
      <c r="F117" s="1">
        <f>Crono_Sex!E115</f>
        <v>0</v>
      </c>
      <c r="G117" s="1" t="str">
        <f>IFERROR(IF(F117=0,"",VLOOKUP($D117,PROCESSO!$B:$P,G$8,FALSE)/24)*IFERROR(IF(#REF!&gt;$B$8,ROUNDUP(#REF!/$B$8,0),1),1)+($A$8/24)+F117,"")</f>
        <v/>
      </c>
      <c r="H117" s="1" t="str">
        <f t="shared" si="9"/>
        <v/>
      </c>
      <c r="I117" s="1" t="str">
        <f>IFERROR(IF(H117=0,"",VLOOKUP($D117,PROCESSO!$B:$P,H$8,FALSE)/24)+($A$8/24)+H117,"")</f>
        <v/>
      </c>
      <c r="J117" s="1" t="str">
        <f>IFERROR(IF(I117=0,"",VLOOKUP($D117,PROCESSO!$B:$P,I$8,FALSE)/24)+($A$8/24)+I117,"")</f>
        <v/>
      </c>
      <c r="K117" s="1" t="str">
        <f>IFERROR(IF(J117=0,"",VLOOKUP($D117,PROCESSO!$B:$P,J$8,FALSE)/24)+($A$8/24)+J117,"")</f>
        <v/>
      </c>
      <c r="L117" s="1" t="str">
        <f>IFERROR(IF(K117=0,"",VLOOKUP($D117,PROCESSO!$B:$P,K$8,FALSE)/24)+($A$8/24)+K117,"")</f>
        <v/>
      </c>
      <c r="M117" s="1" t="str">
        <f>IFERROR(IF(L117=0,"",VLOOKUP($D117,PROCESSO!$B:$P,L$8,FALSE)/24)+($A$8/24)+L117,"")</f>
        <v/>
      </c>
      <c r="N117" s="1" t="str">
        <f>IFERROR(IF(M117=0,"",VLOOKUP($D117,PROCESSO!$B:$P,M$8,FALSE)/24)+($A$8/24)+M117,"")</f>
        <v/>
      </c>
      <c r="O117" s="1" t="str">
        <f>IFERROR(IF(N117=0,"",VLOOKUP($D117,PROCESSO!$B:$P,N$8,FALSE)/24)+($A$8/24)+N117,"")</f>
        <v/>
      </c>
      <c r="P117" s="1" t="str">
        <f>IFERROR(IF(O117=0,"",VLOOKUP($D117,PROCESSO!$B:$P,O$8,FALSE)/24)+($A$8/24)+O117,"")</f>
        <v/>
      </c>
      <c r="Q117" s="1" t="str">
        <f>IFERROR(IF(P117=0,"",VLOOKUP($D117,PROCESSO!$B:$P,P$8,FALSE)/24)+($A$8/24)+P117,"")</f>
        <v/>
      </c>
      <c r="R117" s="1" t="str">
        <f>IFERROR(IF(Q117=0,"",VLOOKUP($D117,PROCESSO!$B:$P,Q$8,FALSE)/24)+($A$8/24)+Q117,"")</f>
        <v/>
      </c>
      <c r="S117" s="45" t="str">
        <f>IFERROR(IFERROR(VLOOKUP(D117,PROCESSO!B:P,15,FALSE),"")/SUMIFS(C:C,A:A,A117),"")</f>
        <v/>
      </c>
      <c r="T117" s="45" t="str">
        <f t="shared" si="10"/>
        <v/>
      </c>
      <c r="U117" s="45" t="str">
        <f>IFERROR(VLOOKUP(B117,RECEITAS!A:C,3,FALSE),"")</f>
        <v/>
      </c>
      <c r="V117" s="45" t="str">
        <f>IFERROR((U117+S117)*(1-ANALISE!$I$4),"")</f>
        <v/>
      </c>
      <c r="W117" s="45" t="str">
        <f t="shared" si="11"/>
        <v/>
      </c>
    </row>
    <row r="118" spans="1:23" x14ac:dyDescent="0.3">
      <c r="A118">
        <f>Crono_Sex!A116</f>
        <v>0</v>
      </c>
      <c r="B118">
        <f>Crono_Sex!B116</f>
        <v>0</v>
      </c>
      <c r="C118" s="17">
        <f>Crono_Sex!C116</f>
        <v>0</v>
      </c>
      <c r="D118" t="str">
        <f>IFERROR(VLOOKUP(B118,RECEITAS!A:C,$D$7,FALSE),"")</f>
        <v/>
      </c>
      <c r="E118" s="1" t="str">
        <f>IFERROR(E117+(VLOOKUP($D118,PROCESSO!$B:$P,AP_CRONO_Sex!E$8,FALSE)/24),"")</f>
        <v/>
      </c>
      <c r="F118" s="1">
        <f>Crono_Sex!E116</f>
        <v>0</v>
      </c>
      <c r="G118" s="1" t="str">
        <f>IFERROR(IF(F118=0,"",VLOOKUP($D118,PROCESSO!$B:$P,G$8,FALSE)/24)*IFERROR(IF(#REF!&gt;$B$8,ROUNDUP(#REF!/$B$8,0),1),1)+($A$8/24)+F118,"")</f>
        <v/>
      </c>
      <c r="H118" s="1" t="str">
        <f t="shared" si="9"/>
        <v/>
      </c>
      <c r="I118" s="1" t="str">
        <f>IFERROR(IF(H118=0,"",VLOOKUP($D118,PROCESSO!$B:$P,H$8,FALSE)/24)+($A$8/24)+H118,"")</f>
        <v/>
      </c>
      <c r="J118" s="1" t="str">
        <f>IFERROR(IF(I118=0,"",VLOOKUP($D118,PROCESSO!$B:$P,I$8,FALSE)/24)+($A$8/24)+I118,"")</f>
        <v/>
      </c>
      <c r="K118" s="1" t="str">
        <f>IFERROR(IF(J118=0,"",VLOOKUP($D118,PROCESSO!$B:$P,J$8,FALSE)/24)+($A$8/24)+J118,"")</f>
        <v/>
      </c>
      <c r="L118" s="1" t="str">
        <f>IFERROR(IF(K118=0,"",VLOOKUP($D118,PROCESSO!$B:$P,K$8,FALSE)/24)+($A$8/24)+K118,"")</f>
        <v/>
      </c>
      <c r="M118" s="1" t="str">
        <f>IFERROR(IF(L118=0,"",VLOOKUP($D118,PROCESSO!$B:$P,L$8,FALSE)/24)+($A$8/24)+L118,"")</f>
        <v/>
      </c>
      <c r="N118" s="1" t="str">
        <f>IFERROR(IF(M118=0,"",VLOOKUP($D118,PROCESSO!$B:$P,M$8,FALSE)/24)+($A$8/24)+M118,"")</f>
        <v/>
      </c>
      <c r="O118" s="1" t="str">
        <f>IFERROR(IF(N118=0,"",VLOOKUP($D118,PROCESSO!$B:$P,N$8,FALSE)/24)+($A$8/24)+N118,"")</f>
        <v/>
      </c>
      <c r="P118" s="1" t="str">
        <f>IFERROR(IF(O118=0,"",VLOOKUP($D118,PROCESSO!$B:$P,O$8,FALSE)/24)+($A$8/24)+O118,"")</f>
        <v/>
      </c>
      <c r="Q118" s="1" t="str">
        <f>IFERROR(IF(P118=0,"",VLOOKUP($D118,PROCESSO!$B:$P,P$8,FALSE)/24)+($A$8/24)+P118,"")</f>
        <v/>
      </c>
      <c r="R118" s="1" t="str">
        <f>IFERROR(IF(Q118=0,"",VLOOKUP($D118,PROCESSO!$B:$P,Q$8,FALSE)/24)+($A$8/24)+Q118,"")</f>
        <v/>
      </c>
      <c r="S118" s="45" t="str">
        <f>IFERROR(IFERROR(VLOOKUP(D118,PROCESSO!B:P,15,FALSE),"")/SUMIFS(C:C,A:A,A118),"")</f>
        <v/>
      </c>
      <c r="T118" s="45" t="str">
        <f t="shared" si="10"/>
        <v/>
      </c>
      <c r="U118" s="45" t="str">
        <f>IFERROR(VLOOKUP(B118,RECEITAS!A:C,3,FALSE),"")</f>
        <v/>
      </c>
      <c r="V118" s="45" t="str">
        <f>IFERROR((U118+S118)*(1-ANALISE!$I$4),"")</f>
        <v/>
      </c>
      <c r="W118" s="45" t="str">
        <f t="shared" si="11"/>
        <v/>
      </c>
    </row>
    <row r="119" spans="1:23" x14ac:dyDescent="0.3">
      <c r="A119">
        <f>Crono_Sex!A117</f>
        <v>0</v>
      </c>
      <c r="B119">
        <f>Crono_Sex!B117</f>
        <v>0</v>
      </c>
      <c r="C119" s="17">
        <f>Crono_Sex!C117</f>
        <v>0</v>
      </c>
      <c r="D119" t="str">
        <f>IFERROR(VLOOKUP(B119,RECEITAS!A:C,$D$7,FALSE),"")</f>
        <v/>
      </c>
      <c r="E119" s="1" t="str">
        <f>IFERROR(E118+(VLOOKUP($D119,PROCESSO!$B:$P,AP_CRONO_Sex!E$8,FALSE)/24),"")</f>
        <v/>
      </c>
      <c r="F119" s="1">
        <f>Crono_Sex!E117</f>
        <v>0</v>
      </c>
      <c r="G119" s="1" t="str">
        <f>IFERROR(IF(F119=0,"",VLOOKUP($D119,PROCESSO!$B:$P,G$8,FALSE)/24)*IFERROR(IF(#REF!&gt;$B$8,ROUNDUP(#REF!/$B$8,0),1),1)+($A$8/24)+F119,"")</f>
        <v/>
      </c>
      <c r="H119" s="1" t="str">
        <f t="shared" si="9"/>
        <v/>
      </c>
      <c r="I119" s="1" t="str">
        <f>IFERROR(IF(H119=0,"",VLOOKUP($D119,PROCESSO!$B:$P,H$8,FALSE)/24)+($A$8/24)+H119,"")</f>
        <v/>
      </c>
      <c r="J119" s="1" t="str">
        <f>IFERROR(IF(I119=0,"",VLOOKUP($D119,PROCESSO!$B:$P,I$8,FALSE)/24)+($A$8/24)+I119,"")</f>
        <v/>
      </c>
      <c r="K119" s="1" t="str">
        <f>IFERROR(IF(J119=0,"",VLOOKUP($D119,PROCESSO!$B:$P,J$8,FALSE)/24)+($A$8/24)+J119,"")</f>
        <v/>
      </c>
      <c r="L119" s="1" t="str">
        <f>IFERROR(IF(K119=0,"",VLOOKUP($D119,PROCESSO!$B:$P,K$8,FALSE)/24)+($A$8/24)+K119,"")</f>
        <v/>
      </c>
      <c r="M119" s="1" t="str">
        <f>IFERROR(IF(L119=0,"",VLOOKUP($D119,PROCESSO!$B:$P,L$8,FALSE)/24)+($A$8/24)+L119,"")</f>
        <v/>
      </c>
      <c r="N119" s="1" t="str">
        <f>IFERROR(IF(M119=0,"",VLOOKUP($D119,PROCESSO!$B:$P,M$8,FALSE)/24)+($A$8/24)+M119,"")</f>
        <v/>
      </c>
      <c r="O119" s="1" t="str">
        <f>IFERROR(IF(N119=0,"",VLOOKUP($D119,PROCESSO!$B:$P,N$8,FALSE)/24)+($A$8/24)+N119,"")</f>
        <v/>
      </c>
      <c r="P119" s="1" t="str">
        <f>IFERROR(IF(O119=0,"",VLOOKUP($D119,PROCESSO!$B:$P,O$8,FALSE)/24)+($A$8/24)+O119,"")</f>
        <v/>
      </c>
      <c r="Q119" s="1" t="str">
        <f>IFERROR(IF(P119=0,"",VLOOKUP($D119,PROCESSO!$B:$P,P$8,FALSE)/24)+($A$8/24)+P119,"")</f>
        <v/>
      </c>
      <c r="R119" s="1" t="str">
        <f>IFERROR(IF(Q119=0,"",VLOOKUP($D119,PROCESSO!$B:$P,Q$8,FALSE)/24)+($A$8/24)+Q119,"")</f>
        <v/>
      </c>
      <c r="S119" s="45" t="str">
        <f>IFERROR(IFERROR(VLOOKUP(D119,PROCESSO!B:P,15,FALSE),"")/SUMIFS(C:C,A:A,A119),"")</f>
        <v/>
      </c>
      <c r="T119" s="45" t="str">
        <f t="shared" si="10"/>
        <v/>
      </c>
      <c r="U119" s="45" t="str">
        <f>IFERROR(VLOOKUP(B119,RECEITAS!A:C,3,FALSE),"")</f>
        <v/>
      </c>
      <c r="V119" s="45" t="str">
        <f>IFERROR((U119+S119)*(1-ANALISE!$I$4),"")</f>
        <v/>
      </c>
      <c r="W119" s="45" t="str">
        <f t="shared" si="11"/>
        <v/>
      </c>
    </row>
    <row r="120" spans="1:23" x14ac:dyDescent="0.3">
      <c r="A120">
        <f>Crono_Sex!A118</f>
        <v>0</v>
      </c>
      <c r="B120">
        <f>Crono_Sex!B118</f>
        <v>0</v>
      </c>
      <c r="C120" s="17">
        <f>Crono_Sex!C118</f>
        <v>0</v>
      </c>
      <c r="D120" t="str">
        <f>IFERROR(VLOOKUP(B120,RECEITAS!A:C,$D$7,FALSE),"")</f>
        <v/>
      </c>
      <c r="E120" s="1" t="str">
        <f>IFERROR(E119+(VLOOKUP($D120,PROCESSO!$B:$P,AP_CRONO_Sex!E$8,FALSE)/24),"")</f>
        <v/>
      </c>
      <c r="F120" s="1">
        <f>Crono_Sex!E118</f>
        <v>0</v>
      </c>
      <c r="G120" s="1" t="str">
        <f>IFERROR(IF(F120=0,"",VLOOKUP($D120,PROCESSO!$B:$P,G$8,FALSE)/24)*IFERROR(IF(#REF!&gt;$B$8,ROUNDUP(#REF!/$B$8,0),1),1)+($A$8/24)+F120,"")</f>
        <v/>
      </c>
      <c r="H120" s="1" t="str">
        <f t="shared" si="9"/>
        <v/>
      </c>
      <c r="I120" s="1" t="str">
        <f>IFERROR(IF(H120=0,"",VLOOKUP($D120,PROCESSO!$B:$P,H$8,FALSE)/24)+($A$8/24)+H120,"")</f>
        <v/>
      </c>
      <c r="J120" s="1" t="str">
        <f>IFERROR(IF(I120=0,"",VLOOKUP($D120,PROCESSO!$B:$P,I$8,FALSE)/24)+($A$8/24)+I120,"")</f>
        <v/>
      </c>
      <c r="K120" s="1" t="str">
        <f>IFERROR(IF(J120=0,"",VLOOKUP($D120,PROCESSO!$B:$P,J$8,FALSE)/24)+($A$8/24)+J120,"")</f>
        <v/>
      </c>
      <c r="L120" s="1" t="str">
        <f>IFERROR(IF(K120=0,"",VLOOKUP($D120,PROCESSO!$B:$P,K$8,FALSE)/24)+($A$8/24)+K120,"")</f>
        <v/>
      </c>
      <c r="M120" s="1" t="str">
        <f>IFERROR(IF(L120=0,"",VLOOKUP($D120,PROCESSO!$B:$P,L$8,FALSE)/24)+($A$8/24)+L120,"")</f>
        <v/>
      </c>
      <c r="N120" s="1" t="str">
        <f>IFERROR(IF(M120=0,"",VLOOKUP($D120,PROCESSO!$B:$P,M$8,FALSE)/24)+($A$8/24)+M120,"")</f>
        <v/>
      </c>
      <c r="O120" s="1" t="str">
        <f>IFERROR(IF(N120=0,"",VLOOKUP($D120,PROCESSO!$B:$P,N$8,FALSE)/24)+($A$8/24)+N120,"")</f>
        <v/>
      </c>
      <c r="P120" s="1" t="str">
        <f>IFERROR(IF(O120=0,"",VLOOKUP($D120,PROCESSO!$B:$P,O$8,FALSE)/24)+($A$8/24)+O120,"")</f>
        <v/>
      </c>
      <c r="Q120" s="1" t="str">
        <f>IFERROR(IF(P120=0,"",VLOOKUP($D120,PROCESSO!$B:$P,P$8,FALSE)/24)+($A$8/24)+P120,"")</f>
        <v/>
      </c>
      <c r="R120" s="1" t="str">
        <f>IFERROR(IF(Q120=0,"",VLOOKUP($D120,PROCESSO!$B:$P,Q$8,FALSE)/24)+($A$8/24)+Q120,"")</f>
        <v/>
      </c>
      <c r="S120" s="45" t="str">
        <f>IFERROR(IFERROR(VLOOKUP(D120,PROCESSO!B:P,15,FALSE),"")/SUMIFS(C:C,A:A,A120),"")</f>
        <v/>
      </c>
      <c r="T120" s="45" t="str">
        <f t="shared" si="10"/>
        <v/>
      </c>
      <c r="U120" s="45" t="str">
        <f>IFERROR(VLOOKUP(B120,RECEITAS!A:C,3,FALSE),"")</f>
        <v/>
      </c>
      <c r="V120" s="45" t="str">
        <f>IFERROR((U120+S120)*(1-ANALISE!$I$4),"")</f>
        <v/>
      </c>
      <c r="W120" s="45" t="str">
        <f t="shared" si="11"/>
        <v/>
      </c>
    </row>
    <row r="121" spans="1:23" x14ac:dyDescent="0.3">
      <c r="A121">
        <f>Crono_Sex!A119</f>
        <v>0</v>
      </c>
      <c r="B121">
        <f>Crono_Sex!B119</f>
        <v>0</v>
      </c>
      <c r="C121" s="17">
        <f>Crono_Sex!C119</f>
        <v>0</v>
      </c>
      <c r="D121" t="str">
        <f>IFERROR(VLOOKUP(B121,RECEITAS!A:C,$D$7,FALSE),"")</f>
        <v/>
      </c>
      <c r="E121" s="1" t="str">
        <f>IFERROR(E120+(VLOOKUP($D121,PROCESSO!$B:$P,AP_CRONO_Sex!E$8,FALSE)/24),"")</f>
        <v/>
      </c>
      <c r="F121" s="1">
        <f>Crono_Sex!E119</f>
        <v>0</v>
      </c>
      <c r="G121" s="1" t="str">
        <f>IFERROR(IF(F121=0,"",VLOOKUP($D121,PROCESSO!$B:$P,G$8,FALSE)/24)*IFERROR(IF(#REF!&gt;$B$8,ROUNDUP(#REF!/$B$8,0),1),1)+($A$8/24)+F121,"")</f>
        <v/>
      </c>
      <c r="H121" s="1" t="str">
        <f t="shared" si="9"/>
        <v/>
      </c>
      <c r="I121" s="1" t="str">
        <f>IFERROR(IF(H121=0,"",VLOOKUP($D121,PROCESSO!$B:$P,H$8,FALSE)/24)+($A$8/24)+H121,"")</f>
        <v/>
      </c>
      <c r="J121" s="1" t="str">
        <f>IFERROR(IF(I121=0,"",VLOOKUP($D121,PROCESSO!$B:$P,I$8,FALSE)/24)+($A$8/24)+I121,"")</f>
        <v/>
      </c>
      <c r="K121" s="1" t="str">
        <f>IFERROR(IF(J121=0,"",VLOOKUP($D121,PROCESSO!$B:$P,J$8,FALSE)/24)+($A$8/24)+J121,"")</f>
        <v/>
      </c>
      <c r="L121" s="1" t="str">
        <f>IFERROR(IF(K121=0,"",VLOOKUP($D121,PROCESSO!$B:$P,K$8,FALSE)/24)+($A$8/24)+K121,"")</f>
        <v/>
      </c>
      <c r="M121" s="1" t="str">
        <f>IFERROR(IF(L121=0,"",VLOOKUP($D121,PROCESSO!$B:$P,L$8,FALSE)/24)+($A$8/24)+L121,"")</f>
        <v/>
      </c>
      <c r="N121" s="1" t="str">
        <f>IFERROR(IF(M121=0,"",VLOOKUP($D121,PROCESSO!$B:$P,M$8,FALSE)/24)+($A$8/24)+M121,"")</f>
        <v/>
      </c>
      <c r="O121" s="1" t="str">
        <f>IFERROR(IF(N121=0,"",VLOOKUP($D121,PROCESSO!$B:$P,N$8,FALSE)/24)+($A$8/24)+N121,"")</f>
        <v/>
      </c>
      <c r="P121" s="1" t="str">
        <f>IFERROR(IF(O121=0,"",VLOOKUP($D121,PROCESSO!$B:$P,O$8,FALSE)/24)+($A$8/24)+O121,"")</f>
        <v/>
      </c>
      <c r="Q121" s="1" t="str">
        <f>IFERROR(IF(P121=0,"",VLOOKUP($D121,PROCESSO!$B:$P,P$8,FALSE)/24)+($A$8/24)+P121,"")</f>
        <v/>
      </c>
      <c r="R121" s="1" t="str">
        <f>IFERROR(IF(Q121=0,"",VLOOKUP($D121,PROCESSO!$B:$P,Q$8,FALSE)/24)+($A$8/24)+Q121,"")</f>
        <v/>
      </c>
      <c r="S121" s="45" t="str">
        <f>IFERROR(IFERROR(VLOOKUP(D121,PROCESSO!B:P,15,FALSE),"")/SUMIFS(C:C,A:A,A121),"")</f>
        <v/>
      </c>
      <c r="T121" s="45" t="str">
        <f t="shared" si="10"/>
        <v/>
      </c>
      <c r="U121" s="45" t="str">
        <f>IFERROR(VLOOKUP(B121,RECEITAS!A:C,3,FALSE),"")</f>
        <v/>
      </c>
      <c r="V121" s="45" t="str">
        <f>IFERROR((U121+S121)*(1-ANALISE!$I$4),"")</f>
        <v/>
      </c>
      <c r="W121" s="45" t="str">
        <f t="shared" si="11"/>
        <v/>
      </c>
    </row>
    <row r="122" spans="1:23" x14ac:dyDescent="0.3">
      <c r="A122">
        <f>Crono_Sex!A120</f>
        <v>0</v>
      </c>
      <c r="B122">
        <f>Crono_Sex!B120</f>
        <v>0</v>
      </c>
      <c r="C122" s="17">
        <f>Crono_Sex!C120</f>
        <v>0</v>
      </c>
      <c r="D122" t="str">
        <f>IFERROR(VLOOKUP(B122,RECEITAS!A:C,$D$7,FALSE),"")</f>
        <v/>
      </c>
      <c r="E122" s="1" t="str">
        <f>IFERROR(E121+(VLOOKUP($D122,PROCESSO!$B:$P,AP_CRONO_Sex!E$8,FALSE)/24),"")</f>
        <v/>
      </c>
      <c r="F122" s="1">
        <f>Crono_Sex!E120</f>
        <v>0</v>
      </c>
      <c r="G122" s="1" t="str">
        <f>IFERROR(IF(F122=0,"",VLOOKUP($D122,PROCESSO!$B:$P,G$8,FALSE)/24)*IFERROR(IF(#REF!&gt;$B$8,ROUNDUP(#REF!/$B$8,0),1),1)+($A$8/24)+F122,"")</f>
        <v/>
      </c>
      <c r="H122" s="1" t="str">
        <f t="shared" si="9"/>
        <v/>
      </c>
      <c r="I122" s="1" t="str">
        <f>IFERROR(IF(H122=0,"",VLOOKUP($D122,PROCESSO!$B:$P,H$8,FALSE)/24)+($A$8/24)+H122,"")</f>
        <v/>
      </c>
      <c r="J122" s="1" t="str">
        <f>IFERROR(IF(I122=0,"",VLOOKUP($D122,PROCESSO!$B:$P,I$8,FALSE)/24)+($A$8/24)+I122,"")</f>
        <v/>
      </c>
      <c r="K122" s="1" t="str">
        <f>IFERROR(IF(J122=0,"",VLOOKUP($D122,PROCESSO!$B:$P,J$8,FALSE)/24)+($A$8/24)+J122,"")</f>
        <v/>
      </c>
      <c r="L122" s="1" t="str">
        <f>IFERROR(IF(K122=0,"",VLOOKUP($D122,PROCESSO!$B:$P,K$8,FALSE)/24)+($A$8/24)+K122,"")</f>
        <v/>
      </c>
      <c r="M122" s="1" t="str">
        <f>IFERROR(IF(L122=0,"",VLOOKUP($D122,PROCESSO!$B:$P,L$8,FALSE)/24)+($A$8/24)+L122,"")</f>
        <v/>
      </c>
      <c r="N122" s="1" t="str">
        <f>IFERROR(IF(M122=0,"",VLOOKUP($D122,PROCESSO!$B:$P,M$8,FALSE)/24)+($A$8/24)+M122,"")</f>
        <v/>
      </c>
      <c r="O122" s="1" t="str">
        <f>IFERROR(IF(N122=0,"",VLOOKUP($D122,PROCESSO!$B:$P,N$8,FALSE)/24)+($A$8/24)+N122,"")</f>
        <v/>
      </c>
      <c r="P122" s="1" t="str">
        <f>IFERROR(IF(O122=0,"",VLOOKUP($D122,PROCESSO!$B:$P,O$8,FALSE)/24)+($A$8/24)+O122,"")</f>
        <v/>
      </c>
      <c r="Q122" s="1" t="str">
        <f>IFERROR(IF(P122=0,"",VLOOKUP($D122,PROCESSO!$B:$P,P$8,FALSE)/24)+($A$8/24)+P122,"")</f>
        <v/>
      </c>
      <c r="R122" s="1" t="str">
        <f>IFERROR(IF(Q122=0,"",VLOOKUP($D122,PROCESSO!$B:$P,Q$8,FALSE)/24)+($A$8/24)+Q122,"")</f>
        <v/>
      </c>
      <c r="S122" s="45" t="str">
        <f>IFERROR(IFERROR(VLOOKUP(D122,PROCESSO!B:P,15,FALSE),"")/SUMIFS(C:C,A:A,A122),"")</f>
        <v/>
      </c>
      <c r="T122" s="45" t="str">
        <f t="shared" si="10"/>
        <v/>
      </c>
      <c r="U122" s="45" t="str">
        <f>IFERROR(VLOOKUP(B122,RECEITAS!A:C,3,FALSE),"")</f>
        <v/>
      </c>
      <c r="V122" s="45" t="str">
        <f>IFERROR((U122+S122)*(1-ANALISE!$I$4),"")</f>
        <v/>
      </c>
      <c r="W122" s="45" t="str">
        <f t="shared" si="11"/>
        <v/>
      </c>
    </row>
    <row r="123" spans="1:23" x14ac:dyDescent="0.3">
      <c r="A123">
        <f>Crono_Sex!A121</f>
        <v>0</v>
      </c>
      <c r="B123">
        <f>Crono_Sex!B121</f>
        <v>0</v>
      </c>
      <c r="C123" s="17">
        <f>Crono_Sex!C121</f>
        <v>0</v>
      </c>
      <c r="D123" t="str">
        <f>IFERROR(VLOOKUP(B123,RECEITAS!A:C,$D$7,FALSE),"")</f>
        <v/>
      </c>
      <c r="E123" s="1" t="str">
        <f>IFERROR(E122+(VLOOKUP($D123,PROCESSO!$B:$P,AP_CRONO_Sex!E$8,FALSE)/24),"")</f>
        <v/>
      </c>
      <c r="F123" s="1">
        <f>Crono_Sex!E121</f>
        <v>0</v>
      </c>
      <c r="G123" s="1" t="str">
        <f>IFERROR(IF(F123=0,"",VLOOKUP($D123,PROCESSO!$B:$P,G$8,FALSE)/24)*IFERROR(IF(#REF!&gt;$B$8,ROUNDUP(#REF!/$B$8,0),1),1)+($A$8/24)+F123,"")</f>
        <v/>
      </c>
      <c r="H123" s="1" t="str">
        <f t="shared" si="9"/>
        <v/>
      </c>
      <c r="I123" s="1" t="str">
        <f>IFERROR(IF(H123=0,"",VLOOKUP($D123,PROCESSO!$B:$P,H$8,FALSE)/24)+($A$8/24)+H123,"")</f>
        <v/>
      </c>
      <c r="J123" s="1" t="str">
        <f>IFERROR(IF(I123=0,"",VLOOKUP($D123,PROCESSO!$B:$P,I$8,FALSE)/24)+($A$8/24)+I123,"")</f>
        <v/>
      </c>
      <c r="K123" s="1" t="str">
        <f>IFERROR(IF(J123=0,"",VLOOKUP($D123,PROCESSO!$B:$P,J$8,FALSE)/24)+($A$8/24)+J123,"")</f>
        <v/>
      </c>
      <c r="L123" s="1" t="str">
        <f>IFERROR(IF(K123=0,"",VLOOKUP($D123,PROCESSO!$B:$P,K$8,FALSE)/24)+($A$8/24)+K123,"")</f>
        <v/>
      </c>
      <c r="M123" s="1" t="str">
        <f>IFERROR(IF(L123=0,"",VLOOKUP($D123,PROCESSO!$B:$P,L$8,FALSE)/24)+($A$8/24)+L123,"")</f>
        <v/>
      </c>
      <c r="N123" s="1" t="str">
        <f>IFERROR(IF(M123=0,"",VLOOKUP($D123,PROCESSO!$B:$P,M$8,FALSE)/24)+($A$8/24)+M123,"")</f>
        <v/>
      </c>
      <c r="O123" s="1" t="str">
        <f>IFERROR(IF(N123=0,"",VLOOKUP($D123,PROCESSO!$B:$P,N$8,FALSE)/24)+($A$8/24)+N123,"")</f>
        <v/>
      </c>
      <c r="P123" s="1" t="str">
        <f>IFERROR(IF(O123=0,"",VLOOKUP($D123,PROCESSO!$B:$P,O$8,FALSE)/24)+($A$8/24)+O123,"")</f>
        <v/>
      </c>
      <c r="Q123" s="1" t="str">
        <f>IFERROR(IF(P123=0,"",VLOOKUP($D123,PROCESSO!$B:$P,P$8,FALSE)/24)+($A$8/24)+P123,"")</f>
        <v/>
      </c>
      <c r="R123" s="1" t="str">
        <f>IFERROR(IF(Q123=0,"",VLOOKUP($D123,PROCESSO!$B:$P,Q$8,FALSE)/24)+($A$8/24)+Q123,"")</f>
        <v/>
      </c>
      <c r="S123" s="45" t="str">
        <f>IFERROR(IFERROR(VLOOKUP(D123,PROCESSO!B:P,15,FALSE),"")/SUMIFS(C:C,A:A,A123),"")</f>
        <v/>
      </c>
      <c r="T123" s="45" t="str">
        <f t="shared" si="10"/>
        <v/>
      </c>
      <c r="U123" s="45" t="str">
        <f>IFERROR(VLOOKUP(B123,RECEITAS!A:C,3,FALSE),"")</f>
        <v/>
      </c>
      <c r="V123" s="45" t="str">
        <f>IFERROR((U123+S123)*(1-ANALISE!$I$4),"")</f>
        <v/>
      </c>
      <c r="W123" s="45" t="str">
        <f t="shared" si="11"/>
        <v/>
      </c>
    </row>
    <row r="124" spans="1:23" x14ac:dyDescent="0.3">
      <c r="A124">
        <f>Crono_Sex!A122</f>
        <v>0</v>
      </c>
      <c r="B124">
        <f>Crono_Sex!B122</f>
        <v>0</v>
      </c>
      <c r="C124" s="17">
        <f>Crono_Sex!C122</f>
        <v>0</v>
      </c>
      <c r="D124" t="str">
        <f>IFERROR(VLOOKUP(B124,RECEITAS!A:C,$D$7,FALSE),"")</f>
        <v/>
      </c>
      <c r="E124" s="1" t="str">
        <f>IFERROR(E123+(VLOOKUP($D124,PROCESSO!$B:$P,AP_CRONO_Sex!E$8,FALSE)/24),"")</f>
        <v/>
      </c>
      <c r="F124" s="1">
        <f>Crono_Sex!E122</f>
        <v>0</v>
      </c>
      <c r="G124" s="1" t="str">
        <f>IFERROR(IF(F124=0,"",VLOOKUP($D124,PROCESSO!$B:$P,G$8,FALSE)/24)*IFERROR(IF(#REF!&gt;$B$8,ROUNDUP(#REF!/$B$8,0),1),1)+($A$8/24)+F124,"")</f>
        <v/>
      </c>
      <c r="H124" s="1" t="str">
        <f t="shared" si="9"/>
        <v/>
      </c>
      <c r="I124" s="1" t="str">
        <f>IFERROR(IF(H124=0,"",VLOOKUP($D124,PROCESSO!$B:$P,H$8,FALSE)/24)+($A$8/24)+H124,"")</f>
        <v/>
      </c>
      <c r="J124" s="1" t="str">
        <f>IFERROR(IF(I124=0,"",VLOOKUP($D124,PROCESSO!$B:$P,I$8,FALSE)/24)+($A$8/24)+I124,"")</f>
        <v/>
      </c>
      <c r="K124" s="1" t="str">
        <f>IFERROR(IF(J124=0,"",VLOOKUP($D124,PROCESSO!$B:$P,J$8,FALSE)/24)+($A$8/24)+J124,"")</f>
        <v/>
      </c>
      <c r="L124" s="1" t="str">
        <f>IFERROR(IF(K124=0,"",VLOOKUP($D124,PROCESSO!$B:$P,K$8,FALSE)/24)+($A$8/24)+K124,"")</f>
        <v/>
      </c>
      <c r="M124" s="1" t="str">
        <f>IFERROR(IF(L124=0,"",VLOOKUP($D124,PROCESSO!$B:$P,L$8,FALSE)/24)+($A$8/24)+L124,"")</f>
        <v/>
      </c>
      <c r="N124" s="1" t="str">
        <f>IFERROR(IF(M124=0,"",VLOOKUP($D124,PROCESSO!$B:$P,M$8,FALSE)/24)+($A$8/24)+M124,"")</f>
        <v/>
      </c>
      <c r="O124" s="1" t="str">
        <f>IFERROR(IF(N124=0,"",VLOOKUP($D124,PROCESSO!$B:$P,N$8,FALSE)/24)+($A$8/24)+N124,"")</f>
        <v/>
      </c>
      <c r="P124" s="1" t="str">
        <f>IFERROR(IF(O124=0,"",VLOOKUP($D124,PROCESSO!$B:$P,O$8,FALSE)/24)+($A$8/24)+O124,"")</f>
        <v/>
      </c>
      <c r="Q124" s="1" t="str">
        <f>IFERROR(IF(P124=0,"",VLOOKUP($D124,PROCESSO!$B:$P,P$8,FALSE)/24)+($A$8/24)+P124,"")</f>
        <v/>
      </c>
      <c r="R124" s="1" t="str">
        <f>IFERROR(IF(Q124=0,"",VLOOKUP($D124,PROCESSO!$B:$P,Q$8,FALSE)/24)+($A$8/24)+Q124,"")</f>
        <v/>
      </c>
      <c r="S124" s="45" t="str">
        <f>IFERROR(IFERROR(VLOOKUP(D124,PROCESSO!B:P,15,FALSE),"")/SUMIFS(C:C,A:A,A124),"")</f>
        <v/>
      </c>
      <c r="T124" s="45" t="str">
        <f t="shared" si="10"/>
        <v/>
      </c>
      <c r="U124" s="45" t="str">
        <f>IFERROR(VLOOKUP(B124,RECEITAS!A:C,3,FALSE),"")</f>
        <v/>
      </c>
      <c r="V124" s="45" t="str">
        <f>IFERROR((U124+S124)*(1-ANALISE!$I$4),"")</f>
        <v/>
      </c>
      <c r="W124" s="45" t="str">
        <f t="shared" si="11"/>
        <v/>
      </c>
    </row>
    <row r="125" spans="1:23" x14ac:dyDescent="0.3">
      <c r="A125">
        <f>Crono_Sex!A123</f>
        <v>0</v>
      </c>
      <c r="B125">
        <f>Crono_Sex!B123</f>
        <v>0</v>
      </c>
      <c r="C125" s="17">
        <f>Crono_Sex!C123</f>
        <v>0</v>
      </c>
      <c r="D125" t="str">
        <f>IFERROR(VLOOKUP(B125,RECEITAS!A:C,$D$7,FALSE),"")</f>
        <v/>
      </c>
      <c r="E125" s="1" t="str">
        <f>IFERROR(E124+(VLOOKUP($D125,PROCESSO!$B:$P,AP_CRONO_Sex!E$8,FALSE)/24),"")</f>
        <v/>
      </c>
      <c r="F125" s="1">
        <f>Crono_Sex!E123</f>
        <v>0</v>
      </c>
      <c r="G125" s="1" t="str">
        <f>IFERROR(IF(F125=0,"",VLOOKUP($D125,PROCESSO!$B:$P,G$8,FALSE)/24)*IFERROR(IF(#REF!&gt;$B$8,ROUNDUP(#REF!/$B$8,0),1),1)+($A$8/24)+F125,"")</f>
        <v/>
      </c>
      <c r="H125" s="1" t="str">
        <f t="shared" si="9"/>
        <v/>
      </c>
      <c r="I125" s="1" t="str">
        <f>IFERROR(IF(H125=0,"",VLOOKUP($D125,PROCESSO!$B:$P,H$8,FALSE)/24)+($A$8/24)+H125,"")</f>
        <v/>
      </c>
      <c r="J125" s="1" t="str">
        <f>IFERROR(IF(I125=0,"",VLOOKUP($D125,PROCESSO!$B:$P,I$8,FALSE)/24)+($A$8/24)+I125,"")</f>
        <v/>
      </c>
      <c r="K125" s="1" t="str">
        <f>IFERROR(IF(J125=0,"",VLOOKUP($D125,PROCESSO!$B:$P,J$8,FALSE)/24)+($A$8/24)+J125,"")</f>
        <v/>
      </c>
      <c r="L125" s="1" t="str">
        <f>IFERROR(IF(K125=0,"",VLOOKUP($D125,PROCESSO!$B:$P,K$8,FALSE)/24)+($A$8/24)+K125,"")</f>
        <v/>
      </c>
      <c r="M125" s="1" t="str">
        <f>IFERROR(IF(L125=0,"",VLOOKUP($D125,PROCESSO!$B:$P,L$8,FALSE)/24)+($A$8/24)+L125,"")</f>
        <v/>
      </c>
      <c r="N125" s="1" t="str">
        <f>IFERROR(IF(M125=0,"",VLOOKUP($D125,PROCESSO!$B:$P,M$8,FALSE)/24)+($A$8/24)+M125,"")</f>
        <v/>
      </c>
      <c r="O125" s="1" t="str">
        <f>IFERROR(IF(N125=0,"",VLOOKUP($D125,PROCESSO!$B:$P,N$8,FALSE)/24)+($A$8/24)+N125,"")</f>
        <v/>
      </c>
      <c r="P125" s="1" t="str">
        <f>IFERROR(IF(O125=0,"",VLOOKUP($D125,PROCESSO!$B:$P,O$8,FALSE)/24)+($A$8/24)+O125,"")</f>
        <v/>
      </c>
      <c r="Q125" s="1" t="str">
        <f>IFERROR(IF(P125=0,"",VLOOKUP($D125,PROCESSO!$B:$P,P$8,FALSE)/24)+($A$8/24)+P125,"")</f>
        <v/>
      </c>
      <c r="R125" s="1" t="str">
        <f>IFERROR(IF(Q125=0,"",VLOOKUP($D125,PROCESSO!$B:$P,Q$8,FALSE)/24)+($A$8/24)+Q125,"")</f>
        <v/>
      </c>
      <c r="S125" s="45" t="str">
        <f>IFERROR(IFERROR(VLOOKUP(D125,PROCESSO!B:P,15,FALSE),"")/SUMIFS(C:C,A:A,A125),"")</f>
        <v/>
      </c>
      <c r="T125" s="45" t="str">
        <f t="shared" si="10"/>
        <v/>
      </c>
      <c r="U125" s="45" t="str">
        <f>IFERROR(VLOOKUP(B125,RECEITAS!A:C,3,FALSE),"")</f>
        <v/>
      </c>
      <c r="V125" s="45" t="str">
        <f>IFERROR((U125+S125)*(1-ANALISE!$I$4),"")</f>
        <v/>
      </c>
      <c r="W125" s="45" t="str">
        <f t="shared" si="11"/>
        <v/>
      </c>
    </row>
    <row r="126" spans="1:23" x14ac:dyDescent="0.3">
      <c r="A126">
        <f>Crono_Sex!A124</f>
        <v>0</v>
      </c>
      <c r="B126">
        <f>Crono_Sex!B124</f>
        <v>0</v>
      </c>
      <c r="C126" s="17">
        <f>Crono_Sex!C124</f>
        <v>0</v>
      </c>
      <c r="D126" t="str">
        <f>IFERROR(VLOOKUP(B126,RECEITAS!A:C,$D$7,FALSE),"")</f>
        <v/>
      </c>
      <c r="E126" s="1" t="str">
        <f>IFERROR(E125+(VLOOKUP($D126,PROCESSO!$B:$P,AP_CRONO_Sex!E$8,FALSE)/24),"")</f>
        <v/>
      </c>
      <c r="F126" s="1">
        <f>Crono_Sex!E124</f>
        <v>0</v>
      </c>
      <c r="G126" s="1" t="str">
        <f>IFERROR(IF(F126=0,"",VLOOKUP($D126,PROCESSO!$B:$P,G$8,FALSE)/24)*IFERROR(IF(#REF!&gt;$B$8,ROUNDUP(#REF!/$B$8,0),1),1)+($A$8/24)+F126,"")</f>
        <v/>
      </c>
      <c r="H126" s="1" t="str">
        <f t="shared" si="9"/>
        <v/>
      </c>
      <c r="I126" s="1" t="str">
        <f>IFERROR(IF(H126=0,"",VLOOKUP($D126,PROCESSO!$B:$P,H$8,FALSE)/24)+($A$8/24)+H126,"")</f>
        <v/>
      </c>
      <c r="J126" s="1" t="str">
        <f>IFERROR(IF(I126=0,"",VLOOKUP($D126,PROCESSO!$B:$P,I$8,FALSE)/24)+($A$8/24)+I126,"")</f>
        <v/>
      </c>
      <c r="K126" s="1" t="str">
        <f>IFERROR(IF(J126=0,"",VLOOKUP($D126,PROCESSO!$B:$P,J$8,FALSE)/24)+($A$8/24)+J126,"")</f>
        <v/>
      </c>
      <c r="L126" s="1" t="str">
        <f>IFERROR(IF(K126=0,"",VLOOKUP($D126,PROCESSO!$B:$P,K$8,FALSE)/24)+($A$8/24)+K126,"")</f>
        <v/>
      </c>
      <c r="M126" s="1" t="str">
        <f>IFERROR(IF(L126=0,"",VLOOKUP($D126,PROCESSO!$B:$P,L$8,FALSE)/24)+($A$8/24)+L126,"")</f>
        <v/>
      </c>
      <c r="N126" s="1" t="str">
        <f>IFERROR(IF(M126=0,"",VLOOKUP($D126,PROCESSO!$B:$P,M$8,FALSE)/24)+($A$8/24)+M126,"")</f>
        <v/>
      </c>
      <c r="O126" s="1" t="str">
        <f>IFERROR(IF(N126=0,"",VLOOKUP($D126,PROCESSO!$B:$P,N$8,FALSE)/24)+($A$8/24)+N126,"")</f>
        <v/>
      </c>
      <c r="P126" s="1" t="str">
        <f>IFERROR(IF(O126=0,"",VLOOKUP($D126,PROCESSO!$B:$P,O$8,FALSE)/24)+($A$8/24)+O126,"")</f>
        <v/>
      </c>
      <c r="Q126" s="1" t="str">
        <f>IFERROR(IF(P126=0,"",VLOOKUP($D126,PROCESSO!$B:$P,P$8,FALSE)/24)+($A$8/24)+P126,"")</f>
        <v/>
      </c>
      <c r="R126" s="1" t="str">
        <f>IFERROR(IF(Q126=0,"",VLOOKUP($D126,PROCESSO!$B:$P,Q$8,FALSE)/24)+($A$8/24)+Q126,"")</f>
        <v/>
      </c>
      <c r="S126" s="45" t="str">
        <f>IFERROR(IFERROR(VLOOKUP(D126,PROCESSO!B:P,15,FALSE),"")/SUMIFS(C:C,A:A,A126),"")</f>
        <v/>
      </c>
      <c r="T126" s="45" t="str">
        <f t="shared" si="10"/>
        <v/>
      </c>
      <c r="U126" s="45" t="str">
        <f>IFERROR(VLOOKUP(B126,RECEITAS!A:C,3,FALSE),"")</f>
        <v/>
      </c>
      <c r="V126" s="45" t="str">
        <f>IFERROR((U126+S126)*(1-ANALISE!$I$4),"")</f>
        <v/>
      </c>
      <c r="W126" s="45" t="str">
        <f t="shared" si="11"/>
        <v/>
      </c>
    </row>
    <row r="127" spans="1:23" x14ac:dyDescent="0.3">
      <c r="A127">
        <f>Crono_Sex!A125</f>
        <v>0</v>
      </c>
      <c r="B127">
        <f>Crono_Sex!B125</f>
        <v>0</v>
      </c>
      <c r="C127" s="17">
        <f>Crono_Sex!C125</f>
        <v>0</v>
      </c>
      <c r="D127" t="str">
        <f>IFERROR(VLOOKUP(B127,RECEITAS!A:C,$D$7,FALSE),"")</f>
        <v/>
      </c>
      <c r="E127" s="1" t="str">
        <f>IFERROR(E126+(VLOOKUP($D127,PROCESSO!$B:$P,AP_CRONO_Sex!E$8,FALSE)/24),"")</f>
        <v/>
      </c>
      <c r="F127" s="1">
        <f>Crono_Sex!E125</f>
        <v>0</v>
      </c>
      <c r="G127" s="1" t="str">
        <f>IFERROR(IF(F127=0,"",VLOOKUP($D127,PROCESSO!$B:$P,G$8,FALSE)/24)*IFERROR(IF(#REF!&gt;$B$8,ROUNDUP(#REF!/$B$8,0),1),1)+($A$8/24)+F127,"")</f>
        <v/>
      </c>
      <c r="H127" s="1" t="str">
        <f t="shared" si="9"/>
        <v/>
      </c>
      <c r="I127" s="1" t="str">
        <f>IFERROR(IF(H127=0,"",VLOOKUP($D127,PROCESSO!$B:$P,H$8,FALSE)/24)+($A$8/24)+H127,"")</f>
        <v/>
      </c>
      <c r="J127" s="1" t="str">
        <f>IFERROR(IF(I127=0,"",VLOOKUP($D127,PROCESSO!$B:$P,I$8,FALSE)/24)+($A$8/24)+I127,"")</f>
        <v/>
      </c>
      <c r="K127" s="1" t="str">
        <f>IFERROR(IF(J127=0,"",VLOOKUP($D127,PROCESSO!$B:$P,J$8,FALSE)/24)+($A$8/24)+J127,"")</f>
        <v/>
      </c>
      <c r="L127" s="1" t="str">
        <f>IFERROR(IF(K127=0,"",VLOOKUP($D127,PROCESSO!$B:$P,K$8,FALSE)/24)+($A$8/24)+K127,"")</f>
        <v/>
      </c>
      <c r="M127" s="1" t="str">
        <f>IFERROR(IF(L127=0,"",VLOOKUP($D127,PROCESSO!$B:$P,L$8,FALSE)/24)+($A$8/24)+L127,"")</f>
        <v/>
      </c>
      <c r="N127" s="1" t="str">
        <f>IFERROR(IF(M127=0,"",VLOOKUP($D127,PROCESSO!$B:$P,M$8,FALSE)/24)+($A$8/24)+M127,"")</f>
        <v/>
      </c>
      <c r="O127" s="1" t="str">
        <f>IFERROR(IF(N127=0,"",VLOOKUP($D127,PROCESSO!$B:$P,N$8,FALSE)/24)+($A$8/24)+N127,"")</f>
        <v/>
      </c>
      <c r="P127" s="1" t="str">
        <f>IFERROR(IF(O127=0,"",VLOOKUP($D127,PROCESSO!$B:$P,O$8,FALSE)/24)+($A$8/24)+O127,"")</f>
        <v/>
      </c>
      <c r="Q127" s="1" t="str">
        <f>IFERROR(IF(P127=0,"",VLOOKUP($D127,PROCESSO!$B:$P,P$8,FALSE)/24)+($A$8/24)+P127,"")</f>
        <v/>
      </c>
      <c r="R127" s="1" t="str">
        <f>IFERROR(IF(Q127=0,"",VLOOKUP($D127,PROCESSO!$B:$P,Q$8,FALSE)/24)+($A$8/24)+Q127,"")</f>
        <v/>
      </c>
      <c r="S127" s="45" t="str">
        <f>IFERROR(IFERROR(VLOOKUP(D127,PROCESSO!B:P,15,FALSE),"")/SUMIFS(C:C,A:A,A127),"")</f>
        <v/>
      </c>
      <c r="T127" s="45" t="str">
        <f t="shared" si="10"/>
        <v/>
      </c>
      <c r="U127" s="45" t="str">
        <f>IFERROR(VLOOKUP(B127,RECEITAS!A:C,3,FALSE),"")</f>
        <v/>
      </c>
      <c r="V127" s="45" t="str">
        <f>IFERROR((U127+S127)*(1-ANALISE!$I$4),"")</f>
        <v/>
      </c>
      <c r="W127" s="45" t="str">
        <f t="shared" si="11"/>
        <v/>
      </c>
    </row>
    <row r="128" spans="1:23" x14ac:dyDescent="0.3">
      <c r="A128">
        <f>Crono_Sex!A126</f>
        <v>0</v>
      </c>
      <c r="B128">
        <f>Crono_Sex!B126</f>
        <v>0</v>
      </c>
      <c r="C128" s="17">
        <f>Crono_Sex!C126</f>
        <v>0</v>
      </c>
      <c r="D128" t="str">
        <f>IFERROR(VLOOKUP(B128,RECEITAS!A:C,$D$7,FALSE),"")</f>
        <v/>
      </c>
      <c r="E128" s="1" t="str">
        <f>IFERROR(E127+(VLOOKUP($D128,PROCESSO!$B:$P,AP_CRONO_Sex!E$8,FALSE)/24),"")</f>
        <v/>
      </c>
      <c r="F128" s="1">
        <f>Crono_Sex!E126</f>
        <v>0</v>
      </c>
      <c r="G128" s="1" t="str">
        <f>IFERROR(IF(F128=0,"",VLOOKUP($D128,PROCESSO!$B:$P,G$8,FALSE)/24)*IFERROR(IF(#REF!&gt;$B$8,ROUNDUP(#REF!/$B$8,0),1),1)+($A$8/24)+F128,"")</f>
        <v/>
      </c>
      <c r="H128" s="1" t="str">
        <f t="shared" si="9"/>
        <v/>
      </c>
      <c r="I128" s="1" t="str">
        <f>IFERROR(IF(H128=0,"",VLOOKUP($D128,PROCESSO!$B:$P,H$8,FALSE)/24)+($A$8/24)+H128,"")</f>
        <v/>
      </c>
      <c r="J128" s="1" t="str">
        <f>IFERROR(IF(I128=0,"",VLOOKUP($D128,PROCESSO!$B:$P,I$8,FALSE)/24)+($A$8/24)+I128,"")</f>
        <v/>
      </c>
      <c r="K128" s="1" t="str">
        <f>IFERROR(IF(J128=0,"",VLOOKUP($D128,PROCESSO!$B:$P,J$8,FALSE)/24)+($A$8/24)+J128,"")</f>
        <v/>
      </c>
      <c r="L128" s="1" t="str">
        <f>IFERROR(IF(K128=0,"",VLOOKUP($D128,PROCESSO!$B:$P,K$8,FALSE)/24)+($A$8/24)+K128,"")</f>
        <v/>
      </c>
      <c r="M128" s="1" t="str">
        <f>IFERROR(IF(L128=0,"",VLOOKUP($D128,PROCESSO!$B:$P,L$8,FALSE)/24)+($A$8/24)+L128,"")</f>
        <v/>
      </c>
      <c r="N128" s="1" t="str">
        <f>IFERROR(IF(M128=0,"",VLOOKUP($D128,PROCESSO!$B:$P,M$8,FALSE)/24)+($A$8/24)+M128,"")</f>
        <v/>
      </c>
      <c r="O128" s="1" t="str">
        <f>IFERROR(IF(N128=0,"",VLOOKUP($D128,PROCESSO!$B:$P,N$8,FALSE)/24)+($A$8/24)+N128,"")</f>
        <v/>
      </c>
      <c r="P128" s="1" t="str">
        <f>IFERROR(IF(O128=0,"",VLOOKUP($D128,PROCESSO!$B:$P,O$8,FALSE)/24)+($A$8/24)+O128,"")</f>
        <v/>
      </c>
      <c r="Q128" s="1" t="str">
        <f>IFERROR(IF(P128=0,"",VLOOKUP($D128,PROCESSO!$B:$P,P$8,FALSE)/24)+($A$8/24)+P128,"")</f>
        <v/>
      </c>
      <c r="R128" s="1" t="str">
        <f>IFERROR(IF(Q128=0,"",VLOOKUP($D128,PROCESSO!$B:$P,Q$8,FALSE)/24)+($A$8/24)+Q128,"")</f>
        <v/>
      </c>
      <c r="S128" s="45" t="str">
        <f>IFERROR(IFERROR(VLOOKUP(D128,PROCESSO!B:P,15,FALSE),"")/SUMIFS(C:C,A:A,A128),"")</f>
        <v/>
      </c>
      <c r="T128" s="45" t="str">
        <f t="shared" si="10"/>
        <v/>
      </c>
      <c r="U128" s="45" t="str">
        <f>IFERROR(VLOOKUP(B128,RECEITAS!A:C,3,FALSE),"")</f>
        <v/>
      </c>
      <c r="V128" s="45" t="str">
        <f>IFERROR((U128+S128)*(1-ANALISE!$I$4),"")</f>
        <v/>
      </c>
      <c r="W128" s="45" t="str">
        <f t="shared" si="11"/>
        <v/>
      </c>
    </row>
    <row r="129" spans="1:23" x14ac:dyDescent="0.3">
      <c r="A129">
        <f>Crono_Sex!A127</f>
        <v>0</v>
      </c>
      <c r="B129">
        <f>Crono_Sex!B127</f>
        <v>0</v>
      </c>
      <c r="C129" s="17">
        <f>Crono_Sex!C127</f>
        <v>0</v>
      </c>
      <c r="D129" t="str">
        <f>IFERROR(VLOOKUP(B129,RECEITAS!A:C,$D$7,FALSE),"")</f>
        <v/>
      </c>
      <c r="E129" s="1" t="str">
        <f>IFERROR(E128+(VLOOKUP($D129,PROCESSO!$B:$P,AP_CRONO_Sex!E$8,FALSE)/24),"")</f>
        <v/>
      </c>
      <c r="F129" s="1">
        <f>Crono_Sex!E127</f>
        <v>0</v>
      </c>
      <c r="G129" s="1" t="str">
        <f>IFERROR(IF(F129=0,"",VLOOKUP($D129,PROCESSO!$B:$P,G$8,FALSE)/24)*IFERROR(IF(#REF!&gt;$B$8,ROUNDUP(#REF!/$B$8,0),1),1)+($A$8/24)+F129,"")</f>
        <v/>
      </c>
      <c r="H129" s="1" t="str">
        <f t="shared" si="9"/>
        <v/>
      </c>
      <c r="I129" s="1" t="str">
        <f>IFERROR(IF(H129=0,"",VLOOKUP($D129,PROCESSO!$B:$P,H$8,FALSE)/24)+($A$8/24)+H129,"")</f>
        <v/>
      </c>
      <c r="J129" s="1" t="str">
        <f>IFERROR(IF(I129=0,"",VLOOKUP($D129,PROCESSO!$B:$P,I$8,FALSE)/24)+($A$8/24)+I129,"")</f>
        <v/>
      </c>
      <c r="K129" s="1" t="str">
        <f>IFERROR(IF(J129=0,"",VLOOKUP($D129,PROCESSO!$B:$P,J$8,FALSE)/24)+($A$8/24)+J129,"")</f>
        <v/>
      </c>
      <c r="L129" s="1" t="str">
        <f>IFERROR(IF(K129=0,"",VLOOKUP($D129,PROCESSO!$B:$P,K$8,FALSE)/24)+($A$8/24)+K129,"")</f>
        <v/>
      </c>
      <c r="M129" s="1" t="str">
        <f>IFERROR(IF(L129=0,"",VLOOKUP($D129,PROCESSO!$B:$P,L$8,FALSE)/24)+($A$8/24)+L129,"")</f>
        <v/>
      </c>
      <c r="N129" s="1" t="str">
        <f>IFERROR(IF(M129=0,"",VLOOKUP($D129,PROCESSO!$B:$P,M$8,FALSE)/24)+($A$8/24)+M129,"")</f>
        <v/>
      </c>
      <c r="O129" s="1" t="str">
        <f>IFERROR(IF(N129=0,"",VLOOKUP($D129,PROCESSO!$B:$P,N$8,FALSE)/24)+($A$8/24)+N129,"")</f>
        <v/>
      </c>
      <c r="P129" s="1" t="str">
        <f>IFERROR(IF(O129=0,"",VLOOKUP($D129,PROCESSO!$B:$P,O$8,FALSE)/24)+($A$8/24)+O129,"")</f>
        <v/>
      </c>
      <c r="Q129" s="1" t="str">
        <f>IFERROR(IF(P129=0,"",VLOOKUP($D129,PROCESSO!$B:$P,P$8,FALSE)/24)+($A$8/24)+P129,"")</f>
        <v/>
      </c>
      <c r="R129" s="1" t="str">
        <f>IFERROR(IF(Q129=0,"",VLOOKUP($D129,PROCESSO!$B:$P,Q$8,FALSE)/24)+($A$8/24)+Q129,"")</f>
        <v/>
      </c>
      <c r="S129" s="45" t="str">
        <f>IFERROR(IFERROR(VLOOKUP(D129,PROCESSO!B:P,15,FALSE),"")/SUMIFS(C:C,A:A,A129),"")</f>
        <v/>
      </c>
      <c r="T129" s="45" t="str">
        <f t="shared" si="10"/>
        <v/>
      </c>
      <c r="U129" s="45" t="str">
        <f>IFERROR(VLOOKUP(B129,RECEITAS!A:C,3,FALSE),"")</f>
        <v/>
      </c>
      <c r="V129" s="45" t="str">
        <f>IFERROR((U129+S129)*(1-ANALISE!$I$4),"")</f>
        <v/>
      </c>
      <c r="W129" s="45" t="str">
        <f t="shared" si="11"/>
        <v/>
      </c>
    </row>
    <row r="130" spans="1:23" x14ac:dyDescent="0.3">
      <c r="A130">
        <f>Crono_Sex!A128</f>
        <v>0</v>
      </c>
      <c r="B130">
        <f>Crono_Sex!B128</f>
        <v>0</v>
      </c>
      <c r="C130" s="17">
        <f>Crono_Sex!C128</f>
        <v>0</v>
      </c>
      <c r="D130" t="str">
        <f>IFERROR(VLOOKUP(B130,RECEITAS!A:C,$D$7,FALSE),"")</f>
        <v/>
      </c>
      <c r="E130" s="1" t="str">
        <f>IFERROR(E129+(VLOOKUP($D130,PROCESSO!$B:$P,AP_CRONO_Sex!E$8,FALSE)/24),"")</f>
        <v/>
      </c>
      <c r="F130" s="1">
        <f>Crono_Sex!E128</f>
        <v>0</v>
      </c>
      <c r="G130" s="1" t="str">
        <f>IFERROR(IF(F130=0,"",VLOOKUP($D130,PROCESSO!$B:$P,G$8,FALSE)/24)*IFERROR(IF(#REF!&gt;$B$8,ROUNDUP(#REF!/$B$8,0),1),1)+($A$8/24)+F130,"")</f>
        <v/>
      </c>
      <c r="H130" s="1" t="str">
        <f t="shared" si="9"/>
        <v/>
      </c>
      <c r="I130" s="1" t="str">
        <f>IFERROR(IF(H130=0,"",VLOOKUP($D130,PROCESSO!$B:$P,H$8,FALSE)/24)+($A$8/24)+H130,"")</f>
        <v/>
      </c>
      <c r="J130" s="1" t="str">
        <f>IFERROR(IF(I130=0,"",VLOOKUP($D130,PROCESSO!$B:$P,I$8,FALSE)/24)+($A$8/24)+I130,"")</f>
        <v/>
      </c>
      <c r="K130" s="1" t="str">
        <f>IFERROR(IF(J130=0,"",VLOOKUP($D130,PROCESSO!$B:$P,J$8,FALSE)/24)+($A$8/24)+J130,"")</f>
        <v/>
      </c>
      <c r="L130" s="1" t="str">
        <f>IFERROR(IF(K130=0,"",VLOOKUP($D130,PROCESSO!$B:$P,K$8,FALSE)/24)+($A$8/24)+K130,"")</f>
        <v/>
      </c>
      <c r="M130" s="1" t="str">
        <f>IFERROR(IF(L130=0,"",VLOOKUP($D130,PROCESSO!$B:$P,L$8,FALSE)/24)+($A$8/24)+L130,"")</f>
        <v/>
      </c>
      <c r="N130" s="1" t="str">
        <f>IFERROR(IF(M130=0,"",VLOOKUP($D130,PROCESSO!$B:$P,M$8,FALSE)/24)+($A$8/24)+M130,"")</f>
        <v/>
      </c>
      <c r="O130" s="1" t="str">
        <f>IFERROR(IF(N130=0,"",VLOOKUP($D130,PROCESSO!$B:$P,N$8,FALSE)/24)+($A$8/24)+N130,"")</f>
        <v/>
      </c>
      <c r="P130" s="1" t="str">
        <f>IFERROR(IF(O130=0,"",VLOOKUP($D130,PROCESSO!$B:$P,O$8,FALSE)/24)+($A$8/24)+O130,"")</f>
        <v/>
      </c>
      <c r="Q130" s="1" t="str">
        <f>IFERROR(IF(P130=0,"",VLOOKUP($D130,PROCESSO!$B:$P,P$8,FALSE)/24)+($A$8/24)+P130,"")</f>
        <v/>
      </c>
      <c r="R130" s="1" t="str">
        <f>IFERROR(IF(Q130=0,"",VLOOKUP($D130,PROCESSO!$B:$P,Q$8,FALSE)/24)+($A$8/24)+Q130,"")</f>
        <v/>
      </c>
      <c r="S130" s="45" t="str">
        <f>IFERROR(IFERROR(VLOOKUP(D130,PROCESSO!B:P,15,FALSE),"")/SUMIFS(C:C,A:A,A130),"")</f>
        <v/>
      </c>
      <c r="T130" s="45" t="str">
        <f t="shared" si="10"/>
        <v/>
      </c>
      <c r="U130" s="45" t="str">
        <f>IFERROR(VLOOKUP(B130,RECEITAS!A:C,3,FALSE),"")</f>
        <v/>
      </c>
      <c r="V130" s="45" t="str">
        <f>IFERROR((U130+S130)*(1-ANALISE!$I$4),"")</f>
        <v/>
      </c>
      <c r="W130" s="45" t="str">
        <f t="shared" si="11"/>
        <v/>
      </c>
    </row>
    <row r="131" spans="1:23" x14ac:dyDescent="0.3">
      <c r="A131">
        <f>Crono_Sex!A129</f>
        <v>0</v>
      </c>
      <c r="B131">
        <f>Crono_Sex!B129</f>
        <v>0</v>
      </c>
      <c r="C131" s="17">
        <f>Crono_Sex!C129</f>
        <v>0</v>
      </c>
      <c r="D131" t="str">
        <f>IFERROR(VLOOKUP(B131,RECEITAS!A:C,$D$7,FALSE),"")</f>
        <v/>
      </c>
      <c r="E131" s="1" t="str">
        <f>IFERROR(E130+(VLOOKUP($D131,PROCESSO!$B:$P,AP_CRONO_Sex!E$8,FALSE)/24),"")</f>
        <v/>
      </c>
      <c r="F131" s="1">
        <f>Crono_Sex!E129</f>
        <v>0</v>
      </c>
      <c r="G131" s="1" t="str">
        <f>IFERROR(IF(F131=0,"",VLOOKUP($D131,PROCESSO!$B:$P,G$8,FALSE)/24)*IFERROR(IF(#REF!&gt;$B$8,ROUNDUP(#REF!/$B$8,0),1),1)+($A$8/24)+F131,"")</f>
        <v/>
      </c>
      <c r="H131" s="1" t="str">
        <f t="shared" si="9"/>
        <v/>
      </c>
      <c r="I131" s="1" t="str">
        <f>IFERROR(IF(H131=0,"",VLOOKUP($D131,PROCESSO!$B:$P,H$8,FALSE)/24)+($A$8/24)+H131,"")</f>
        <v/>
      </c>
      <c r="J131" s="1" t="str">
        <f>IFERROR(IF(I131=0,"",VLOOKUP($D131,PROCESSO!$B:$P,I$8,FALSE)/24)+($A$8/24)+I131,"")</f>
        <v/>
      </c>
      <c r="K131" s="1" t="str">
        <f>IFERROR(IF(J131=0,"",VLOOKUP($D131,PROCESSO!$B:$P,J$8,FALSE)/24)+($A$8/24)+J131,"")</f>
        <v/>
      </c>
      <c r="L131" s="1" t="str">
        <f>IFERROR(IF(K131=0,"",VLOOKUP($D131,PROCESSO!$B:$P,K$8,FALSE)/24)+($A$8/24)+K131,"")</f>
        <v/>
      </c>
      <c r="M131" s="1" t="str">
        <f>IFERROR(IF(L131=0,"",VLOOKUP($D131,PROCESSO!$B:$P,L$8,FALSE)/24)+($A$8/24)+L131,"")</f>
        <v/>
      </c>
      <c r="N131" s="1" t="str">
        <f>IFERROR(IF(M131=0,"",VLOOKUP($D131,PROCESSO!$B:$P,M$8,FALSE)/24)+($A$8/24)+M131,"")</f>
        <v/>
      </c>
      <c r="O131" s="1" t="str">
        <f>IFERROR(IF(N131=0,"",VLOOKUP($D131,PROCESSO!$B:$P,N$8,FALSE)/24)+($A$8/24)+N131,"")</f>
        <v/>
      </c>
      <c r="P131" s="1" t="str">
        <f>IFERROR(IF(O131=0,"",VLOOKUP($D131,PROCESSO!$B:$P,O$8,FALSE)/24)+($A$8/24)+O131,"")</f>
        <v/>
      </c>
      <c r="Q131" s="1" t="str">
        <f>IFERROR(IF(P131=0,"",VLOOKUP($D131,PROCESSO!$B:$P,P$8,FALSE)/24)+($A$8/24)+P131,"")</f>
        <v/>
      </c>
      <c r="R131" s="1" t="str">
        <f>IFERROR(IF(Q131=0,"",VLOOKUP($D131,PROCESSO!$B:$P,Q$8,FALSE)/24)+($A$8/24)+Q131,"")</f>
        <v/>
      </c>
      <c r="S131" s="45" t="str">
        <f>IFERROR(IFERROR(VLOOKUP(D131,PROCESSO!B:P,15,FALSE),"")/SUMIFS(C:C,A:A,A131),"")</f>
        <v/>
      </c>
      <c r="T131" s="45" t="str">
        <f t="shared" si="10"/>
        <v/>
      </c>
      <c r="U131" s="45" t="str">
        <f>IFERROR(VLOOKUP(B131,RECEITAS!A:C,3,FALSE),"")</f>
        <v/>
      </c>
      <c r="V131" s="45" t="str">
        <f>IFERROR((U131+S131)*(1-ANALISE!$I$4),"")</f>
        <v/>
      </c>
      <c r="W131" s="45" t="str">
        <f t="shared" si="11"/>
        <v/>
      </c>
    </row>
    <row r="132" spans="1:23" x14ac:dyDescent="0.3">
      <c r="A132">
        <f>Crono_Sex!A130</f>
        <v>0</v>
      </c>
      <c r="B132">
        <f>Crono_Sex!B130</f>
        <v>0</v>
      </c>
      <c r="C132" s="17">
        <f>Crono_Sex!C130</f>
        <v>0</v>
      </c>
      <c r="D132" t="str">
        <f>IFERROR(VLOOKUP(B132,RECEITAS!A:C,$D$7,FALSE),"")</f>
        <v/>
      </c>
      <c r="E132" s="1" t="str">
        <f>IFERROR(E131+(VLOOKUP($D132,PROCESSO!$B:$P,AP_CRONO_Sex!E$8,FALSE)/24),"")</f>
        <v/>
      </c>
      <c r="F132" s="1">
        <f>Crono_Sex!E130</f>
        <v>0</v>
      </c>
      <c r="G132" s="1" t="str">
        <f>IFERROR(IF(F132=0,"",VLOOKUP($D132,PROCESSO!$B:$P,G$8,FALSE)/24)*IFERROR(IF(#REF!&gt;$B$8,ROUNDUP(#REF!/$B$8,0),1),1)+($A$8/24)+F132,"")</f>
        <v/>
      </c>
      <c r="H132" s="1" t="str">
        <f t="shared" si="9"/>
        <v/>
      </c>
      <c r="I132" s="1" t="str">
        <f>IFERROR(IF(H132=0,"",VLOOKUP($D132,PROCESSO!$B:$P,H$8,FALSE)/24)+($A$8/24)+H132,"")</f>
        <v/>
      </c>
      <c r="J132" s="1" t="str">
        <f>IFERROR(IF(I132=0,"",VLOOKUP($D132,PROCESSO!$B:$P,I$8,FALSE)/24)+($A$8/24)+I132,"")</f>
        <v/>
      </c>
      <c r="K132" s="1" t="str">
        <f>IFERROR(IF(J132=0,"",VLOOKUP($D132,PROCESSO!$B:$P,J$8,FALSE)/24)+($A$8/24)+J132,"")</f>
        <v/>
      </c>
      <c r="L132" s="1" t="str">
        <f>IFERROR(IF(K132=0,"",VLOOKUP($D132,PROCESSO!$B:$P,K$8,FALSE)/24)+($A$8/24)+K132,"")</f>
        <v/>
      </c>
      <c r="M132" s="1" t="str">
        <f>IFERROR(IF(L132=0,"",VLOOKUP($D132,PROCESSO!$B:$P,L$8,FALSE)/24)+($A$8/24)+L132,"")</f>
        <v/>
      </c>
      <c r="N132" s="1" t="str">
        <f>IFERROR(IF(M132=0,"",VLOOKUP($D132,PROCESSO!$B:$P,M$8,FALSE)/24)+($A$8/24)+M132,"")</f>
        <v/>
      </c>
      <c r="O132" s="1" t="str">
        <f>IFERROR(IF(N132=0,"",VLOOKUP($D132,PROCESSO!$B:$P,N$8,FALSE)/24)+($A$8/24)+N132,"")</f>
        <v/>
      </c>
      <c r="P132" s="1" t="str">
        <f>IFERROR(IF(O132=0,"",VLOOKUP($D132,PROCESSO!$B:$P,O$8,FALSE)/24)+($A$8/24)+O132,"")</f>
        <v/>
      </c>
      <c r="Q132" s="1" t="str">
        <f>IFERROR(IF(P132=0,"",VLOOKUP($D132,PROCESSO!$B:$P,P$8,FALSE)/24)+($A$8/24)+P132,"")</f>
        <v/>
      </c>
      <c r="R132" s="1" t="str">
        <f>IFERROR(IF(Q132=0,"",VLOOKUP($D132,PROCESSO!$B:$P,Q$8,FALSE)/24)+($A$8/24)+Q132,"")</f>
        <v/>
      </c>
      <c r="S132" s="45" t="str">
        <f>IFERROR(IFERROR(VLOOKUP(D132,PROCESSO!B:P,15,FALSE),"")/SUMIFS(C:C,A:A,A132),"")</f>
        <v/>
      </c>
      <c r="T132" s="45" t="str">
        <f t="shared" si="10"/>
        <v/>
      </c>
      <c r="U132" s="45" t="str">
        <f>IFERROR(VLOOKUP(B132,RECEITAS!A:C,3,FALSE),"")</f>
        <v/>
      </c>
      <c r="V132" s="45" t="str">
        <f>IFERROR((U132+S132)*(1-ANALISE!$I$4),"")</f>
        <v/>
      </c>
      <c r="W132" s="45" t="str">
        <f t="shared" si="11"/>
        <v/>
      </c>
    </row>
    <row r="133" spans="1:23" x14ac:dyDescent="0.3">
      <c r="A133">
        <f>Crono_Sex!A131</f>
        <v>0</v>
      </c>
      <c r="B133">
        <f>Crono_Sex!B131</f>
        <v>0</v>
      </c>
      <c r="C133" s="17">
        <f>Crono_Sex!C131</f>
        <v>0</v>
      </c>
      <c r="D133" t="str">
        <f>IFERROR(VLOOKUP(B133,RECEITAS!A:C,$D$7,FALSE),"")</f>
        <v/>
      </c>
      <c r="E133" s="1" t="str">
        <f>IFERROR(E132+(VLOOKUP($D133,PROCESSO!$B:$P,AP_CRONO_Sex!E$8,FALSE)/24),"")</f>
        <v/>
      </c>
      <c r="F133" s="1">
        <f>Crono_Sex!E131</f>
        <v>0</v>
      </c>
      <c r="G133" s="1" t="str">
        <f>IFERROR(IF(F133=0,"",VLOOKUP($D133,PROCESSO!$B:$P,G$8,FALSE)/24)*IFERROR(IF(#REF!&gt;$B$8,ROUNDUP(#REF!/$B$8,0),1),1)+($A$8/24)+F133,"")</f>
        <v/>
      </c>
      <c r="H133" s="1" t="str">
        <f t="shared" si="9"/>
        <v/>
      </c>
      <c r="I133" s="1" t="str">
        <f>IFERROR(IF(H133=0,"",VLOOKUP($D133,PROCESSO!$B:$P,H$8,FALSE)/24)+($A$8/24)+H133,"")</f>
        <v/>
      </c>
      <c r="J133" s="1" t="str">
        <f>IFERROR(IF(I133=0,"",VLOOKUP($D133,PROCESSO!$B:$P,I$8,FALSE)/24)+($A$8/24)+I133,"")</f>
        <v/>
      </c>
      <c r="K133" s="1" t="str">
        <f>IFERROR(IF(J133=0,"",VLOOKUP($D133,PROCESSO!$B:$P,J$8,FALSE)/24)+($A$8/24)+J133,"")</f>
        <v/>
      </c>
      <c r="L133" s="1" t="str">
        <f>IFERROR(IF(K133=0,"",VLOOKUP($D133,PROCESSO!$B:$P,K$8,FALSE)/24)+($A$8/24)+K133,"")</f>
        <v/>
      </c>
      <c r="M133" s="1" t="str">
        <f>IFERROR(IF(L133=0,"",VLOOKUP($D133,PROCESSO!$B:$P,L$8,FALSE)/24)+($A$8/24)+L133,"")</f>
        <v/>
      </c>
      <c r="N133" s="1" t="str">
        <f>IFERROR(IF(M133=0,"",VLOOKUP($D133,PROCESSO!$B:$P,M$8,FALSE)/24)+($A$8/24)+M133,"")</f>
        <v/>
      </c>
      <c r="O133" s="1" t="str">
        <f>IFERROR(IF(N133=0,"",VLOOKUP($D133,PROCESSO!$B:$P,N$8,FALSE)/24)+($A$8/24)+N133,"")</f>
        <v/>
      </c>
      <c r="P133" s="1" t="str">
        <f>IFERROR(IF(O133=0,"",VLOOKUP($D133,PROCESSO!$B:$P,O$8,FALSE)/24)+($A$8/24)+O133,"")</f>
        <v/>
      </c>
      <c r="Q133" s="1" t="str">
        <f>IFERROR(IF(P133=0,"",VLOOKUP($D133,PROCESSO!$B:$P,P$8,FALSE)/24)+($A$8/24)+P133,"")</f>
        <v/>
      </c>
      <c r="R133" s="1" t="str">
        <f>IFERROR(IF(Q133=0,"",VLOOKUP($D133,PROCESSO!$B:$P,Q$8,FALSE)/24)+($A$8/24)+Q133,"")</f>
        <v/>
      </c>
      <c r="S133" s="45" t="str">
        <f>IFERROR(IFERROR(VLOOKUP(D133,PROCESSO!B:P,15,FALSE),"")/SUMIFS(C:C,A:A,A133),"")</f>
        <v/>
      </c>
      <c r="T133" s="45" t="str">
        <f t="shared" si="10"/>
        <v/>
      </c>
      <c r="U133" s="45" t="str">
        <f>IFERROR(VLOOKUP(B133,RECEITAS!A:C,3,FALSE),"")</f>
        <v/>
      </c>
      <c r="V133" s="45" t="str">
        <f>IFERROR((U133+S133)*(1-ANALISE!$I$4),"")</f>
        <v/>
      </c>
      <c r="W133" s="45" t="str">
        <f t="shared" si="11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AC20-CA1E-4523-87F1-362F6D7ACE43}">
  <sheetPr codeName="Planilha15"/>
  <dimension ref="A7:W34"/>
  <sheetViews>
    <sheetView zoomScaleNormal="100" workbookViewId="0">
      <selection activeCell="H10" sqref="H10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0.6640625" bestFit="1" customWidth="1"/>
    <col min="20" max="20" width="15.6640625" bestFit="1" customWidth="1"/>
  </cols>
  <sheetData>
    <row r="7" spans="1:23" x14ac:dyDescent="0.3">
      <c r="A7" t="s">
        <v>69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>
        <v>14</v>
      </c>
      <c r="T8" s="18">
        <v>0.35096064814814815</v>
      </c>
      <c r="U8" s="1">
        <v>6.9444444444444441E-3</v>
      </c>
    </row>
    <row r="9" spans="1:23" s="22" customFormat="1" ht="28.2" customHeight="1" x14ac:dyDescent="0.3">
      <c r="A9" s="22" t="s">
        <v>68</v>
      </c>
      <c r="B9" s="22" t="s">
        <v>19</v>
      </c>
      <c r="E9" s="23" t="s">
        <v>1</v>
      </c>
      <c r="F9" s="34" t="s">
        <v>78</v>
      </c>
      <c r="G9" s="34" t="s">
        <v>79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80</v>
      </c>
      <c r="R9" s="23" t="s">
        <v>81</v>
      </c>
      <c r="S9" s="22" t="s">
        <v>100</v>
      </c>
      <c r="T9" s="22" t="s">
        <v>101</v>
      </c>
      <c r="U9" s="22" t="s">
        <v>102</v>
      </c>
      <c r="V9" s="22" t="s">
        <v>103</v>
      </c>
      <c r="W9" s="22" t="s">
        <v>104</v>
      </c>
    </row>
    <row r="10" spans="1:23" x14ac:dyDescent="0.3">
      <c r="A10">
        <f>Crono_Sab!A8</f>
        <v>1</v>
      </c>
      <c r="B10" t="str">
        <f>Crono_Sab!B8</f>
        <v>AMANTEIGADO</v>
      </c>
      <c r="C10" s="17">
        <f>Crono_Sab!C8</f>
        <v>33.6</v>
      </c>
      <c r="D10" t="str">
        <f>IFERROR(VLOOKUP(B10,RECEITAS!A:C,$D$7,FALSE),"")</f>
        <v>DIRETO</v>
      </c>
      <c r="E10" s="1">
        <f>IFERROR(D8+(VLOOKUP($D10,PROCESSO!$B:$P,AP_CRONO_Sab!E$8,FALSE)/24),"")</f>
        <v>0.19305555555555556</v>
      </c>
      <c r="F10" s="1">
        <f>Crono_Sab!E8</f>
        <v>0.21388888888888891</v>
      </c>
      <c r="G10" s="1">
        <f>IFERROR(IF(F10=0,"",VLOOKUP($D10,PROCESSO!$B:$P,G$8,FALSE)/24)*IFERROR(IF(#REF!&gt;$B$8,ROUNDUP(#REF!/$B$8,0),1),1)+($A$8/24)+F10,"")</f>
        <v>0.2277777777777778</v>
      </c>
      <c r="H10" s="1">
        <f>G10</f>
        <v>0.2277777777777778</v>
      </c>
      <c r="I10" s="1">
        <f>IFERROR(IF(H10=0,"",VLOOKUP($D10,PROCESSO!$B:$P,H$8,FALSE)/24)+($A$8/24)+H10,"")</f>
        <v>0.23125000000000001</v>
      </c>
      <c r="J10" s="1">
        <f>IFERROR(IF(I10=0,"",VLOOKUP($D10,PROCESSO!$B:$P,I$8,FALSE)/24)+($A$8/24)+I10,"")</f>
        <v>0.23958333333333334</v>
      </c>
      <c r="K10" s="1">
        <f>IFERROR(IF(J10=0,"",VLOOKUP($D10,PROCESSO!$B:$P,J$8,FALSE)/24)+($A$8/24)+J10,"")</f>
        <v>0.24791666666666667</v>
      </c>
      <c r="L10" s="1">
        <f>IFERROR(IF(K10=0,"",VLOOKUP($D10,PROCESSO!$B:$P,K$8,FALSE)/24)+($A$8/24)+K10,"")</f>
        <v>0.25138888888888888</v>
      </c>
      <c r="M10" s="1">
        <f>IFERROR(IF(L10=0,"",VLOOKUP($D10,PROCESSO!$B:$P,L$8,FALSE)/24)+($A$8/24)+L10,"")</f>
        <v>0.27916666666666667</v>
      </c>
      <c r="N10" s="1">
        <f>IFERROR(IF(M10=0,"",VLOOKUP($D10,PROCESSO!$B:$P,M$8,FALSE)/24)+($A$8/24)+M10,"")</f>
        <v>0.34513888888888888</v>
      </c>
      <c r="O10" s="1">
        <f>IFERROR(IF(N10=0,"",VLOOKUP($D10,PROCESSO!$B:$P,N$8,FALSE)/24)+($A$8/24)+N10,"")</f>
        <v>0.36944444444444446</v>
      </c>
      <c r="P10" s="1">
        <f>IFERROR(IF(O10=0,"",VLOOKUP($D10,PROCESSO!$B:$P,O$8,FALSE)/24)+($A$8/24)+O10,"")</f>
        <v>0.43541666666666667</v>
      </c>
      <c r="Q10" s="1">
        <f>IFERROR(IF(P10=0,"",VLOOKUP($D10,PROCESSO!$B:$P,P$8,FALSE)/24)+($A$8/24)+P10,"")</f>
        <v>0.46805555555555556</v>
      </c>
      <c r="R10" s="1">
        <f>IFERROR(IF(Q10=0,"",VLOOKUP($D10,PROCESSO!$B:$P,Q$8,FALSE)/24)+($A$8/24)+Q10,"")</f>
        <v>0.5131944444444444</v>
      </c>
      <c r="S10" s="45">
        <f>IFERROR(IFERROR(VLOOKUP(D10,PROCESSO!B:P,15,FALSE),"")/SUMIFS(C:C,A:A,A10),"")</f>
        <v>1.0456179992644767</v>
      </c>
      <c r="T10" s="45">
        <f>IFERROR(S10*C10,"")</f>
        <v>35.132764775286418</v>
      </c>
      <c r="U10" s="45">
        <f>IFERROR(VLOOKUP(B10,RECEITAS!A:C,3,FALSE),"")</f>
        <v>1.8031880400301454</v>
      </c>
      <c r="V10" s="45">
        <f>IFERROR((U10+S10)*(1-ANALISE!$I$4),"")</f>
        <v>2.8488060392946224</v>
      </c>
      <c r="W10" s="45">
        <f>IFERROR(V10*C10,"")</f>
        <v>95.719882920299312</v>
      </c>
    </row>
    <row r="11" spans="1:23" x14ac:dyDescent="0.3">
      <c r="A11">
        <f>Crono_Sab!A9</f>
        <v>1</v>
      </c>
      <c r="B11" t="str">
        <f>Crono_Sab!B9</f>
        <v>MALTADO</v>
      </c>
      <c r="C11" s="17">
        <f>Crono_Sab!C9</f>
        <v>10.799999999999999</v>
      </c>
      <c r="D11" t="str">
        <f>IFERROR(VLOOKUP(B11,RECEITAS!A:C,$D$7,FALSE),"")</f>
        <v>RÚSTICO</v>
      </c>
      <c r="E11" s="1">
        <f>IFERROR(E10+(VLOOKUP($D11,PROCESSO!$B:$P,AP_CRONO_Sab!E$8,FALSE)/24),"")</f>
        <v>0.19861111111111113</v>
      </c>
      <c r="F11" s="1">
        <f>Crono_Sab!E9</f>
        <v>0.21597222222222223</v>
      </c>
      <c r="G11" s="1">
        <f>IFERROR(IF(F11=0,"",VLOOKUP($D11,PROCESSO!$B:$P,G$8,FALSE)/24)*IFERROR(IF(#REF!&gt;$B$8,ROUNDUP(#REF!/$B$8,0),1),1)+($A$8/24)+F11,"")</f>
        <v>0.22986111111111113</v>
      </c>
      <c r="H11" s="1">
        <f t="shared" ref="H11:H21" si="0">G11</f>
        <v>0.22986111111111113</v>
      </c>
      <c r="I11" s="1">
        <f>IFERROR(IF(H11=0,"",VLOOKUP($D11,PROCESSO!$B:$P,H$8,FALSE)/24)+($A$8/24)+H11,"")</f>
        <v>0.23333333333333334</v>
      </c>
      <c r="J11" s="1">
        <f>IFERROR(IF(I11=0,"",VLOOKUP($D11,PROCESSO!$B:$P,I$8,FALSE)/24)+($A$8/24)+I11,"")</f>
        <v>0.27847222222222223</v>
      </c>
      <c r="K11" s="1">
        <f>IFERROR(IF(J11=0,"",VLOOKUP($D11,PROCESSO!$B:$P,J$8,FALSE)/24)+($A$8/24)+J11,"")</f>
        <v>0.29930555555555555</v>
      </c>
      <c r="L11" s="1">
        <f>IFERROR(IF(K11=0,"",VLOOKUP($D11,PROCESSO!$B:$P,K$8,FALSE)/24)+($A$8/24)+K11,"")</f>
        <v>0.33055555555555555</v>
      </c>
      <c r="M11" s="1">
        <f>IFERROR(IF(L11=0,"",VLOOKUP($D11,PROCESSO!$B:$P,L$8,FALSE)/24)+($A$8/24)+L11,"")</f>
        <v>0.35138888888888886</v>
      </c>
      <c r="N11" s="1">
        <f>IFERROR(IF(M11=0,"",VLOOKUP($D11,PROCESSO!$B:$P,M$8,FALSE)/24)+($A$8/24)+M11,"")</f>
        <v>0.39652777777777776</v>
      </c>
      <c r="O11" s="1">
        <f>IFERROR(IF(N11=0,"",VLOOKUP($D11,PROCESSO!$B:$P,N$8,FALSE)/24)+($A$8/24)+N11,"")</f>
        <v>0.42777777777777776</v>
      </c>
      <c r="P11" s="1">
        <f>IFERROR(IF(O11=0,"",VLOOKUP($D11,PROCESSO!$B:$P,O$8,FALSE)/24)+($A$8/24)+O11,"")</f>
        <v>0.49374999999999997</v>
      </c>
      <c r="Q11" s="1">
        <f>IFERROR(IF(P11=0,"",VLOOKUP($D11,PROCESSO!$B:$P,P$8,FALSE)/24)+($A$8/24)+P11,"")</f>
        <v>0.49722222222222218</v>
      </c>
      <c r="R11" s="1">
        <f>IFERROR(IF(Q11=0,"",VLOOKUP($D11,PROCESSO!$B:$P,Q$8,FALSE)/24)+($A$8/24)+Q11,"")</f>
        <v>0.54236111111111107</v>
      </c>
      <c r="S11" s="45">
        <f>IFERROR(IFERROR(VLOOKUP(D11,PROCESSO!B:P,15,FALSE),"")/SUMIFS(C:C,A:A,A11),"")</f>
        <v>1.1126891171900044</v>
      </c>
      <c r="T11" s="45">
        <f t="shared" ref="T11:T21" si="1">IFERROR(S11*C11,"")</f>
        <v>12.017042465652047</v>
      </c>
      <c r="U11" s="45">
        <f>IFERROR(VLOOKUP(B11,RECEITAS!A:C,3,FALSE),"")</f>
        <v>2.6739550191991226</v>
      </c>
      <c r="V11" s="45">
        <f>IFERROR((U11+S11)*(1-ANALISE!$I$4),"")</f>
        <v>3.786644136389127</v>
      </c>
      <c r="W11" s="45">
        <f t="shared" ref="W11:W21" si="2">IFERROR(V11*C11,"")</f>
        <v>40.895756673002566</v>
      </c>
    </row>
    <row r="12" spans="1:23" x14ac:dyDescent="0.3">
      <c r="A12">
        <f>Crono_Sab!A10</f>
        <v>2</v>
      </c>
      <c r="B12" t="str">
        <f>Crono_Sab!B10</f>
        <v>BAG. FRANCESA</v>
      </c>
      <c r="C12" s="17">
        <f>Crono_Sab!C10</f>
        <v>5</v>
      </c>
      <c r="D12" t="str">
        <f>IFERROR(VLOOKUP(B12,RECEITAS!A:C,$D$7,FALSE),"")</f>
        <v>RÚSTICO</v>
      </c>
      <c r="E12" s="1">
        <f>IFERROR(E11+(VLOOKUP($D12,PROCESSO!$B:$P,AP_CRONO_Sab!E$8,FALSE)/24),"")</f>
        <v>0.20416666666666669</v>
      </c>
      <c r="F12" s="1">
        <f>Crono_Sab!E10</f>
        <v>0.25347222222222221</v>
      </c>
      <c r="G12" s="1">
        <f>IFERROR(IF(F12=0,"",VLOOKUP($D12,PROCESSO!$B:$P,G$8,FALSE)/24)*IFERROR(IF(#REF!&gt;$B$8,ROUNDUP(#REF!/$B$8,0),1),1)+($A$8/24)+F12,"")</f>
        <v>0.2673611111111111</v>
      </c>
      <c r="H12" s="1">
        <f t="shared" si="0"/>
        <v>0.2673611111111111</v>
      </c>
      <c r="I12" s="1">
        <f>IFERROR(IF(H12=0,"",VLOOKUP($D12,PROCESSO!$B:$P,H$8,FALSE)/24)+($A$8/24)+H12,"")</f>
        <v>0.27083333333333331</v>
      </c>
      <c r="J12" s="1">
        <f>IFERROR(IF(I12=0,"",VLOOKUP($D12,PROCESSO!$B:$P,I$8,FALSE)/24)+($A$8/24)+I12,"")</f>
        <v>0.31597222222222221</v>
      </c>
      <c r="K12" s="1">
        <f>IFERROR(IF(J12=0,"",VLOOKUP($D12,PROCESSO!$B:$P,J$8,FALSE)/24)+($A$8/24)+J12,"")</f>
        <v>0.33680555555555552</v>
      </c>
      <c r="L12" s="1">
        <f>IFERROR(IF(K12=0,"",VLOOKUP($D12,PROCESSO!$B:$P,K$8,FALSE)/24)+($A$8/24)+K12,"")</f>
        <v>0.36805555555555552</v>
      </c>
      <c r="M12" s="1">
        <f>IFERROR(IF(L12=0,"",VLOOKUP($D12,PROCESSO!$B:$P,L$8,FALSE)/24)+($A$8/24)+L12,"")</f>
        <v>0.38888888888888884</v>
      </c>
      <c r="N12" s="1">
        <f>IFERROR(IF(M12=0,"",VLOOKUP($D12,PROCESSO!$B:$P,M$8,FALSE)/24)+($A$8/24)+M12,"")</f>
        <v>0.43402777777777773</v>
      </c>
      <c r="O12" s="1">
        <f>IFERROR(IF(N12=0,"",VLOOKUP($D12,PROCESSO!$B:$P,N$8,FALSE)/24)+($A$8/24)+N12,"")</f>
        <v>0.46527777777777773</v>
      </c>
      <c r="P12" s="1">
        <f>IFERROR(IF(O12=0,"",VLOOKUP($D12,PROCESSO!$B:$P,O$8,FALSE)/24)+($A$8/24)+O12,"")</f>
        <v>0.53125</v>
      </c>
      <c r="Q12" s="1">
        <f>IFERROR(IF(P12=0,"",VLOOKUP($D12,PROCESSO!$B:$P,P$8,FALSE)/24)+($A$8/24)+P12,"")</f>
        <v>0.53472222222222221</v>
      </c>
      <c r="R12" s="1">
        <f>IFERROR(IF(Q12=0,"",VLOOKUP($D12,PROCESSO!$B:$P,Q$8,FALSE)/24)+($A$8/24)+Q12,"")</f>
        <v>0.57986111111111105</v>
      </c>
      <c r="S12" s="45">
        <f>IFERROR(IFERROR(VLOOKUP(D12,PROCESSO!B:P,15,FALSE),"")/SUMIFS(C:C,A:A,A12),"")</f>
        <v>4.1169497336030165</v>
      </c>
      <c r="T12" s="45">
        <f t="shared" si="1"/>
        <v>20.584748668015081</v>
      </c>
      <c r="U12" s="45">
        <f>IFERROR(VLOOKUP(B12,RECEITAS!A:C,3,FALSE),"")</f>
        <v>2.206347678369196</v>
      </c>
      <c r="V12" s="45">
        <f>IFERROR((U12+S12)*(1-ANALISE!$I$4),"")</f>
        <v>6.323297411972213</v>
      </c>
      <c r="W12" s="45">
        <f t="shared" si="2"/>
        <v>31.616487059861065</v>
      </c>
    </row>
    <row r="13" spans="1:23" x14ac:dyDescent="0.3">
      <c r="A13">
        <f>Crono_Sab!A11</f>
        <v>2</v>
      </c>
      <c r="B13" t="str">
        <f>Crono_Sab!B11</f>
        <v>P. AO LEVAIN</v>
      </c>
      <c r="C13" s="17">
        <f>Crono_Sab!C11</f>
        <v>7</v>
      </c>
      <c r="D13" t="str">
        <f>IFERROR(VLOOKUP(B13,RECEITAS!A:C,$D$7,FALSE),"")</f>
        <v>RÚSTICO</v>
      </c>
      <c r="E13" s="1">
        <f>IFERROR(E12+(VLOOKUP($D13,PROCESSO!$B:$P,AP_CRONO_Sab!E$8,FALSE)/24),"")</f>
        <v>0.20972222222222225</v>
      </c>
      <c r="F13" s="1">
        <f>Crono_Sab!E11</f>
        <v>0.25347222222222221</v>
      </c>
      <c r="G13" s="1">
        <f>IFERROR(IF(F13=0,"",VLOOKUP($D13,PROCESSO!$B:$P,G$8,FALSE)/24)*IFERROR(IF(#REF!&gt;$B$8,ROUNDUP(#REF!/$B$8,0),1),1)+($A$8/24)+F13,"")</f>
        <v>0.2673611111111111</v>
      </c>
      <c r="H13" s="1">
        <f t="shared" si="0"/>
        <v>0.2673611111111111</v>
      </c>
      <c r="I13" s="1">
        <f>IFERROR(IF(H13=0,"",VLOOKUP($D13,PROCESSO!$B:$P,H$8,FALSE)/24)+($A$8/24)+H13,"")</f>
        <v>0.27083333333333331</v>
      </c>
      <c r="J13" s="1">
        <f>IFERROR(IF(I13=0,"",VLOOKUP($D13,PROCESSO!$B:$P,I$8,FALSE)/24)+($A$8/24)+I13,"")</f>
        <v>0.31597222222222221</v>
      </c>
      <c r="K13" s="1">
        <f>IFERROR(IF(J13=0,"",VLOOKUP($D13,PROCESSO!$B:$P,J$8,FALSE)/24)+($A$8/24)+J13,"")</f>
        <v>0.33680555555555552</v>
      </c>
      <c r="L13" s="1">
        <f>IFERROR(IF(K13=0,"",VLOOKUP($D13,PROCESSO!$B:$P,K$8,FALSE)/24)+($A$8/24)+K13,"")</f>
        <v>0.36805555555555552</v>
      </c>
      <c r="M13" s="1">
        <f>IFERROR(IF(L13=0,"",VLOOKUP($D13,PROCESSO!$B:$P,L$8,FALSE)/24)+($A$8/24)+L13,"")</f>
        <v>0.38888888888888884</v>
      </c>
      <c r="N13" s="1">
        <f>IFERROR(IF(M13=0,"",VLOOKUP($D13,PROCESSO!$B:$P,M$8,FALSE)/24)+($A$8/24)+M13,"")</f>
        <v>0.43402777777777773</v>
      </c>
      <c r="O13" s="1">
        <f>IFERROR(IF(N13=0,"",VLOOKUP($D13,PROCESSO!$B:$P,N$8,FALSE)/24)+($A$8/24)+N13,"")</f>
        <v>0.46527777777777773</v>
      </c>
      <c r="P13" s="1">
        <f>IFERROR(IF(O13=0,"",VLOOKUP($D13,PROCESSO!$B:$P,O$8,FALSE)/24)+($A$8/24)+O13,"")</f>
        <v>0.53125</v>
      </c>
      <c r="Q13" s="1">
        <f>IFERROR(IF(P13=0,"",VLOOKUP($D13,PROCESSO!$B:$P,P$8,FALSE)/24)+($A$8/24)+P13,"")</f>
        <v>0.53472222222222221</v>
      </c>
      <c r="R13" s="1">
        <f>IFERROR(IF(Q13=0,"",VLOOKUP($D13,PROCESSO!$B:$P,Q$8,FALSE)/24)+($A$8/24)+Q13,"")</f>
        <v>0.57986111111111105</v>
      </c>
      <c r="S13" s="45">
        <f>IFERROR(IFERROR(VLOOKUP(D13,PROCESSO!B:P,15,FALSE),"")/SUMIFS(C:C,A:A,A13),"")</f>
        <v>4.1169497336030165</v>
      </c>
      <c r="T13" s="45">
        <f t="shared" si="1"/>
        <v>28.818648135221117</v>
      </c>
      <c r="U13" s="45">
        <f>IFERROR(VLOOKUP(B13,RECEITAS!A:C,3,FALSE),"")</f>
        <v>2.3235487959442338</v>
      </c>
      <c r="V13" s="45">
        <f>IFERROR((U13+S13)*(1-ANALISE!$I$4),"")</f>
        <v>6.4404985295472503</v>
      </c>
      <c r="W13" s="45">
        <f t="shared" si="2"/>
        <v>45.083489706830754</v>
      </c>
    </row>
    <row r="14" spans="1:23" x14ac:dyDescent="0.3">
      <c r="A14">
        <f>Crono_Sab!A12</f>
        <v>3</v>
      </c>
      <c r="B14" t="str">
        <f>Crono_Sab!B12</f>
        <v>PH MALTE AROMA CARAMEL CACAU</v>
      </c>
      <c r="C14" s="17">
        <f>Crono_Sab!C12</f>
        <v>3.0000000000000004</v>
      </c>
      <c r="D14" t="str">
        <f>IFERROR(VLOOKUP(B14,RECEITAS!A:C,$D$7,FALSE),"")</f>
        <v>DIRETO</v>
      </c>
      <c r="E14" s="1">
        <f>IFERROR(E13+(VLOOKUP($D14,PROCESSO!$B:$P,AP_CRONO_Sab!E$8,FALSE)/24),"")</f>
        <v>0.21527777777777782</v>
      </c>
      <c r="F14" s="1">
        <f>Crono_Sab!E12</f>
        <v>0.27847222222222223</v>
      </c>
      <c r="G14" s="1">
        <f>IFERROR(IF(F14=0,"",VLOOKUP($D14,PROCESSO!$B:$P,G$8,FALSE)/24)*IFERROR(IF(#REF!&gt;$B$8,ROUNDUP(#REF!/$B$8,0),1),1)+($A$8/24)+F14,"")</f>
        <v>0.29236111111111113</v>
      </c>
      <c r="H14" s="1">
        <f t="shared" si="0"/>
        <v>0.29236111111111113</v>
      </c>
      <c r="I14" s="1">
        <f>IFERROR(IF(H14=0,"",VLOOKUP($D14,PROCESSO!$B:$P,H$8,FALSE)/24)+($A$8/24)+H14,"")</f>
        <v>0.29583333333333334</v>
      </c>
      <c r="J14" s="1">
        <f>IFERROR(IF(I14=0,"",VLOOKUP($D14,PROCESSO!$B:$P,I$8,FALSE)/24)+($A$8/24)+I14,"")</f>
        <v>0.3041666666666667</v>
      </c>
      <c r="K14" s="1">
        <f>IFERROR(IF(J14=0,"",VLOOKUP($D14,PROCESSO!$B:$P,J$8,FALSE)/24)+($A$8/24)+J14,"")</f>
        <v>0.31250000000000006</v>
      </c>
      <c r="L14" s="1">
        <f>IFERROR(IF(K14=0,"",VLOOKUP($D14,PROCESSO!$B:$P,K$8,FALSE)/24)+($A$8/24)+K14,"")</f>
        <v>0.31597222222222227</v>
      </c>
      <c r="M14" s="1">
        <f>IFERROR(IF(L14=0,"",VLOOKUP($D14,PROCESSO!$B:$P,L$8,FALSE)/24)+($A$8/24)+L14,"")</f>
        <v>0.34375000000000006</v>
      </c>
      <c r="N14" s="1">
        <f>IFERROR(IF(M14=0,"",VLOOKUP($D14,PROCESSO!$B:$P,M$8,FALSE)/24)+($A$8/24)+M14,"")</f>
        <v>0.40972222222222227</v>
      </c>
      <c r="O14" s="1">
        <f>IFERROR(IF(N14=0,"",VLOOKUP($D14,PROCESSO!$B:$P,N$8,FALSE)/24)+($A$8/24)+N14,"")</f>
        <v>0.43402777777777779</v>
      </c>
      <c r="P14" s="1">
        <f>IFERROR(IF(O14=0,"",VLOOKUP($D14,PROCESSO!$B:$P,O$8,FALSE)/24)+($A$8/24)+O14,"")</f>
        <v>0.5</v>
      </c>
      <c r="Q14" s="1">
        <f>IFERROR(IF(P14=0,"",VLOOKUP($D14,PROCESSO!$B:$P,P$8,FALSE)/24)+($A$8/24)+P14,"")</f>
        <v>0.53263888888888888</v>
      </c>
      <c r="R14" s="1">
        <f>IFERROR(IF(Q14=0,"",VLOOKUP($D14,PROCESSO!$B:$P,Q$8,FALSE)/24)+($A$8/24)+Q14,"")</f>
        <v>0.57777777777777772</v>
      </c>
      <c r="S14" s="45">
        <f>IFERROR(IFERROR(VLOOKUP(D14,PROCESSO!B:P,15,FALSE),"")/SUMIFS(C:C,A:A,A14),"")</f>
        <v>6.632205595334681</v>
      </c>
      <c r="T14" s="45">
        <f t="shared" si="1"/>
        <v>19.896616786004046</v>
      </c>
      <c r="U14" s="45">
        <f>IFERROR(VLOOKUP(B14,RECEITAS!A:C,3,FALSE),"")</f>
        <v>3.802317938072997</v>
      </c>
      <c r="V14" s="45">
        <f>IFERROR((U14+S14)*(1-ANALISE!$I$4),"")</f>
        <v>10.434523533407678</v>
      </c>
      <c r="W14" s="45">
        <f t="shared" si="2"/>
        <v>31.303570600223036</v>
      </c>
    </row>
    <row r="15" spans="1:23" x14ac:dyDescent="0.3">
      <c r="A15">
        <f>Crono_Sab!A13</f>
        <v>3</v>
      </c>
      <c r="B15" t="str">
        <f>Crono_Sab!B13</f>
        <v>P. AZEITE RUST.</v>
      </c>
      <c r="C15" s="17">
        <f>Crono_Sab!C13</f>
        <v>2.5</v>
      </c>
      <c r="D15" t="str">
        <f>IFERROR(VLOOKUP(B15,RECEITAS!A:C,$D$7,FALSE),"")</f>
        <v>RÚSTICO</v>
      </c>
      <c r="E15" s="1">
        <f>IFERROR(E14+(VLOOKUP($D15,PROCESSO!$B:$P,AP_CRONO_Sab!E$8,FALSE)/24),"")</f>
        <v>0.22083333333333338</v>
      </c>
      <c r="F15" s="1">
        <f>Crono_Sab!E13</f>
        <v>0.27916666666666667</v>
      </c>
      <c r="G15" s="1">
        <f>IFERROR(IF(F15=0,"",VLOOKUP($D15,PROCESSO!$B:$P,G$8,FALSE)/24)*IFERROR(IF(#REF!&gt;$B$8,ROUNDUP(#REF!/$B$8,0),1),1)+($A$8/24)+F15,"")</f>
        <v>0.29305555555555557</v>
      </c>
      <c r="H15" s="1">
        <f t="shared" si="0"/>
        <v>0.29305555555555557</v>
      </c>
      <c r="I15" s="1">
        <f>IFERROR(IF(H15=0,"",VLOOKUP($D15,PROCESSO!$B:$P,H$8,FALSE)/24)+($A$8/24)+H15,"")</f>
        <v>0.29652777777777778</v>
      </c>
      <c r="J15" s="1">
        <f>IFERROR(IF(I15=0,"",VLOOKUP($D15,PROCESSO!$B:$P,I$8,FALSE)/24)+($A$8/24)+I15,"")</f>
        <v>0.34166666666666667</v>
      </c>
      <c r="K15" s="1">
        <f>IFERROR(IF(J15=0,"",VLOOKUP($D15,PROCESSO!$B:$P,J$8,FALSE)/24)+($A$8/24)+J15,"")</f>
        <v>0.36249999999999999</v>
      </c>
      <c r="L15" s="1">
        <f>IFERROR(IF(K15=0,"",VLOOKUP($D15,PROCESSO!$B:$P,K$8,FALSE)/24)+($A$8/24)+K15,"")</f>
        <v>0.39374999999999999</v>
      </c>
      <c r="M15" s="1">
        <f>IFERROR(IF(L15=0,"",VLOOKUP($D15,PROCESSO!$B:$P,L$8,FALSE)/24)+($A$8/24)+L15,"")</f>
        <v>0.4145833333333333</v>
      </c>
      <c r="N15" s="1">
        <f>IFERROR(IF(M15=0,"",VLOOKUP($D15,PROCESSO!$B:$P,M$8,FALSE)/24)+($A$8/24)+M15,"")</f>
        <v>0.4597222222222222</v>
      </c>
      <c r="O15" s="1">
        <f>IFERROR(IF(N15=0,"",VLOOKUP($D15,PROCESSO!$B:$P,N$8,FALSE)/24)+($A$8/24)+N15,"")</f>
        <v>0.4909722222222222</v>
      </c>
      <c r="P15" s="1">
        <f>IFERROR(IF(O15=0,"",VLOOKUP($D15,PROCESSO!$B:$P,O$8,FALSE)/24)+($A$8/24)+O15,"")</f>
        <v>0.55694444444444446</v>
      </c>
      <c r="Q15" s="1">
        <f>IFERROR(IF(P15=0,"",VLOOKUP($D15,PROCESSO!$B:$P,P$8,FALSE)/24)+($A$8/24)+P15,"")</f>
        <v>0.56041666666666667</v>
      </c>
      <c r="R15" s="1">
        <f>IFERROR(IF(Q15=0,"",VLOOKUP($D15,PROCESSO!$B:$P,Q$8,FALSE)/24)+($A$8/24)+Q15,"")</f>
        <v>0.60555555555555551</v>
      </c>
      <c r="S15" s="45">
        <f>IFERROR(IFERROR(VLOOKUP(D15,PROCESSO!B:P,15,FALSE),"")/SUMIFS(C:C,A:A,A15),"")</f>
        <v>7.0576281147480282</v>
      </c>
      <c r="T15" s="45">
        <f t="shared" si="1"/>
        <v>17.644070286870072</v>
      </c>
      <c r="U15" s="45">
        <f>IFERROR(VLOOKUP(B15,RECEITAS!A:C,3,FALSE),"")</f>
        <v>2.046595017783527</v>
      </c>
      <c r="V15" s="45">
        <f>IFERROR((U15+S15)*(1-ANALISE!$I$4),"")</f>
        <v>9.1042231325315548</v>
      </c>
      <c r="W15" s="45">
        <f t="shared" si="2"/>
        <v>22.760557831328889</v>
      </c>
    </row>
    <row r="16" spans="1:23" x14ac:dyDescent="0.3">
      <c r="A16">
        <f>Crono_Sab!A14</f>
        <v>3</v>
      </c>
      <c r="B16" t="str">
        <f>Crono_Sab!B14</f>
        <v>SOURDOUGH</v>
      </c>
      <c r="C16" s="17">
        <f>Crono_Sab!C14</f>
        <v>1.5</v>
      </c>
      <c r="D16" t="str">
        <f>IFERROR(VLOOKUP(B16,RECEITAS!A:C,$D$7,FALSE),"")</f>
        <v>RÚSTICO</v>
      </c>
      <c r="E16" s="1">
        <f>IFERROR(E15+(VLOOKUP($D16,PROCESSO!$B:$P,AP_CRONO_Sab!E$8,FALSE)/24),"")</f>
        <v>0.22638888888888895</v>
      </c>
      <c r="F16" s="1">
        <f>Crono_Sab!E14</f>
        <v>0.27986111111111112</v>
      </c>
      <c r="G16" s="1">
        <f>IFERROR(IF(F16=0,"",VLOOKUP($D16,PROCESSO!$B:$P,G$8,FALSE)/24)*IFERROR(IF(#REF!&gt;$B$8,ROUNDUP(#REF!/$B$8,0),1),1)+($A$8/24)+F16,"")</f>
        <v>0.29375000000000001</v>
      </c>
      <c r="H16" s="1">
        <f t="shared" si="0"/>
        <v>0.29375000000000001</v>
      </c>
      <c r="I16" s="1">
        <f>IFERROR(IF(H16=0,"",VLOOKUP($D16,PROCESSO!$B:$P,H$8,FALSE)/24)+($A$8/24)+H16,"")</f>
        <v>0.29722222222222222</v>
      </c>
      <c r="J16" s="1">
        <f>IFERROR(IF(I16=0,"",VLOOKUP($D16,PROCESSO!$B:$P,I$8,FALSE)/24)+($A$8/24)+I16,"")</f>
        <v>0.34236111111111112</v>
      </c>
      <c r="K16" s="1">
        <f>IFERROR(IF(J16=0,"",VLOOKUP($D16,PROCESSO!$B:$P,J$8,FALSE)/24)+($A$8/24)+J16,"")</f>
        <v>0.36319444444444443</v>
      </c>
      <c r="L16" s="1">
        <f>IFERROR(IF(K16=0,"",VLOOKUP($D16,PROCESSO!$B:$P,K$8,FALSE)/24)+($A$8/24)+K16,"")</f>
        <v>0.39444444444444443</v>
      </c>
      <c r="M16" s="1">
        <f>IFERROR(IF(L16=0,"",VLOOKUP($D16,PROCESSO!$B:$P,L$8,FALSE)/24)+($A$8/24)+L16,"")</f>
        <v>0.41527777777777775</v>
      </c>
      <c r="N16" s="1">
        <f>IFERROR(IF(M16=0,"",VLOOKUP($D16,PROCESSO!$B:$P,M$8,FALSE)/24)+($A$8/24)+M16,"")</f>
        <v>0.46041666666666664</v>
      </c>
      <c r="O16" s="1">
        <f>IFERROR(IF(N16=0,"",VLOOKUP($D16,PROCESSO!$B:$P,N$8,FALSE)/24)+($A$8/24)+N16,"")</f>
        <v>0.49166666666666664</v>
      </c>
      <c r="P16" s="1">
        <f>IFERROR(IF(O16=0,"",VLOOKUP($D16,PROCESSO!$B:$P,O$8,FALSE)/24)+($A$8/24)+O16,"")</f>
        <v>0.55763888888888891</v>
      </c>
      <c r="Q16" s="1">
        <f>IFERROR(IF(P16=0,"",VLOOKUP($D16,PROCESSO!$B:$P,P$8,FALSE)/24)+($A$8/24)+P16,"")</f>
        <v>0.56111111111111112</v>
      </c>
      <c r="R16" s="1">
        <f>IFERROR(IF(Q16=0,"",VLOOKUP($D16,PROCESSO!$B:$P,Q$8,FALSE)/24)+($A$8/24)+Q16,"")</f>
        <v>0.60624999999999996</v>
      </c>
      <c r="S16" s="45">
        <f>IFERROR(IFERROR(VLOOKUP(D16,PROCESSO!B:P,15,FALSE),"")/SUMIFS(C:C,A:A,A16),"")</f>
        <v>7.0576281147480282</v>
      </c>
      <c r="T16" s="45">
        <f t="shared" si="1"/>
        <v>10.586442172122043</v>
      </c>
      <c r="U16" s="45">
        <f>IFERROR(VLOOKUP(B16,RECEITAS!A:C,3,FALSE),"")</f>
        <v>2.6739550191991226</v>
      </c>
      <c r="V16" s="45">
        <f>IFERROR((U16+S16)*(1-ANALISE!$I$4),"")</f>
        <v>9.7315831339471508</v>
      </c>
      <c r="W16" s="45">
        <f t="shared" si="2"/>
        <v>14.597374700920726</v>
      </c>
    </row>
    <row r="17" spans="1:23" x14ac:dyDescent="0.3">
      <c r="A17">
        <f>Crono_Sab!A15</f>
        <v>4</v>
      </c>
      <c r="B17" t="str">
        <f>Crono_Sab!B15</f>
        <v>BRIOCHE MARGARINA</v>
      </c>
      <c r="C17" s="17">
        <f>Crono_Sab!C15</f>
        <v>15.000000000000004</v>
      </c>
      <c r="D17" t="str">
        <f>IFERROR(VLOOKUP(B17,RECEITAS!A:C,$D$7,FALSE),"")</f>
        <v>DIRETO</v>
      </c>
      <c r="E17" s="1">
        <f>IFERROR(E16+(VLOOKUP($D17,PROCESSO!$B:$P,AP_CRONO_Sab!E$8,FALSE)/24),"")</f>
        <v>0.23194444444444451</v>
      </c>
      <c r="F17" s="1">
        <f>Crono_Sab!E15</f>
        <v>0.30208333333333331</v>
      </c>
      <c r="G17" s="1">
        <f>IFERROR(IF(F17=0,"",VLOOKUP($D17,PROCESSO!$B:$P,G$8,FALSE)/24)*IFERROR(IF(#REF!&gt;$B$8,ROUNDUP(#REF!/$B$8,0),1),1)+($A$8/24)+F17,"")</f>
        <v>0.31597222222222221</v>
      </c>
      <c r="H17" s="1">
        <f t="shared" si="0"/>
        <v>0.31597222222222221</v>
      </c>
      <c r="I17" s="1">
        <f>IFERROR(IF(H17=0,"",VLOOKUP($D17,PROCESSO!$B:$P,H$8,FALSE)/24)+($A$8/24)+H17,"")</f>
        <v>0.31944444444444442</v>
      </c>
      <c r="J17" s="1">
        <f>IFERROR(IF(I17=0,"",VLOOKUP($D17,PROCESSO!$B:$P,I$8,FALSE)/24)+($A$8/24)+I17,"")</f>
        <v>0.32777777777777778</v>
      </c>
      <c r="K17" s="1">
        <f>IFERROR(IF(J17=0,"",VLOOKUP($D17,PROCESSO!$B:$P,J$8,FALSE)/24)+($A$8/24)+J17,"")</f>
        <v>0.33611111111111114</v>
      </c>
      <c r="L17" s="1">
        <f>IFERROR(IF(K17=0,"",VLOOKUP($D17,PROCESSO!$B:$P,K$8,FALSE)/24)+($A$8/24)+K17,"")</f>
        <v>0.33958333333333335</v>
      </c>
      <c r="M17" s="1">
        <f>IFERROR(IF(L17=0,"",VLOOKUP($D17,PROCESSO!$B:$P,L$8,FALSE)/24)+($A$8/24)+L17,"")</f>
        <v>0.36736111111111114</v>
      </c>
      <c r="N17" s="1">
        <f>IFERROR(IF(M17=0,"",VLOOKUP($D17,PROCESSO!$B:$P,M$8,FALSE)/24)+($A$8/24)+M17,"")</f>
        <v>0.43333333333333335</v>
      </c>
      <c r="O17" s="1">
        <f>IFERROR(IF(N17=0,"",VLOOKUP($D17,PROCESSO!$B:$P,N$8,FALSE)/24)+($A$8/24)+N17,"")</f>
        <v>0.45763888888888893</v>
      </c>
      <c r="P17" s="1">
        <f>IFERROR(IF(O17=0,"",VLOOKUP($D17,PROCESSO!$B:$P,O$8,FALSE)/24)+($A$8/24)+O17,"")</f>
        <v>0.52361111111111114</v>
      </c>
      <c r="Q17" s="1">
        <f>IFERROR(IF(P17=0,"",VLOOKUP($D17,PROCESSO!$B:$P,P$8,FALSE)/24)+($A$8/24)+P17,"")</f>
        <v>0.55625000000000002</v>
      </c>
      <c r="R17" s="1">
        <f>IFERROR(IF(Q17=0,"",VLOOKUP($D17,PROCESSO!$B:$P,Q$8,FALSE)/24)+($A$8/24)+Q17,"")</f>
        <v>0.60138888888888886</v>
      </c>
      <c r="S17" s="45">
        <f>IFERROR(IFERROR(VLOOKUP(D17,PROCESSO!B:P,15,FALSE),"")/SUMIFS(C:C,A:A,A17),"")</f>
        <v>3.0950292778228503</v>
      </c>
      <c r="T17" s="45">
        <f t="shared" si="1"/>
        <v>46.425439167342766</v>
      </c>
      <c r="U17" s="45">
        <f>IFERROR(VLOOKUP(B17,RECEITAS!A:C,3,FALSE),"")</f>
        <v>2.8395295247239574</v>
      </c>
      <c r="V17" s="45">
        <f>IFERROR((U17+S17)*(1-ANALISE!$I$4),"")</f>
        <v>5.9345588025468077</v>
      </c>
      <c r="W17" s="45">
        <f t="shared" si="2"/>
        <v>89.018382038202134</v>
      </c>
    </row>
    <row r="18" spans="1:23" x14ac:dyDescent="0.3">
      <c r="A18">
        <f>Crono_Sab!A16</f>
        <v>5</v>
      </c>
      <c r="B18" t="str">
        <f>Crono_Sab!B16</f>
        <v>BRIOCHE MARGARINA 50% AÇUCAR</v>
      </c>
      <c r="C18" s="17">
        <f>Crono_Sab!C16</f>
        <v>33.000000000000007</v>
      </c>
      <c r="D18" t="str">
        <f>IFERROR(VLOOKUP(B18,RECEITAS!A:C,$D$7,FALSE),"")</f>
        <v>DIRETO</v>
      </c>
      <c r="E18" s="1">
        <f>IFERROR(E17+(VLOOKUP($D18,PROCESSO!$B:$P,AP_CRONO_Sab!E$8,FALSE)/24),"")</f>
        <v>0.23750000000000007</v>
      </c>
      <c r="F18" s="1">
        <f>Crono_Sab!E16</f>
        <v>0.3263888888888889</v>
      </c>
      <c r="G18" s="1">
        <f>IFERROR(IF(F18=0,"",VLOOKUP($D18,PROCESSO!$B:$P,G$8,FALSE)/24)*IFERROR(IF(#REF!&gt;$B$8,ROUNDUP(#REF!/$B$8,0),1),1)+($A$8/24)+F18,"")</f>
        <v>0.34027777777777779</v>
      </c>
      <c r="H18" s="1">
        <f t="shared" si="0"/>
        <v>0.34027777777777779</v>
      </c>
      <c r="I18" s="1">
        <f>IFERROR(IF(H18=0,"",VLOOKUP($D18,PROCESSO!$B:$P,H$8,FALSE)/24)+($A$8/24)+H18,"")</f>
        <v>0.34375</v>
      </c>
      <c r="J18" s="1">
        <f>IFERROR(IF(I18=0,"",VLOOKUP($D18,PROCESSO!$B:$P,I$8,FALSE)/24)+($A$8/24)+I18,"")</f>
        <v>0.35208333333333336</v>
      </c>
      <c r="K18" s="1">
        <f>IFERROR(IF(J18=0,"",VLOOKUP($D18,PROCESSO!$B:$P,J$8,FALSE)/24)+($A$8/24)+J18,"")</f>
        <v>0.36041666666666672</v>
      </c>
      <c r="L18" s="1">
        <f>IFERROR(IF(K18=0,"",VLOOKUP($D18,PROCESSO!$B:$P,K$8,FALSE)/24)+($A$8/24)+K18,"")</f>
        <v>0.36388888888888893</v>
      </c>
      <c r="M18" s="1">
        <f>IFERROR(IF(L18=0,"",VLOOKUP($D18,PROCESSO!$B:$P,L$8,FALSE)/24)+($A$8/24)+L18,"")</f>
        <v>0.39166666666666672</v>
      </c>
      <c r="N18" s="1">
        <f>IFERROR(IF(M18=0,"",VLOOKUP($D18,PROCESSO!$B:$P,M$8,FALSE)/24)+($A$8/24)+M18,"")</f>
        <v>0.45763888888888893</v>
      </c>
      <c r="O18" s="1">
        <f>IFERROR(IF(N18=0,"",VLOOKUP($D18,PROCESSO!$B:$P,N$8,FALSE)/24)+($A$8/24)+N18,"")</f>
        <v>0.48194444444444451</v>
      </c>
      <c r="P18" s="1">
        <f>IFERROR(IF(O18=0,"",VLOOKUP($D18,PROCESSO!$B:$P,O$8,FALSE)/24)+($A$8/24)+O18,"")</f>
        <v>0.54791666666666672</v>
      </c>
      <c r="Q18" s="1">
        <f>IFERROR(IF(P18=0,"",VLOOKUP($D18,PROCESSO!$B:$P,P$8,FALSE)/24)+($A$8/24)+P18,"")</f>
        <v>0.5805555555555556</v>
      </c>
      <c r="R18" s="1">
        <f>IFERROR(IF(Q18=0,"",VLOOKUP($D18,PROCESSO!$B:$P,Q$8,FALSE)/24)+($A$8/24)+Q18,"")</f>
        <v>0.62569444444444444</v>
      </c>
      <c r="S18" s="45">
        <f>IFERROR(IFERROR(VLOOKUP(D18,PROCESSO!B:P,15,FALSE),"")/SUMIFS(C:C,A:A,A18),"")</f>
        <v>0.61900585556457011</v>
      </c>
      <c r="T18" s="45">
        <f t="shared" si="1"/>
        <v>20.427193233630817</v>
      </c>
      <c r="U18" s="45">
        <f>IFERROR(VLOOKUP(B18,RECEITAS!A:C,3,FALSE),"")</f>
        <v>2.8814478282576137</v>
      </c>
      <c r="V18" s="45">
        <f>IFERROR((U18+S18)*(1-ANALISE!$I$4),"")</f>
        <v>3.500453683822184</v>
      </c>
      <c r="W18" s="45">
        <f t="shared" si="2"/>
        <v>115.5149715661321</v>
      </c>
    </row>
    <row r="19" spans="1:23" x14ac:dyDescent="0.3">
      <c r="A19">
        <f>Crono_Sab!A17</f>
        <v>5</v>
      </c>
      <c r="B19" t="str">
        <f>Crono_Sab!B17</f>
        <v>AUSTRALIANO</v>
      </c>
      <c r="C19" s="17">
        <f>Crono_Sab!C17</f>
        <v>42.000000000000007</v>
      </c>
      <c r="D19" t="str">
        <f>IFERROR(VLOOKUP(B19,RECEITAS!A:C,$D$7,FALSE),"")</f>
        <v>DIRETO</v>
      </c>
      <c r="E19" s="1">
        <f>IFERROR(E18+(VLOOKUP($D19,PROCESSO!$B:$P,AP_CRONO_Sab!E$8,FALSE)/24),"")</f>
        <v>0.24305555555555564</v>
      </c>
      <c r="F19" s="1">
        <f>Crono_Sab!E17</f>
        <v>0.33333333333333331</v>
      </c>
      <c r="G19" s="1">
        <f>IFERROR(IF(F19=0,"",VLOOKUP($D19,PROCESSO!$B:$P,G$8,FALSE)/24)*IFERROR(IF(#REF!&gt;$B$8,ROUNDUP(#REF!/$B$8,0),1),1)+($A$8/24)+F19,"")</f>
        <v>0.34722222222222221</v>
      </c>
      <c r="H19" s="1">
        <f t="shared" si="0"/>
        <v>0.34722222222222221</v>
      </c>
      <c r="I19" s="1">
        <f>IFERROR(IF(H19=0,"",VLOOKUP($D19,PROCESSO!$B:$P,H$8,FALSE)/24)+($A$8/24)+H19,"")</f>
        <v>0.35069444444444442</v>
      </c>
      <c r="J19" s="1">
        <f>IFERROR(IF(I19=0,"",VLOOKUP($D19,PROCESSO!$B:$P,I$8,FALSE)/24)+($A$8/24)+I19,"")</f>
        <v>0.35902777777777778</v>
      </c>
      <c r="K19" s="1">
        <f>IFERROR(IF(J19=0,"",VLOOKUP($D19,PROCESSO!$B:$P,J$8,FALSE)/24)+($A$8/24)+J19,"")</f>
        <v>0.36736111111111114</v>
      </c>
      <c r="L19" s="1">
        <f>IFERROR(IF(K19=0,"",VLOOKUP($D19,PROCESSO!$B:$P,K$8,FALSE)/24)+($A$8/24)+K19,"")</f>
        <v>0.37083333333333335</v>
      </c>
      <c r="M19" s="1">
        <f>IFERROR(IF(L19=0,"",VLOOKUP($D19,PROCESSO!$B:$P,L$8,FALSE)/24)+($A$8/24)+L19,"")</f>
        <v>0.39861111111111114</v>
      </c>
      <c r="N19" s="1">
        <f>IFERROR(IF(M19=0,"",VLOOKUP($D19,PROCESSO!$B:$P,M$8,FALSE)/24)+($A$8/24)+M19,"")</f>
        <v>0.46458333333333335</v>
      </c>
      <c r="O19" s="1">
        <f>IFERROR(IF(N19=0,"",VLOOKUP($D19,PROCESSO!$B:$P,N$8,FALSE)/24)+($A$8/24)+N19,"")</f>
        <v>0.48888888888888893</v>
      </c>
      <c r="P19" s="1">
        <f>IFERROR(IF(O19=0,"",VLOOKUP($D19,PROCESSO!$B:$P,O$8,FALSE)/24)+($A$8/24)+O19,"")</f>
        <v>0.55486111111111114</v>
      </c>
      <c r="Q19" s="1">
        <f>IFERROR(IF(P19=0,"",VLOOKUP($D19,PROCESSO!$B:$P,P$8,FALSE)/24)+($A$8/24)+P19,"")</f>
        <v>0.58750000000000002</v>
      </c>
      <c r="R19" s="1">
        <f>IFERROR(IF(Q19=0,"",VLOOKUP($D19,PROCESSO!$B:$P,Q$8,FALSE)/24)+($A$8/24)+Q19,"")</f>
        <v>0.63263888888888886</v>
      </c>
      <c r="S19" s="45">
        <f>IFERROR(IFERROR(VLOOKUP(D19,PROCESSO!B:P,15,FALSE),"")/SUMIFS(C:C,A:A,A19),"")</f>
        <v>0.61900585556457011</v>
      </c>
      <c r="T19" s="45">
        <f t="shared" si="1"/>
        <v>25.998245933711949</v>
      </c>
      <c r="U19" s="45">
        <f>IFERROR(VLOOKUP(B19,RECEITAS!A:C,3,FALSE),"")</f>
        <v>2.4</v>
      </c>
      <c r="V19" s="45">
        <f>IFERROR((U19+S19)*(1-ANALISE!$I$4),"")</f>
        <v>3.0190058555645702</v>
      </c>
      <c r="W19" s="45">
        <f t="shared" si="2"/>
        <v>126.79824593371197</v>
      </c>
    </row>
    <row r="20" spans="1:23" x14ac:dyDescent="0.3">
      <c r="A20">
        <f>Crono_Sab!A18</f>
        <v>6</v>
      </c>
      <c r="B20" t="str">
        <f>Crono_Sab!B18</f>
        <v>PF INTEGRAL</v>
      </c>
      <c r="C20" s="17">
        <f>Crono_Sab!C18</f>
        <v>1.35</v>
      </c>
      <c r="D20" t="str">
        <f>IFERROR(VLOOKUP(B20,RECEITAS!A:C,$D$7,FALSE),"")</f>
        <v>DIRETO</v>
      </c>
      <c r="E20" s="1">
        <f>IFERROR(E19+(VLOOKUP($D20,PROCESSO!$B:$P,AP_CRONO_Sab!E$8,FALSE)/24),"")</f>
        <v>0.2486111111111112</v>
      </c>
      <c r="F20" s="1">
        <f>Crono_Sab!E18</f>
        <v>0.37847222222222227</v>
      </c>
      <c r="G20" s="1">
        <f>IFERROR(IF(F20=0,"",VLOOKUP($D20,PROCESSO!$B:$P,G$8,FALSE)/24)*IFERROR(IF(#REF!&gt;$B$8,ROUNDUP(#REF!/$B$8,0),1),1)+($A$8/24)+F20,"")</f>
        <v>0.39236111111111116</v>
      </c>
      <c r="H20" s="1">
        <f t="shared" si="0"/>
        <v>0.39236111111111116</v>
      </c>
      <c r="I20" s="1">
        <f>IFERROR(IF(H20=0,"",VLOOKUP($D20,PROCESSO!$B:$P,H$8,FALSE)/24)+($A$8/24)+H20,"")</f>
        <v>0.39583333333333337</v>
      </c>
      <c r="J20" s="1">
        <f>IFERROR(IF(I20=0,"",VLOOKUP($D20,PROCESSO!$B:$P,I$8,FALSE)/24)+($A$8/24)+I20,"")</f>
        <v>0.40416666666666673</v>
      </c>
      <c r="K20" s="1">
        <f>IFERROR(IF(J20=0,"",VLOOKUP($D20,PROCESSO!$B:$P,J$8,FALSE)/24)+($A$8/24)+J20,"")</f>
        <v>0.41250000000000009</v>
      </c>
      <c r="L20" s="1">
        <f>IFERROR(IF(K20=0,"",VLOOKUP($D20,PROCESSO!$B:$P,K$8,FALSE)/24)+($A$8/24)+K20,"")</f>
        <v>0.4159722222222223</v>
      </c>
      <c r="M20" s="1">
        <f>IFERROR(IF(L20=0,"",VLOOKUP($D20,PROCESSO!$B:$P,L$8,FALSE)/24)+($A$8/24)+L20,"")</f>
        <v>0.44375000000000009</v>
      </c>
      <c r="N20" s="1">
        <f>IFERROR(IF(M20=0,"",VLOOKUP($D20,PROCESSO!$B:$P,M$8,FALSE)/24)+($A$8/24)+M20,"")</f>
        <v>0.5097222222222223</v>
      </c>
      <c r="O20" s="1">
        <f>IFERROR(IF(N20=0,"",VLOOKUP($D20,PROCESSO!$B:$P,N$8,FALSE)/24)+($A$8/24)+N20,"")</f>
        <v>0.53402777777777788</v>
      </c>
      <c r="P20" s="1">
        <f>IFERROR(IF(O20=0,"",VLOOKUP($D20,PROCESSO!$B:$P,O$8,FALSE)/24)+($A$8/24)+O20,"")</f>
        <v>0.60000000000000009</v>
      </c>
      <c r="Q20" s="1">
        <f>IFERROR(IF(P20=0,"",VLOOKUP($D20,PROCESSO!$B:$P,P$8,FALSE)/24)+($A$8/24)+P20,"")</f>
        <v>0.63263888888888897</v>
      </c>
      <c r="R20" s="1">
        <f>IFERROR(IF(Q20=0,"",VLOOKUP($D20,PROCESSO!$B:$P,Q$8,FALSE)/24)+($A$8/24)+Q20,"")</f>
        <v>0.67777777777777781</v>
      </c>
      <c r="S20" s="45">
        <f>IFERROR(IFERROR(VLOOKUP(D20,PROCESSO!B:P,15,FALSE),"")/SUMIFS(C:C,A:A,A20),"")</f>
        <v>0.73516134865150851</v>
      </c>
      <c r="T20" s="45">
        <f t="shared" si="1"/>
        <v>0.99246782067953654</v>
      </c>
      <c r="U20" s="45">
        <f>IFERROR(VLOOKUP(B20,RECEITAS!A:C,3,FALSE),"")</f>
        <v>2.6739550191991226</v>
      </c>
      <c r="V20" s="45">
        <f>IFERROR((U20+S20)*(1-ANALISE!$I$4),"")</f>
        <v>3.4091163678506309</v>
      </c>
      <c r="W20" s="45">
        <f t="shared" si="2"/>
        <v>4.6023070965983521</v>
      </c>
    </row>
    <row r="21" spans="1:23" x14ac:dyDescent="0.3">
      <c r="A21">
        <f>Crono_Sab!A19</f>
        <v>6</v>
      </c>
      <c r="B21" t="str">
        <f>Crono_Sab!B19</f>
        <v>PH VINHEDO</v>
      </c>
      <c r="C21" s="17">
        <f>Crono_Sab!C19</f>
        <v>7.8000000000000016</v>
      </c>
      <c r="D21" t="str">
        <f>IFERROR(VLOOKUP(B21,RECEITAS!A:C,$D$7,FALSE),"")</f>
        <v>DIRETO</v>
      </c>
      <c r="E21" s="1">
        <f>IFERROR(E20+(VLOOKUP($D21,PROCESSO!$B:$P,AP_CRONO_Sab!E$8,FALSE)/24),"")</f>
        <v>0.25416666666666676</v>
      </c>
      <c r="F21" s="1">
        <f>Crono_Sab!E19</f>
        <v>0.37847222222222227</v>
      </c>
      <c r="G21" s="1">
        <f>IFERROR(IF(F21=0,"",VLOOKUP($D21,PROCESSO!$B:$P,G$8,FALSE)/24)*IFERROR(IF(#REF!&gt;$B$8,ROUNDUP(#REF!/$B$8,0),1),1)+($A$8/24)+F21,"")</f>
        <v>0.39236111111111116</v>
      </c>
      <c r="H21" s="1">
        <f t="shared" si="0"/>
        <v>0.39236111111111116</v>
      </c>
      <c r="I21" s="1">
        <f>IFERROR(IF(H21=0,"",VLOOKUP($D21,PROCESSO!$B:$P,H$8,FALSE)/24)+($A$8/24)+H21,"")</f>
        <v>0.39583333333333337</v>
      </c>
      <c r="J21" s="1">
        <f>IFERROR(IF(I21=0,"",VLOOKUP($D21,PROCESSO!$B:$P,I$8,FALSE)/24)+($A$8/24)+I21,"")</f>
        <v>0.40416666666666673</v>
      </c>
      <c r="K21" s="1">
        <f>IFERROR(IF(J21=0,"",VLOOKUP($D21,PROCESSO!$B:$P,J$8,FALSE)/24)+($A$8/24)+J21,"")</f>
        <v>0.41250000000000009</v>
      </c>
      <c r="L21" s="1">
        <f>IFERROR(IF(K21=0,"",VLOOKUP($D21,PROCESSO!$B:$P,K$8,FALSE)/24)+($A$8/24)+K21,"")</f>
        <v>0.4159722222222223</v>
      </c>
      <c r="M21" s="1">
        <f>IFERROR(IF(L21=0,"",VLOOKUP($D21,PROCESSO!$B:$P,L$8,FALSE)/24)+($A$8/24)+L21,"")</f>
        <v>0.44375000000000009</v>
      </c>
      <c r="N21" s="1">
        <f>IFERROR(IF(M21=0,"",VLOOKUP($D21,PROCESSO!$B:$P,M$8,FALSE)/24)+($A$8/24)+M21,"")</f>
        <v>0.5097222222222223</v>
      </c>
      <c r="O21" s="1">
        <f>IFERROR(IF(N21=0,"",VLOOKUP($D21,PROCESSO!$B:$P,N$8,FALSE)/24)+($A$8/24)+N21,"")</f>
        <v>0.53402777777777788</v>
      </c>
      <c r="P21" s="1">
        <f>IFERROR(IF(O21=0,"",VLOOKUP($D21,PROCESSO!$B:$P,O$8,FALSE)/24)+($A$8/24)+O21,"")</f>
        <v>0.60000000000000009</v>
      </c>
      <c r="Q21" s="1">
        <f>IFERROR(IF(P21=0,"",VLOOKUP($D21,PROCESSO!$B:$P,P$8,FALSE)/24)+($A$8/24)+P21,"")</f>
        <v>0.63263888888888897</v>
      </c>
      <c r="R21" s="1">
        <f>IFERROR(IF(Q21=0,"",VLOOKUP($D21,PROCESSO!$B:$P,Q$8,FALSE)/24)+($A$8/24)+Q21,"")</f>
        <v>0.67777777777777781</v>
      </c>
      <c r="S21" s="45">
        <f>IFERROR(IFERROR(VLOOKUP(D21,PROCESSO!B:P,15,FALSE),"")/SUMIFS(C:C,A:A,A21),"")</f>
        <v>0.73516134865150851</v>
      </c>
      <c r="T21" s="45">
        <f t="shared" si="1"/>
        <v>5.7342585194817675</v>
      </c>
      <c r="U21" s="45">
        <f>IFERROR(VLOOKUP(B21,RECEITAS!A:C,3,FALSE),"")</f>
        <v>4.2629144274493598</v>
      </c>
      <c r="V21" s="45">
        <f>IFERROR((U21+S21)*(1-ANALISE!$I$4),"")</f>
        <v>4.9980757761008681</v>
      </c>
      <c r="W21" s="45">
        <f t="shared" si="2"/>
        <v>38.984991053586782</v>
      </c>
    </row>
    <row r="22" spans="1:23" x14ac:dyDescent="0.3">
      <c r="A22">
        <f>Crono_Sab!A20</f>
        <v>6</v>
      </c>
      <c r="B22" t="str">
        <f>Crono_Sab!B20</f>
        <v>VEGANO TRAD.</v>
      </c>
      <c r="C22" s="17">
        <f>Crono_Sab!C20</f>
        <v>6.0000000000000009</v>
      </c>
      <c r="D22" t="str">
        <f>IFERROR(VLOOKUP(B22,RECEITAS!A:C,$D$7,FALSE),"")</f>
        <v>DIRETO</v>
      </c>
      <c r="E22" s="1">
        <f>IFERROR(E21+(VLOOKUP($D22,PROCESSO!$B:$P,AP_CRONO_Sab!E$8,FALSE)/24),"")</f>
        <v>0.2597222222222223</v>
      </c>
      <c r="F22" s="1">
        <f>Crono_Sab!E20</f>
        <v>0.37847222222222227</v>
      </c>
      <c r="G22" s="1">
        <f>IFERROR(IF(F22=0,"",VLOOKUP($D22,PROCESSO!$B:$P,G$8,FALSE)/24)*IFERROR(IF(#REF!&gt;$B$8,ROUNDUP(#REF!/$B$8,0),1),1)+($A$8/24)+F22,"")</f>
        <v>0.39236111111111116</v>
      </c>
      <c r="H22" s="1">
        <f t="shared" ref="H22:H30" si="3">G22</f>
        <v>0.39236111111111116</v>
      </c>
      <c r="I22" s="1">
        <f>IFERROR(IF(H22=0,"",VLOOKUP($D22,PROCESSO!$B:$P,H$8,FALSE)/24)+($A$8/24)+H22,"")</f>
        <v>0.39583333333333337</v>
      </c>
      <c r="J22" s="1">
        <f>IFERROR(IF(I22=0,"",VLOOKUP($D22,PROCESSO!$B:$P,I$8,FALSE)/24)+($A$8/24)+I22,"")</f>
        <v>0.40416666666666673</v>
      </c>
      <c r="K22" s="1">
        <f>IFERROR(IF(J22=0,"",VLOOKUP($D22,PROCESSO!$B:$P,J$8,FALSE)/24)+($A$8/24)+J22,"")</f>
        <v>0.41250000000000009</v>
      </c>
      <c r="L22" s="1">
        <f>IFERROR(IF(K22=0,"",VLOOKUP($D22,PROCESSO!$B:$P,K$8,FALSE)/24)+($A$8/24)+K22,"")</f>
        <v>0.4159722222222223</v>
      </c>
      <c r="M22" s="1">
        <f>IFERROR(IF(L22=0,"",VLOOKUP($D22,PROCESSO!$B:$P,L$8,FALSE)/24)+($A$8/24)+L22,"")</f>
        <v>0.44375000000000009</v>
      </c>
      <c r="N22" s="1">
        <f>IFERROR(IF(M22=0,"",VLOOKUP($D22,PROCESSO!$B:$P,M$8,FALSE)/24)+($A$8/24)+M22,"")</f>
        <v>0.5097222222222223</v>
      </c>
      <c r="O22" s="1">
        <f>IFERROR(IF(N22=0,"",VLOOKUP($D22,PROCESSO!$B:$P,N$8,FALSE)/24)+($A$8/24)+N22,"")</f>
        <v>0.53402777777777788</v>
      </c>
      <c r="P22" s="1">
        <f>IFERROR(IF(O22=0,"",VLOOKUP($D22,PROCESSO!$B:$P,O$8,FALSE)/24)+($A$8/24)+O22,"")</f>
        <v>0.60000000000000009</v>
      </c>
      <c r="Q22" s="1">
        <f>IFERROR(IF(P22=0,"",VLOOKUP($D22,PROCESSO!$B:$P,P$8,FALSE)/24)+($A$8/24)+P22,"")</f>
        <v>0.63263888888888897</v>
      </c>
      <c r="R22" s="1">
        <f>IFERROR(IF(Q22=0,"",VLOOKUP($D22,PROCESSO!$B:$P,Q$8,FALSE)/24)+($A$8/24)+Q22,"")</f>
        <v>0.67777777777777781</v>
      </c>
      <c r="S22" s="45">
        <f>IFERROR(IFERROR(VLOOKUP(D22,PROCESSO!B:P,15,FALSE),"")/SUMIFS(C:C,A:A,A22),"")</f>
        <v>0.73516134865150851</v>
      </c>
      <c r="T22" s="45">
        <f t="shared" ref="T22:T30" si="4">IFERROR(S22*C22,"")</f>
        <v>4.4109680919090515</v>
      </c>
      <c r="U22" s="45">
        <f>IFERROR(VLOOKUP(B22,RECEITAS!A:C,3,FALSE),"")</f>
        <v>1.4304241248567149</v>
      </c>
      <c r="V22" s="45">
        <f>IFERROR((U22+S22)*(1-ANALISE!$I$4),"")</f>
        <v>2.1655854735082234</v>
      </c>
      <c r="W22" s="45">
        <f t="shared" ref="W22:W30" si="5">IFERROR(V22*C22,"")</f>
        <v>12.993512841049343</v>
      </c>
    </row>
    <row r="23" spans="1:23" x14ac:dyDescent="0.3">
      <c r="A23">
        <f>Crono_Sab!A21</f>
        <v>6</v>
      </c>
      <c r="B23" t="str">
        <f>Crono_Sab!B21</f>
        <v>VINHEDO RUST.</v>
      </c>
      <c r="C23" s="17">
        <f>Crono_Sab!C21</f>
        <v>3</v>
      </c>
      <c r="D23" t="str">
        <f>IFERROR(VLOOKUP(B23,RECEITAS!A:C,$D$7,FALSE),"")</f>
        <v>RÚSTICO</v>
      </c>
      <c r="E23" s="1">
        <f>IFERROR(E22+(VLOOKUP($D23,PROCESSO!$B:$P,AP_CRONO_Sab!E$8,FALSE)/24),"")</f>
        <v>0.26527777777777783</v>
      </c>
      <c r="F23" s="1">
        <f>Crono_Sab!E21</f>
        <v>0.37847222222222227</v>
      </c>
      <c r="G23" s="1">
        <f>IFERROR(IF(F23=0,"",VLOOKUP($D23,PROCESSO!$B:$P,G$8,FALSE)/24)*IFERROR(IF(#REF!&gt;$B$8,ROUNDUP(#REF!/$B$8,0),1),1)+($A$8/24)+F23,"")</f>
        <v>0.39236111111111116</v>
      </c>
      <c r="H23" s="1">
        <f t="shared" si="3"/>
        <v>0.39236111111111116</v>
      </c>
      <c r="I23" s="1">
        <f>IFERROR(IF(H23=0,"",VLOOKUP($D23,PROCESSO!$B:$P,H$8,FALSE)/24)+($A$8/24)+H23,"")</f>
        <v>0.39583333333333337</v>
      </c>
      <c r="J23" s="1">
        <f>IFERROR(IF(I23=0,"",VLOOKUP($D23,PROCESSO!$B:$P,I$8,FALSE)/24)+($A$8/24)+I23,"")</f>
        <v>0.44097222222222227</v>
      </c>
      <c r="K23" s="1">
        <f>IFERROR(IF(J23=0,"",VLOOKUP($D23,PROCESSO!$B:$P,J$8,FALSE)/24)+($A$8/24)+J23,"")</f>
        <v>0.46180555555555558</v>
      </c>
      <c r="L23" s="1">
        <f>IFERROR(IF(K23=0,"",VLOOKUP($D23,PROCESSO!$B:$P,K$8,FALSE)/24)+($A$8/24)+K23,"")</f>
        <v>0.49305555555555558</v>
      </c>
      <c r="M23" s="1">
        <f>IFERROR(IF(L23=0,"",VLOOKUP($D23,PROCESSO!$B:$P,L$8,FALSE)/24)+($A$8/24)+L23,"")</f>
        <v>0.51388888888888895</v>
      </c>
      <c r="N23" s="1">
        <f>IFERROR(IF(M23=0,"",VLOOKUP($D23,PROCESSO!$B:$P,M$8,FALSE)/24)+($A$8/24)+M23,"")</f>
        <v>0.55902777777777779</v>
      </c>
      <c r="O23" s="1">
        <f>IFERROR(IF(N23=0,"",VLOOKUP($D23,PROCESSO!$B:$P,N$8,FALSE)/24)+($A$8/24)+N23,"")</f>
        <v>0.59027777777777779</v>
      </c>
      <c r="P23" s="1">
        <f>IFERROR(IF(O23=0,"",VLOOKUP($D23,PROCESSO!$B:$P,O$8,FALSE)/24)+($A$8/24)+O23,"")</f>
        <v>0.65625</v>
      </c>
      <c r="Q23" s="1">
        <f>IFERROR(IF(P23=0,"",VLOOKUP($D23,PROCESSO!$B:$P,P$8,FALSE)/24)+($A$8/24)+P23,"")</f>
        <v>0.65972222222222221</v>
      </c>
      <c r="R23" s="1">
        <f>IFERROR(IF(Q23=0,"",VLOOKUP($D23,PROCESSO!$B:$P,Q$8,FALSE)/24)+($A$8/24)+Q23,"")</f>
        <v>0.70486111111111105</v>
      </c>
      <c r="S23" s="45">
        <f>IFERROR(IFERROR(VLOOKUP(D23,PROCESSO!B:P,15,FALSE),"")/SUMIFS(C:C,A:A,A23),"")</f>
        <v>0.78231823916446863</v>
      </c>
      <c r="T23" s="45">
        <f t="shared" si="4"/>
        <v>2.3469547174934058</v>
      </c>
      <c r="U23" s="45">
        <f>IFERROR(VLOOKUP(B23,RECEITAS!A:C,3,FALSE),"")</f>
        <v>4.2629144274493598</v>
      </c>
      <c r="V23" s="45">
        <f>IFERROR((U23+S23)*(1-ANALISE!$I$4),"")</f>
        <v>5.0452326666138285</v>
      </c>
      <c r="W23" s="45">
        <f t="shared" si="5"/>
        <v>15.135697999841486</v>
      </c>
    </row>
    <row r="24" spans="1:23" x14ac:dyDescent="0.3">
      <c r="A24">
        <f>Crono_Sab!A22</f>
        <v>6</v>
      </c>
      <c r="B24" t="str">
        <f>Crono_Sab!B22</f>
        <v>CASEIRINHO</v>
      </c>
      <c r="C24" s="17">
        <f>Crono_Sab!C22</f>
        <v>45</v>
      </c>
      <c r="D24" t="str">
        <f>IFERROR(VLOOKUP(B24,RECEITAS!A:C,$D$7,FALSE),"")</f>
        <v>DIRETO</v>
      </c>
      <c r="E24" s="1">
        <f>IFERROR(E23+(VLOOKUP($D24,PROCESSO!$B:$P,AP_CRONO_Sab!E$8,FALSE)/24),"")</f>
        <v>0.27083333333333337</v>
      </c>
      <c r="F24" s="1">
        <f>Crono_Sab!E22</f>
        <v>0.40625</v>
      </c>
      <c r="G24" s="1">
        <f>IFERROR(IF(F24=0,"",VLOOKUP($D24,PROCESSO!$B:$P,G$8,FALSE)/24)*IFERROR(IF(#REF!&gt;$B$8,ROUNDUP(#REF!/$B$8,0),1),1)+($A$8/24)+F24,"")</f>
        <v>0.4201388888888889</v>
      </c>
      <c r="H24" s="1">
        <f t="shared" si="3"/>
        <v>0.4201388888888889</v>
      </c>
      <c r="I24" s="1">
        <f>IFERROR(IF(H24=0,"",VLOOKUP($D24,PROCESSO!$B:$P,H$8,FALSE)/24)+($A$8/24)+H24,"")</f>
        <v>0.4236111111111111</v>
      </c>
      <c r="J24" s="1">
        <f>IFERROR(IF(I24=0,"",VLOOKUP($D24,PROCESSO!$B:$P,I$8,FALSE)/24)+($A$8/24)+I24,"")</f>
        <v>0.43194444444444446</v>
      </c>
      <c r="K24" s="1">
        <f>IFERROR(IF(J24=0,"",VLOOKUP($D24,PROCESSO!$B:$P,J$8,FALSE)/24)+($A$8/24)+J24,"")</f>
        <v>0.44027777777777782</v>
      </c>
      <c r="L24" s="1">
        <f>IFERROR(IF(K24=0,"",VLOOKUP($D24,PROCESSO!$B:$P,K$8,FALSE)/24)+($A$8/24)+K24,"")</f>
        <v>0.44375000000000003</v>
      </c>
      <c r="M24" s="1">
        <f>IFERROR(IF(L24=0,"",VLOOKUP($D24,PROCESSO!$B:$P,L$8,FALSE)/24)+($A$8/24)+L24,"")</f>
        <v>0.47152777777777782</v>
      </c>
      <c r="N24" s="1">
        <f>IFERROR(IF(M24=0,"",VLOOKUP($D24,PROCESSO!$B:$P,M$8,FALSE)/24)+($A$8/24)+M24,"")</f>
        <v>0.53750000000000009</v>
      </c>
      <c r="O24" s="1">
        <f>IFERROR(IF(N24=0,"",VLOOKUP($D24,PROCESSO!$B:$P,N$8,FALSE)/24)+($A$8/24)+N24,"")</f>
        <v>0.56180555555555567</v>
      </c>
      <c r="P24" s="1">
        <f>IFERROR(IF(O24=0,"",VLOOKUP($D24,PROCESSO!$B:$P,O$8,FALSE)/24)+($A$8/24)+O24,"")</f>
        <v>0.62777777777777788</v>
      </c>
      <c r="Q24" s="1">
        <f>IFERROR(IF(P24=0,"",VLOOKUP($D24,PROCESSO!$B:$P,P$8,FALSE)/24)+($A$8/24)+P24,"")</f>
        <v>0.66041666666666676</v>
      </c>
      <c r="R24" s="1">
        <f>IFERROR(IF(Q24=0,"",VLOOKUP($D24,PROCESSO!$B:$P,Q$8,FALSE)/24)+($A$8/24)+Q24,"")</f>
        <v>0.7055555555555556</v>
      </c>
      <c r="S24" s="45">
        <f>IFERROR(IFERROR(VLOOKUP(D24,PROCESSO!B:P,15,FALSE),"")/SUMIFS(C:C,A:A,A24),"")</f>
        <v>0.73516134865150851</v>
      </c>
      <c r="T24" s="45">
        <f t="shared" si="4"/>
        <v>33.082260689317884</v>
      </c>
      <c r="U24" s="45">
        <f>IFERROR(VLOOKUP(B24,RECEITAS!A:C,3,FALSE),"")</f>
        <v>2.38</v>
      </c>
      <c r="V24" s="45">
        <f>IFERROR((U24+S24)*(1-ANALISE!$I$4),"")</f>
        <v>3.1151613486515082</v>
      </c>
      <c r="W24" s="45">
        <f t="shared" si="5"/>
        <v>140.18226068931787</v>
      </c>
    </row>
    <row r="25" spans="1:23" x14ac:dyDescent="0.3">
      <c r="A25">
        <f>Crono_Sab!A23</f>
        <v>7</v>
      </c>
      <c r="B25" t="str">
        <f>Crono_Sab!B23</f>
        <v>CASEIRINHO</v>
      </c>
      <c r="C25" s="17">
        <f>Crono_Sab!C23</f>
        <v>45</v>
      </c>
      <c r="D25" t="str">
        <f>IFERROR(VLOOKUP(B25,RECEITAS!A:C,$D$7,FALSE),"")</f>
        <v>DIRETO</v>
      </c>
      <c r="E25" s="1">
        <f>IFERROR(E24+(VLOOKUP($D25,PROCESSO!$B:$P,AP_CRONO_Sab!E$8,FALSE)/24),"")</f>
        <v>0.27638888888888891</v>
      </c>
      <c r="F25" s="1">
        <f>Crono_Sab!E23</f>
        <v>0.4375</v>
      </c>
      <c r="G25" s="1">
        <f>IFERROR(IF(F25=0,"",VLOOKUP($D25,PROCESSO!$B:$P,G$8,FALSE)/24)*IFERROR(IF(#REF!&gt;$B$8,ROUNDUP(#REF!/$B$8,0),1),1)+($A$8/24)+F25,"")</f>
        <v>0.4513888888888889</v>
      </c>
      <c r="H25" s="1">
        <f t="shared" si="3"/>
        <v>0.4513888888888889</v>
      </c>
      <c r="I25" s="1">
        <f>IFERROR(IF(H25=0,"",VLOOKUP($D25,PROCESSO!$B:$P,H$8,FALSE)/24)+($A$8/24)+H25,"")</f>
        <v>0.4548611111111111</v>
      </c>
      <c r="J25" s="1">
        <f>IFERROR(IF(I25=0,"",VLOOKUP($D25,PROCESSO!$B:$P,I$8,FALSE)/24)+($A$8/24)+I25,"")</f>
        <v>0.46319444444444446</v>
      </c>
      <c r="K25" s="1">
        <f>IFERROR(IF(J25=0,"",VLOOKUP($D25,PROCESSO!$B:$P,J$8,FALSE)/24)+($A$8/24)+J25,"")</f>
        <v>0.47152777777777782</v>
      </c>
      <c r="L25" s="1">
        <f>IFERROR(IF(K25=0,"",VLOOKUP($D25,PROCESSO!$B:$P,K$8,FALSE)/24)+($A$8/24)+K25,"")</f>
        <v>0.47500000000000003</v>
      </c>
      <c r="M25" s="1">
        <f>IFERROR(IF(L25=0,"",VLOOKUP($D25,PROCESSO!$B:$P,L$8,FALSE)/24)+($A$8/24)+L25,"")</f>
        <v>0.50277777777777777</v>
      </c>
      <c r="N25" s="1">
        <f>IFERROR(IF(M25=0,"",VLOOKUP($D25,PROCESSO!$B:$P,M$8,FALSE)/24)+($A$8/24)+M25,"")</f>
        <v>0.56874999999999998</v>
      </c>
      <c r="O25" s="1">
        <f>IFERROR(IF(N25=0,"",VLOOKUP($D25,PROCESSO!$B:$P,N$8,FALSE)/24)+($A$8/24)+N25,"")</f>
        <v>0.59305555555555556</v>
      </c>
      <c r="P25" s="1">
        <f>IFERROR(IF(O25=0,"",VLOOKUP($D25,PROCESSO!$B:$P,O$8,FALSE)/24)+($A$8/24)+O25,"")</f>
        <v>0.65902777777777777</v>
      </c>
      <c r="Q25" s="1">
        <f>IFERROR(IF(P25=0,"",VLOOKUP($D25,PROCESSO!$B:$P,P$8,FALSE)/24)+($A$8/24)+P25,"")</f>
        <v>0.69166666666666665</v>
      </c>
      <c r="R25" s="1">
        <f>IFERROR(IF(Q25=0,"",VLOOKUP($D25,PROCESSO!$B:$P,Q$8,FALSE)/24)+($A$8/24)+Q25,"")</f>
        <v>0.73680555555555549</v>
      </c>
      <c r="S25" s="45">
        <f>IFERROR(IFERROR(VLOOKUP(D25,PROCESSO!B:P,15,FALSE),"")/SUMIFS(C:C,A:A,A25),"")</f>
        <v>1.0316764259409503</v>
      </c>
      <c r="T25" s="45">
        <f t="shared" si="4"/>
        <v>46.425439167342766</v>
      </c>
      <c r="U25" s="45">
        <f>IFERROR(VLOOKUP(B25,RECEITAS!A:C,3,FALSE),"")</f>
        <v>2.38</v>
      </c>
      <c r="V25" s="45">
        <f>IFERROR((U25+S25)*(1-ANALISE!$I$4),"")</f>
        <v>3.41167642594095</v>
      </c>
      <c r="W25" s="45">
        <f t="shared" si="5"/>
        <v>153.52543916734274</v>
      </c>
    </row>
    <row r="26" spans="1:23" x14ac:dyDescent="0.3">
      <c r="A26">
        <f>Crono_Sab!A24</f>
        <v>7</v>
      </c>
      <c r="B26" t="str">
        <f>Crono_Sab!B24</f>
        <v>DONUTS</v>
      </c>
      <c r="C26" s="17">
        <f>Crono_Sab!C24</f>
        <v>0</v>
      </c>
      <c r="D26" t="str">
        <f>IFERROR(VLOOKUP(B26,RECEITAS!A:C,$D$7,FALSE),"")</f>
        <v>DIRETO</v>
      </c>
      <c r="E26" s="1">
        <f>IFERROR(E25+(VLOOKUP($D26,PROCESSO!$B:$P,AP_CRONO_Sab!E$8,FALSE)/24),"")</f>
        <v>0.28194444444444444</v>
      </c>
      <c r="F26" s="1">
        <f>Crono_Sab!E24</f>
        <v>0.4375</v>
      </c>
      <c r="G26" s="1">
        <f>IFERROR(IF(F26=0,"",VLOOKUP($D26,PROCESSO!$B:$P,G$8,FALSE)/24)*IFERROR(IF(#REF!&gt;$B$8,ROUNDUP(#REF!/$B$8,0),1),1)+($A$8/24)+F26,"")</f>
        <v>0.4513888888888889</v>
      </c>
      <c r="H26" s="1">
        <f t="shared" si="3"/>
        <v>0.4513888888888889</v>
      </c>
      <c r="I26" s="1">
        <f>IFERROR(IF(H26=0,"",VLOOKUP($D26,PROCESSO!$B:$P,H$8,FALSE)/24)+($A$8/24)+H26,"")</f>
        <v>0.4548611111111111</v>
      </c>
      <c r="J26" s="1">
        <f>IFERROR(IF(I26=0,"",VLOOKUP($D26,PROCESSO!$B:$P,I$8,FALSE)/24)+($A$8/24)+I26,"")</f>
        <v>0.46319444444444446</v>
      </c>
      <c r="K26" s="1">
        <f>IFERROR(IF(J26=0,"",VLOOKUP($D26,PROCESSO!$B:$P,J$8,FALSE)/24)+($A$8/24)+J26,"")</f>
        <v>0.47152777777777782</v>
      </c>
      <c r="L26" s="1">
        <f>IFERROR(IF(K26=0,"",VLOOKUP($D26,PROCESSO!$B:$P,K$8,FALSE)/24)+($A$8/24)+K26,"")</f>
        <v>0.47500000000000003</v>
      </c>
      <c r="M26" s="1">
        <f>IFERROR(IF(L26=0,"",VLOOKUP($D26,PROCESSO!$B:$P,L$8,FALSE)/24)+($A$8/24)+L26,"")</f>
        <v>0.50277777777777777</v>
      </c>
      <c r="N26" s="1">
        <f>IFERROR(IF(M26=0,"",VLOOKUP($D26,PROCESSO!$B:$P,M$8,FALSE)/24)+($A$8/24)+M26,"")</f>
        <v>0.56874999999999998</v>
      </c>
      <c r="O26" s="1">
        <f>IFERROR(IF(N26=0,"",VLOOKUP($D26,PROCESSO!$B:$P,N$8,FALSE)/24)+($A$8/24)+N26,"")</f>
        <v>0.59305555555555556</v>
      </c>
      <c r="P26" s="1">
        <f>IFERROR(IF(O26=0,"",VLOOKUP($D26,PROCESSO!$B:$P,O$8,FALSE)/24)+($A$8/24)+O26,"")</f>
        <v>0.65902777777777777</v>
      </c>
      <c r="Q26" s="1">
        <f>IFERROR(IF(P26=0,"",VLOOKUP($D26,PROCESSO!$B:$P,P$8,FALSE)/24)+($A$8/24)+P26,"")</f>
        <v>0.69166666666666665</v>
      </c>
      <c r="R26" s="1">
        <f>IFERROR(IF(Q26=0,"",VLOOKUP($D26,PROCESSO!$B:$P,Q$8,FALSE)/24)+($A$8/24)+Q26,"")</f>
        <v>0.73680555555555549</v>
      </c>
      <c r="S26" s="45">
        <f>IFERROR(IFERROR(VLOOKUP(D26,PROCESSO!B:P,15,FALSE),"")/SUMIFS(C:C,A:A,A26),"")</f>
        <v>1.0316764259409503</v>
      </c>
      <c r="T26" s="45">
        <f t="shared" si="4"/>
        <v>0</v>
      </c>
      <c r="U26" s="45">
        <f>IFERROR(VLOOKUP(B26,RECEITAS!A:C,3,FALSE),"")</f>
        <v>2.3235487959442338</v>
      </c>
      <c r="V26" s="45">
        <f>IFERROR((U26+S26)*(1-ANALISE!$I$4),"")</f>
        <v>3.3552252218851839</v>
      </c>
      <c r="W26" s="45">
        <f t="shared" si="5"/>
        <v>0</v>
      </c>
    </row>
    <row r="27" spans="1:23" x14ac:dyDescent="0.3">
      <c r="A27">
        <f>Crono_Sab!A25</f>
        <v>0</v>
      </c>
      <c r="B27">
        <f>Crono_Sab!B25</f>
        <v>0</v>
      </c>
      <c r="C27" s="17">
        <f>Crono_Sab!C25</f>
        <v>0</v>
      </c>
      <c r="D27" t="str">
        <f>IFERROR(VLOOKUP(B27,RECEITAS!A:C,$D$7,FALSE),"")</f>
        <v/>
      </c>
      <c r="E27" s="1" t="str">
        <f>IFERROR(E26+(VLOOKUP($D27,PROCESSO!$B:$P,AP_CRONO_Sab!E$8,FALSE)/24),"")</f>
        <v/>
      </c>
      <c r="F27" s="1">
        <f>Crono_Sab!E25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4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5"/>
        <v/>
      </c>
    </row>
    <row r="28" spans="1:23" x14ac:dyDescent="0.3">
      <c r="A28">
        <f>Crono_Sab!A26</f>
        <v>0</v>
      </c>
      <c r="B28">
        <f>Crono_Sab!B26</f>
        <v>0</v>
      </c>
      <c r="C28" s="17">
        <f>Crono_Sab!C26</f>
        <v>0</v>
      </c>
      <c r="D28" t="str">
        <f>IFERROR(VLOOKUP(B28,RECEITAS!A:C,$D$7,FALSE),"")</f>
        <v/>
      </c>
      <c r="E28" s="1" t="str">
        <f>IFERROR(E27+(VLOOKUP($D28,PROCESSO!$B:$P,AP_CRONO_Sab!E$8,FALSE)/24),"")</f>
        <v/>
      </c>
      <c r="F28" s="1">
        <f>Crono_Sab!E26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4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5"/>
        <v/>
      </c>
    </row>
    <row r="29" spans="1:23" x14ac:dyDescent="0.3">
      <c r="A29">
        <f>Crono_Sab!A27</f>
        <v>0</v>
      </c>
      <c r="B29">
        <f>Crono_Sab!B27</f>
        <v>0</v>
      </c>
      <c r="C29" s="17">
        <f>Crono_Sab!C27</f>
        <v>0</v>
      </c>
      <c r="D29" t="str">
        <f>IFERROR(VLOOKUP(B29,RECEITAS!A:C,$D$7,FALSE),"")</f>
        <v/>
      </c>
      <c r="E29" s="1" t="str">
        <f>IFERROR(E28+(VLOOKUP($D29,PROCESSO!$B:$P,AP_CRONO_Sab!E$8,FALSE)/24),"")</f>
        <v/>
      </c>
      <c r="F29" s="1">
        <f>Crono_Sab!E27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4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5"/>
        <v/>
      </c>
    </row>
    <row r="30" spans="1:23" x14ac:dyDescent="0.3">
      <c r="A30">
        <f>Crono_Sab!A28</f>
        <v>0</v>
      </c>
      <c r="B30">
        <f>Crono_Sab!B28</f>
        <v>0</v>
      </c>
      <c r="C30" s="17">
        <f>Crono_Sab!C28</f>
        <v>0</v>
      </c>
      <c r="D30" t="str">
        <f>IFERROR(VLOOKUP(B30,RECEITAS!A:C,$D$7,FALSE),"")</f>
        <v/>
      </c>
      <c r="E30" s="1" t="str">
        <f>IFERROR(E29+(VLOOKUP($D30,PROCESSO!$B:$P,AP_CRONO_Sab!E$8,FALSE)/24),"")</f>
        <v/>
      </c>
      <c r="F30" s="1">
        <f>Crono_Sab!E28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3">
      <c r="A31">
        <f>Crono_Sab!A29</f>
        <v>0</v>
      </c>
      <c r="B31">
        <f>Crono_Sab!B29</f>
        <v>0</v>
      </c>
      <c r="C31" s="17">
        <f>Crono_Sab!C29</f>
        <v>0</v>
      </c>
      <c r="D31" t="str">
        <f>IFERROR(VLOOKUP(B31,RECEITAS!A:C,$D$7,FALSE),"")</f>
        <v/>
      </c>
      <c r="E31" s="1" t="str">
        <f>IFERROR(E30+(VLOOKUP($D31,PROCESSO!$B:$P,AP_CRONO_Sab!E$8,FALSE)/24),"")</f>
        <v/>
      </c>
      <c r="F31" s="1">
        <f>Crono_Sab!E29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ref="H31:H34" si="6">G31</f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ref="T31:T34" si="7">IFERROR(S31*C31,"")</f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ref="W31:W34" si="8">IFERROR(V31*C31,"")</f>
        <v/>
      </c>
    </row>
    <row r="32" spans="1:23" x14ac:dyDescent="0.3">
      <c r="A32">
        <f>Crono_Sab!A30</f>
        <v>0</v>
      </c>
      <c r="B32">
        <f>Crono_Sab!B30</f>
        <v>0</v>
      </c>
      <c r="C32" s="17">
        <f>Crono_Sab!C30</f>
        <v>0</v>
      </c>
      <c r="D32" t="str">
        <f>IFERROR(VLOOKUP(B32,RECEITAS!A:C,$D$7,FALSE),"")</f>
        <v/>
      </c>
      <c r="E32" s="1" t="str">
        <f>IFERROR(E31+(VLOOKUP($D32,PROCESSO!$B:$P,AP_CRONO_Sab!E$8,FALSE)/24),"")</f>
        <v/>
      </c>
      <c r="F32" s="1">
        <f>Crono_Sab!E30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3">
      <c r="A33">
        <f>Crono_Sab!A31</f>
        <v>0</v>
      </c>
      <c r="B33">
        <f>Crono_Sab!B31</f>
        <v>0</v>
      </c>
      <c r="C33" s="17">
        <f>Crono_Sab!C31</f>
        <v>0</v>
      </c>
      <c r="D33" t="str">
        <f>IFERROR(VLOOKUP(B33,RECEITAS!A:C,$D$7,FALSE),"")</f>
        <v/>
      </c>
      <c r="E33" s="1" t="str">
        <f>IFERROR(E32+(VLOOKUP($D33,PROCESSO!$B:$P,AP_CRONO_Sab!E$8,FALSE)/24),"")</f>
        <v/>
      </c>
      <c r="F33" s="1">
        <f>Crono_Sab!E31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3">
      <c r="A34">
        <f>Crono_Sab!A32</f>
        <v>0</v>
      </c>
      <c r="B34">
        <f>Crono_Sab!B32</f>
        <v>0</v>
      </c>
      <c r="C34" s="17">
        <f>Crono_Sab!C32</f>
        <v>0</v>
      </c>
      <c r="D34" t="str">
        <f>IFERROR(VLOOKUP(B34,RECEITAS!A:C,$D$7,FALSE),"")</f>
        <v/>
      </c>
      <c r="E34" s="1" t="str">
        <f>IFERROR(E33+(VLOOKUP($D34,PROCESSO!$B:$P,AP_CRONO_Sab!E$8,FALSE)/24),"")</f>
        <v/>
      </c>
      <c r="F34" s="1">
        <f>Crono_Sab!E32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DFF5-6E4E-4424-B3A3-FAF9DB67CE60}">
  <sheetPr codeName="Planilha1"/>
  <dimension ref="A1:P5"/>
  <sheetViews>
    <sheetView workbookViewId="0">
      <selection activeCell="M10" sqref="M10"/>
    </sheetView>
  </sheetViews>
  <sheetFormatPr defaultRowHeight="14.4" x14ac:dyDescent="0.3"/>
  <cols>
    <col min="1" max="1" width="15.21875" bestFit="1" customWidth="1"/>
    <col min="2" max="3" width="12" bestFit="1" customWidth="1"/>
    <col min="4" max="4" width="11.109375" bestFit="1" customWidth="1"/>
    <col min="5" max="5" width="15.21875" bestFit="1" customWidth="1"/>
    <col min="6" max="7" width="12" bestFit="1" customWidth="1"/>
    <col min="8" max="8" width="11.33203125" bestFit="1" customWidth="1"/>
    <col min="12" max="12" width="14.88671875" customWidth="1"/>
    <col min="14" max="15" width="12" bestFit="1" customWidth="1"/>
    <col min="16" max="16" width="12.44140625" bestFit="1" customWidth="1"/>
  </cols>
  <sheetData>
    <row r="1" spans="1:16" x14ac:dyDescent="0.3">
      <c r="A1" s="2" t="s">
        <v>0</v>
      </c>
      <c r="B1" s="2"/>
      <c r="C1" s="3" t="s">
        <v>1</v>
      </c>
      <c r="D1" s="4" t="s">
        <v>2</v>
      </c>
      <c r="E1" s="5" t="s">
        <v>3</v>
      </c>
      <c r="F1" s="3" t="s">
        <v>4</v>
      </c>
      <c r="G1" s="3" t="s">
        <v>5</v>
      </c>
      <c r="H1" s="5" t="s">
        <v>6</v>
      </c>
      <c r="I1" s="3" t="s">
        <v>7</v>
      </c>
      <c r="J1" s="5" t="s">
        <v>8</v>
      </c>
      <c r="K1" s="4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67</v>
      </c>
    </row>
    <row r="2" spans="1:16" ht="14.4" customHeight="1" x14ac:dyDescent="0.3">
      <c r="A2" s="7" t="s">
        <v>14</v>
      </c>
      <c r="B2" s="6" t="s">
        <v>15</v>
      </c>
      <c r="C2" s="6">
        <f>8/60</f>
        <v>0.13333333333333333</v>
      </c>
      <c r="D2" s="6">
        <f>15/60</f>
        <v>0.25</v>
      </c>
      <c r="E2" s="6">
        <v>0</v>
      </c>
      <c r="F2" s="6">
        <f>14*(0.5/60)</f>
        <v>0.11666666666666667</v>
      </c>
      <c r="G2" s="6">
        <f>14*(0.5/60)</f>
        <v>0.11666666666666667</v>
      </c>
      <c r="H2" s="6">
        <v>0</v>
      </c>
      <c r="I2" s="6">
        <f>14*(2.5/60)</f>
        <v>0.58333333333333326</v>
      </c>
      <c r="J2" s="6">
        <v>1.5</v>
      </c>
      <c r="K2" s="6">
        <v>0.5</v>
      </c>
      <c r="L2" s="6">
        <f>90/60</f>
        <v>1.5</v>
      </c>
      <c r="M2" s="6">
        <f>14*(3/60)</f>
        <v>0.70000000000000007</v>
      </c>
      <c r="N2" s="6">
        <v>1</v>
      </c>
      <c r="O2" s="6">
        <f>14*(0.5/60)</f>
        <v>0.11666666666666667</v>
      </c>
      <c r="P2" s="15">
        <v>46.425439167342766</v>
      </c>
    </row>
    <row r="3" spans="1:16" x14ac:dyDescent="0.3">
      <c r="A3" s="7"/>
      <c r="B3" s="6" t="s">
        <v>16</v>
      </c>
      <c r="C3" s="6">
        <f>8/60</f>
        <v>0.13333333333333333</v>
      </c>
      <c r="D3" s="6">
        <f>15/60</f>
        <v>0.25</v>
      </c>
      <c r="E3" s="6">
        <v>0</v>
      </c>
      <c r="F3" s="6">
        <v>1</v>
      </c>
      <c r="G3" s="6">
        <f>45/0.3*(10/60/60)</f>
        <v>0.41666666666666663</v>
      </c>
      <c r="H3" s="6">
        <f>40/60</f>
        <v>0.66666666666666663</v>
      </c>
      <c r="I3" s="6">
        <f>45/0.3*(10/60/60)</f>
        <v>0.41666666666666663</v>
      </c>
      <c r="J3" s="6">
        <v>1</v>
      </c>
      <c r="K3" s="6">
        <f>40/60</f>
        <v>0.66666666666666663</v>
      </c>
      <c r="L3" s="6">
        <v>1.5</v>
      </c>
      <c r="M3" s="6">
        <v>0</v>
      </c>
      <c r="N3" s="6">
        <v>1</v>
      </c>
      <c r="O3" s="6">
        <f>45/0.3*(1/60/60)</f>
        <v>4.1666666666666664E-2</v>
      </c>
      <c r="P3" s="15">
        <v>49.403396803236198</v>
      </c>
    </row>
    <row r="4" spans="1:16" x14ac:dyDescent="0.3">
      <c r="A4" s="7"/>
      <c r="B4" s="6" t="s">
        <v>17</v>
      </c>
      <c r="C4" s="6">
        <f>8/60</f>
        <v>0.13333333333333333</v>
      </c>
      <c r="D4" s="6">
        <v>0.25</v>
      </c>
      <c r="E4" s="6">
        <v>8</v>
      </c>
      <c r="F4" s="6">
        <v>0</v>
      </c>
      <c r="G4" s="6">
        <f>45/0.3*(10/60/60)</f>
        <v>0.41666666666666663</v>
      </c>
      <c r="H4" s="6">
        <f>40/60</f>
        <v>0.66666666666666663</v>
      </c>
      <c r="I4" s="6">
        <v>1</v>
      </c>
      <c r="J4" s="6"/>
      <c r="K4" s="6"/>
      <c r="L4" s="6"/>
      <c r="M4" s="6"/>
      <c r="N4" s="6">
        <v>1</v>
      </c>
      <c r="O4" s="6">
        <f>14*(0.5/60)</f>
        <v>0.11666666666666667</v>
      </c>
      <c r="P4" s="15">
        <v>191.75855894964286</v>
      </c>
    </row>
    <row r="5" spans="1:16" x14ac:dyDescent="0.3">
      <c r="A5" s="7"/>
      <c r="B5" s="6" t="s">
        <v>18</v>
      </c>
      <c r="C5" s="6">
        <f>8/60</f>
        <v>0.13333333333333333</v>
      </c>
      <c r="D5" s="6">
        <v>1</v>
      </c>
      <c r="E5" s="6">
        <v>8</v>
      </c>
      <c r="F5" s="6">
        <f>14*(0.5/60)</f>
        <v>0.11666666666666667</v>
      </c>
      <c r="G5" s="6">
        <f>14*(0.5/60)</f>
        <v>0.11666666666666667</v>
      </c>
      <c r="H5" s="6">
        <v>2</v>
      </c>
      <c r="I5" s="6">
        <f>14*(2.5/60)</f>
        <v>0.58333333333333326</v>
      </c>
      <c r="J5" s="6">
        <v>3</v>
      </c>
      <c r="K5" s="6">
        <v>0.5</v>
      </c>
      <c r="L5" s="6">
        <v>8</v>
      </c>
      <c r="M5" s="6">
        <v>0</v>
      </c>
      <c r="N5" s="6">
        <v>1</v>
      </c>
      <c r="O5" s="6">
        <f>14*(0.5/60)</f>
        <v>0.11666666666666667</v>
      </c>
      <c r="P5" s="15">
        <v>82.395708168762539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2F36-7B29-4FA1-A076-55FA44124573}">
  <sheetPr codeName="Planilha2"/>
  <dimension ref="A1:L51"/>
  <sheetViews>
    <sheetView workbookViewId="0">
      <selection activeCell="A41" sqref="A41"/>
    </sheetView>
  </sheetViews>
  <sheetFormatPr defaultRowHeight="14.4" x14ac:dyDescent="0.3"/>
  <cols>
    <col min="1" max="1" width="31.33203125" bestFit="1" customWidth="1"/>
    <col min="2" max="2" width="21" bestFit="1" customWidth="1"/>
    <col min="3" max="4" width="9.44140625" bestFit="1" customWidth="1"/>
    <col min="5" max="5" width="9.44140625" customWidth="1"/>
    <col min="6" max="6" width="9.44140625" bestFit="1" customWidth="1"/>
    <col min="7" max="7" width="12.6640625" customWidth="1"/>
    <col min="8" max="8" width="7" bestFit="1" customWidth="1"/>
    <col min="9" max="9" width="8" bestFit="1" customWidth="1"/>
    <col min="11" max="11" width="9.44140625" bestFit="1" customWidth="1"/>
  </cols>
  <sheetData>
    <row r="1" spans="1:12" ht="28.8" x14ac:dyDescent="0.3">
      <c r="A1" s="8"/>
      <c r="B1" s="8" t="s">
        <v>37</v>
      </c>
      <c r="C1" s="8"/>
      <c r="D1" s="8">
        <v>45</v>
      </c>
      <c r="E1" s="8"/>
      <c r="G1" s="21" t="s">
        <v>38</v>
      </c>
      <c r="H1" s="9">
        <v>0.05</v>
      </c>
      <c r="I1" s="8"/>
      <c r="J1" s="8"/>
    </row>
    <row r="2" spans="1:12" x14ac:dyDescent="0.3">
      <c r="A2" s="8"/>
      <c r="B2" s="8"/>
      <c r="C2" s="8"/>
      <c r="D2" s="8"/>
      <c r="E2" s="8"/>
      <c r="F2" s="8"/>
      <c r="G2" s="8"/>
      <c r="H2" s="8"/>
      <c r="I2" s="8"/>
      <c r="J2" s="8"/>
    </row>
    <row r="3" spans="1:12" ht="57.6" x14ac:dyDescent="0.3">
      <c r="A3" s="10" t="s">
        <v>39</v>
      </c>
      <c r="B3" s="10" t="s">
        <v>0</v>
      </c>
      <c r="C3" s="10" t="s">
        <v>40</v>
      </c>
      <c r="D3" s="10" t="s">
        <v>71</v>
      </c>
      <c r="E3" s="10" t="s">
        <v>70</v>
      </c>
      <c r="F3" s="10" t="s">
        <v>42</v>
      </c>
      <c r="G3" s="10" t="s">
        <v>41</v>
      </c>
      <c r="H3" s="10" t="s">
        <v>43</v>
      </c>
      <c r="I3" s="10" t="s">
        <v>44</v>
      </c>
      <c r="J3" s="10" t="s">
        <v>45</v>
      </c>
      <c r="K3" s="10" t="s">
        <v>72</v>
      </c>
      <c r="L3" s="10" t="s">
        <v>73</v>
      </c>
    </row>
    <row r="4" spans="1:12" x14ac:dyDescent="0.3">
      <c r="A4" s="8" t="s">
        <v>18</v>
      </c>
      <c r="B4" s="8" t="s">
        <v>18</v>
      </c>
      <c r="C4" s="11">
        <v>16</v>
      </c>
      <c r="D4" s="12">
        <v>3.3620183333333333</v>
      </c>
      <c r="E4" s="12">
        <f t="shared" ref="E4:E44" si="0">D4+C4</f>
        <v>19.362018333333332</v>
      </c>
      <c r="F4" s="12">
        <v>33.9366515837104</v>
      </c>
      <c r="G4" s="13">
        <v>15</v>
      </c>
      <c r="H4" s="14">
        <v>0.47146666666666676</v>
      </c>
      <c r="I4" s="14">
        <v>9.9067473555555577E-2</v>
      </c>
      <c r="J4" s="14">
        <v>0.57053414022222226</v>
      </c>
      <c r="K4" s="19">
        <f>F4-C4</f>
        <v>17.9366515837104</v>
      </c>
      <c r="L4" s="20">
        <f>K4/F4</f>
        <v>0.52853333333333319</v>
      </c>
    </row>
    <row r="5" spans="1:12" x14ac:dyDescent="0.3">
      <c r="A5" s="8" t="s">
        <v>29</v>
      </c>
      <c r="B5" s="8" t="s">
        <v>16</v>
      </c>
      <c r="C5" s="11">
        <v>2.206347678369196</v>
      </c>
      <c r="D5" s="12">
        <v>2.0811558333333333</v>
      </c>
      <c r="E5" s="12">
        <f t="shared" si="0"/>
        <v>4.2875035117025293</v>
      </c>
      <c r="F5" s="12">
        <v>6.9952305246422917</v>
      </c>
      <c r="G5" s="13">
        <v>21</v>
      </c>
      <c r="H5" s="14">
        <v>0.31540742947595996</v>
      </c>
      <c r="I5" s="14">
        <v>0.29751068617424231</v>
      </c>
      <c r="J5" s="14">
        <v>0.61291811565020227</v>
      </c>
      <c r="K5" s="19">
        <f t="shared" ref="K5:K44" si="1">F5-C5</f>
        <v>4.7888828462730952</v>
      </c>
      <c r="L5" s="20">
        <f t="shared" ref="L5:L44" si="2">K5/F5</f>
        <v>0.68459257052403999</v>
      </c>
    </row>
    <row r="6" spans="1:12" x14ac:dyDescent="0.3">
      <c r="A6" s="8" t="s">
        <v>26</v>
      </c>
      <c r="B6" s="8" t="s">
        <v>16</v>
      </c>
      <c r="C6" s="11">
        <v>4.2629144274493598</v>
      </c>
      <c r="D6" s="12">
        <v>13.590052620176401</v>
      </c>
      <c r="E6" s="12">
        <f t="shared" si="0"/>
        <v>17.852967047625761</v>
      </c>
      <c r="F6" s="12">
        <v>13.57253127495339</v>
      </c>
      <c r="G6" s="13">
        <v>3.2159016393442572</v>
      </c>
      <c r="H6" s="14">
        <v>0.31408396422825702</v>
      </c>
      <c r="I6" s="14">
        <v>1.0012909415987381</v>
      </c>
      <c r="J6" s="14">
        <v>1.315374905826995</v>
      </c>
      <c r="K6" s="19">
        <f t="shared" si="1"/>
        <v>9.3096168475040297</v>
      </c>
      <c r="L6" s="20">
        <f t="shared" si="2"/>
        <v>0.68591603577174298</v>
      </c>
    </row>
    <row r="7" spans="1:12" x14ac:dyDescent="0.3">
      <c r="A7" s="8" t="s">
        <v>51</v>
      </c>
      <c r="B7" s="8" t="s">
        <v>15</v>
      </c>
      <c r="C7" s="11">
        <v>3.3569775902496781</v>
      </c>
      <c r="D7" s="12">
        <v>8.2518191115702475</v>
      </c>
      <c r="E7" s="12">
        <f t="shared" si="0"/>
        <v>11.608796701819927</v>
      </c>
      <c r="F7" s="12">
        <v>12.509620670698213</v>
      </c>
      <c r="G7" s="13">
        <v>5.5540983606557388</v>
      </c>
      <c r="H7" s="14">
        <v>0.26835166937658322</v>
      </c>
      <c r="I7" s="14">
        <v>0.65963783625340577</v>
      </c>
      <c r="J7" s="14">
        <v>0.92798950562998905</v>
      </c>
      <c r="K7" s="19">
        <f t="shared" si="1"/>
        <v>9.1526430804485344</v>
      </c>
      <c r="L7" s="20">
        <f t="shared" si="2"/>
        <v>0.73164833062341672</v>
      </c>
    </row>
    <row r="8" spans="1:12" x14ac:dyDescent="0.3">
      <c r="A8" s="8" t="s">
        <v>27</v>
      </c>
      <c r="B8" s="8" t="s">
        <v>15</v>
      </c>
      <c r="C8" s="11">
        <v>2.6739550191991226</v>
      </c>
      <c r="D8" s="12">
        <v>5.092379444444445</v>
      </c>
      <c r="E8" s="12">
        <f t="shared" si="0"/>
        <v>7.7663344636435676</v>
      </c>
      <c r="F8" s="12">
        <v>10.588235294117645</v>
      </c>
      <c r="G8" s="13">
        <v>9</v>
      </c>
      <c r="H8" s="14">
        <v>0.25254019625769497</v>
      </c>
      <c r="I8" s="14">
        <v>0.48094694753086437</v>
      </c>
      <c r="J8" s="14">
        <v>0.73348714378855928</v>
      </c>
      <c r="K8" s="19">
        <f t="shared" si="1"/>
        <v>7.9142802749185224</v>
      </c>
      <c r="L8" s="20">
        <f t="shared" si="2"/>
        <v>0.74745980374230503</v>
      </c>
    </row>
    <row r="9" spans="1:12" x14ac:dyDescent="0.3">
      <c r="A9" s="8" t="s">
        <v>115</v>
      </c>
      <c r="B9" s="8" t="s">
        <v>16</v>
      </c>
      <c r="C9" s="11">
        <v>2.6739550191991226</v>
      </c>
      <c r="D9" s="12">
        <v>14.568090833333335</v>
      </c>
      <c r="E9" s="12">
        <f t="shared" si="0"/>
        <v>17.242045852532456</v>
      </c>
      <c r="F9" s="12">
        <v>10.588235294117647</v>
      </c>
      <c r="G9" s="13">
        <v>3</v>
      </c>
      <c r="H9" s="14">
        <v>0.25254019625769492</v>
      </c>
      <c r="I9" s="14">
        <v>1.3758752453703704</v>
      </c>
      <c r="J9" s="14">
        <v>1.6284154416280654</v>
      </c>
      <c r="K9" s="19">
        <f t="shared" si="1"/>
        <v>7.9142802749185241</v>
      </c>
      <c r="L9" s="20">
        <f t="shared" si="2"/>
        <v>0.74745980374230503</v>
      </c>
    </row>
    <row r="10" spans="1:12" x14ac:dyDescent="0.3">
      <c r="A10" s="8" t="s">
        <v>64</v>
      </c>
      <c r="B10" s="8" t="s">
        <v>16</v>
      </c>
      <c r="C10" s="11">
        <v>2.6739550191991226</v>
      </c>
      <c r="D10" s="12">
        <v>14.568090833333335</v>
      </c>
      <c r="E10" s="12">
        <f t="shared" si="0"/>
        <v>17.242045852532456</v>
      </c>
      <c r="F10" s="12">
        <v>11.568627450980388</v>
      </c>
      <c r="G10" s="13">
        <v>3</v>
      </c>
      <c r="H10" s="14">
        <v>0.23113848471043272</v>
      </c>
      <c r="I10" s="14">
        <v>1.2592756483050853</v>
      </c>
      <c r="J10" s="14">
        <v>1.4904141330155178</v>
      </c>
      <c r="K10" s="19">
        <f t="shared" si="1"/>
        <v>8.8946724317812667</v>
      </c>
      <c r="L10" s="20">
        <f t="shared" si="2"/>
        <v>0.76886151528956737</v>
      </c>
    </row>
    <row r="11" spans="1:12" x14ac:dyDescent="0.3">
      <c r="A11" s="8" t="s">
        <v>63</v>
      </c>
      <c r="B11" s="8" t="s">
        <v>16</v>
      </c>
      <c r="C11" s="11">
        <v>6.0892506459948308</v>
      </c>
      <c r="D11" s="12">
        <v>14.568090833333335</v>
      </c>
      <c r="E11" s="12">
        <f t="shared" si="0"/>
        <v>20.657341479328167</v>
      </c>
      <c r="F11" s="12">
        <v>26.47058823529412</v>
      </c>
      <c r="G11" s="13">
        <v>3</v>
      </c>
      <c r="H11" s="14">
        <v>0.23003835773758249</v>
      </c>
      <c r="I11" s="14">
        <v>0.55035009814814817</v>
      </c>
      <c r="J11" s="14">
        <v>0.78038845588573069</v>
      </c>
      <c r="K11" s="19">
        <f t="shared" si="1"/>
        <v>20.381337589299289</v>
      </c>
      <c r="L11" s="20">
        <f t="shared" si="2"/>
        <v>0.76996164226241748</v>
      </c>
    </row>
    <row r="12" spans="1:12" x14ac:dyDescent="0.3">
      <c r="A12" s="8" t="s">
        <v>56</v>
      </c>
      <c r="B12" s="8" t="s">
        <v>16</v>
      </c>
      <c r="C12" s="11">
        <v>2.6739550191991226</v>
      </c>
      <c r="D12" s="12">
        <v>14.568090833333335</v>
      </c>
      <c r="E12" s="12">
        <f t="shared" si="0"/>
        <v>17.242045852532456</v>
      </c>
      <c r="F12" s="12">
        <v>11.741631955889831</v>
      </c>
      <c r="G12" s="13">
        <v>3</v>
      </c>
      <c r="H12" s="14">
        <v>0.22773282532142516</v>
      </c>
      <c r="I12" s="14">
        <v>1.2407211270172454</v>
      </c>
      <c r="J12" s="14">
        <v>1.4684539523386704</v>
      </c>
      <c r="K12" s="19">
        <f t="shared" si="1"/>
        <v>9.0676769366907095</v>
      </c>
      <c r="L12" s="20">
        <f t="shared" si="2"/>
        <v>0.77226717467857486</v>
      </c>
    </row>
    <row r="13" spans="1:12" x14ac:dyDescent="0.3">
      <c r="A13" s="8" t="s">
        <v>54</v>
      </c>
      <c r="B13" s="8" t="s">
        <v>15</v>
      </c>
      <c r="C13" s="11">
        <v>2.3235487959442338</v>
      </c>
      <c r="D13" s="12">
        <v>7.3748089240022141</v>
      </c>
      <c r="E13" s="12">
        <f t="shared" si="0"/>
        <v>9.698357719946447</v>
      </c>
      <c r="F13" s="12">
        <v>10.390581935585491</v>
      </c>
      <c r="G13" s="13">
        <v>6.214590163934429</v>
      </c>
      <c r="H13" s="14">
        <v>0.22362066055093438</v>
      </c>
      <c r="I13" s="14">
        <v>0.70975898844944307</v>
      </c>
      <c r="J13" s="14">
        <v>0.9333796490003774</v>
      </c>
      <c r="K13" s="19">
        <f t="shared" si="1"/>
        <v>8.0670331396412571</v>
      </c>
      <c r="L13" s="20">
        <f t="shared" si="2"/>
        <v>0.77637933944906556</v>
      </c>
    </row>
    <row r="14" spans="1:12" x14ac:dyDescent="0.3">
      <c r="A14" s="8" t="s">
        <v>32</v>
      </c>
      <c r="B14" s="8" t="s">
        <v>15</v>
      </c>
      <c r="C14" s="11">
        <v>3.802317938072997</v>
      </c>
      <c r="D14" s="12">
        <v>8.7340660484442054</v>
      </c>
      <c r="E14" s="12">
        <f t="shared" si="0"/>
        <v>12.536383986517203</v>
      </c>
      <c r="F14" s="12">
        <v>17.658205501944213</v>
      </c>
      <c r="G14" s="13">
        <v>5.2474316939890713</v>
      </c>
      <c r="H14" s="14">
        <v>0.21532867185481289</v>
      </c>
      <c r="I14" s="14">
        <v>0.49461798637933863</v>
      </c>
      <c r="J14" s="14">
        <v>0.7099466582341516</v>
      </c>
      <c r="K14" s="19">
        <f t="shared" si="1"/>
        <v>13.855887563871216</v>
      </c>
      <c r="L14" s="20">
        <f t="shared" si="2"/>
        <v>0.78467132814518703</v>
      </c>
    </row>
    <row r="15" spans="1:12" x14ac:dyDescent="0.3">
      <c r="A15" s="8" t="s">
        <v>22</v>
      </c>
      <c r="B15" s="8" t="s">
        <v>15</v>
      </c>
      <c r="C15" s="11">
        <v>4.2629144274493598</v>
      </c>
      <c r="D15" s="12">
        <v>10.668501252925591</v>
      </c>
      <c r="E15" s="12">
        <f t="shared" si="0"/>
        <v>14.93141568037495</v>
      </c>
      <c r="F15" s="12">
        <v>21.13987530496059</v>
      </c>
      <c r="G15" s="13">
        <v>4.2959562841530152</v>
      </c>
      <c r="H15" s="14">
        <v>0.20165277069770809</v>
      </c>
      <c r="I15" s="14">
        <v>0.50466244947159966</v>
      </c>
      <c r="J15" s="14">
        <v>0.7063152201693077</v>
      </c>
      <c r="K15" s="19">
        <f t="shared" si="1"/>
        <v>16.87696087751123</v>
      </c>
      <c r="L15" s="20">
        <f t="shared" si="2"/>
        <v>0.79834722930229196</v>
      </c>
    </row>
    <row r="16" spans="1:12" x14ac:dyDescent="0.3">
      <c r="A16" s="8" t="s">
        <v>48</v>
      </c>
      <c r="B16" s="8" t="s">
        <v>16</v>
      </c>
      <c r="C16" s="11">
        <v>2.4490459229898076</v>
      </c>
      <c r="D16" s="12">
        <v>14.568090833333335</v>
      </c>
      <c r="E16" s="12">
        <f t="shared" si="0"/>
        <v>17.017136756323143</v>
      </c>
      <c r="F16" s="12">
        <v>12.624434389140273</v>
      </c>
      <c r="G16" s="13">
        <v>3</v>
      </c>
      <c r="H16" s="14">
        <v>0.19399252651639692</v>
      </c>
      <c r="I16" s="14">
        <v>1.1539598832138589</v>
      </c>
      <c r="J16" s="14">
        <v>1.347952409730256</v>
      </c>
      <c r="K16" s="19">
        <f t="shared" si="1"/>
        <v>10.175388466150466</v>
      </c>
      <c r="L16" s="20">
        <f t="shared" si="2"/>
        <v>0.80600747348360313</v>
      </c>
    </row>
    <row r="17" spans="1:12" x14ac:dyDescent="0.3">
      <c r="A17" s="8" t="s">
        <v>65</v>
      </c>
      <c r="B17" s="8" t="s">
        <v>16</v>
      </c>
      <c r="C17" s="11">
        <v>16</v>
      </c>
      <c r="D17" s="12">
        <v>14.568090833333335</v>
      </c>
      <c r="E17" s="12">
        <f t="shared" si="0"/>
        <v>30.568090833333336</v>
      </c>
      <c r="F17" s="12">
        <v>84.033613445378151</v>
      </c>
      <c r="G17" s="13">
        <v>3</v>
      </c>
      <c r="H17" s="14">
        <v>0.19040000000000001</v>
      </c>
      <c r="I17" s="14">
        <v>0.17336028091666669</v>
      </c>
      <c r="J17" s="14">
        <v>0.36376028091666668</v>
      </c>
      <c r="K17" s="19">
        <f t="shared" si="1"/>
        <v>68.033613445378151</v>
      </c>
      <c r="L17" s="20">
        <f t="shared" si="2"/>
        <v>0.80959999999999999</v>
      </c>
    </row>
    <row r="18" spans="1:12" x14ac:dyDescent="0.3">
      <c r="A18" s="8" t="s">
        <v>34</v>
      </c>
      <c r="B18" s="8" t="s">
        <v>16</v>
      </c>
      <c r="C18" s="11">
        <v>2.4490459229898076</v>
      </c>
      <c r="D18" s="12">
        <v>14.568090833333335</v>
      </c>
      <c r="E18" s="12">
        <f t="shared" si="0"/>
        <v>17.017136756323143</v>
      </c>
      <c r="F18" s="12">
        <v>14.117647058823527</v>
      </c>
      <c r="G18" s="13">
        <v>3</v>
      </c>
      <c r="H18" s="14">
        <v>0.17347408621177807</v>
      </c>
      <c r="I18" s="14">
        <v>1.0319064340277779</v>
      </c>
      <c r="J18" s="14">
        <v>1.2053805202395562</v>
      </c>
      <c r="K18" s="19">
        <f t="shared" si="1"/>
        <v>11.66860113583372</v>
      </c>
      <c r="L18" s="20">
        <f t="shared" si="2"/>
        <v>0.82652591378822193</v>
      </c>
    </row>
    <row r="19" spans="1:12" x14ac:dyDescent="0.3">
      <c r="A19" s="8" t="s">
        <v>24</v>
      </c>
      <c r="B19" s="8" t="s">
        <v>16</v>
      </c>
      <c r="C19" s="11">
        <v>2.046595017783527</v>
      </c>
      <c r="D19" s="12">
        <v>5.8477727739675975</v>
      </c>
      <c r="E19" s="12">
        <f t="shared" si="0"/>
        <v>7.8943677917511241</v>
      </c>
      <c r="F19" s="12">
        <v>11.92405974796864</v>
      </c>
      <c r="G19" s="13">
        <v>7.4736612021857898</v>
      </c>
      <c r="H19" s="14">
        <v>0.17163575670041248</v>
      </c>
      <c r="I19" s="14">
        <v>0.49041793630427027</v>
      </c>
      <c r="J19" s="14">
        <v>0.66205369300468275</v>
      </c>
      <c r="K19" s="19">
        <f t="shared" si="1"/>
        <v>9.8774647301851122</v>
      </c>
      <c r="L19" s="20">
        <f t="shared" si="2"/>
        <v>0.82836424329958747</v>
      </c>
    </row>
    <row r="20" spans="1:12" x14ac:dyDescent="0.3">
      <c r="A20" s="8" t="s">
        <v>33</v>
      </c>
      <c r="B20" s="8" t="s">
        <v>15</v>
      </c>
      <c r="C20" s="11">
        <v>2.8814478282576137</v>
      </c>
      <c r="D20" s="12">
        <v>4.7266455585987686</v>
      </c>
      <c r="E20" s="12">
        <f t="shared" si="0"/>
        <v>7.6080933868563818</v>
      </c>
      <c r="F20" s="12">
        <v>18.166360294117631</v>
      </c>
      <c r="G20" s="13">
        <v>9.6963934426229539</v>
      </c>
      <c r="H20" s="14">
        <v>0.15861448202096062</v>
      </c>
      <c r="I20" s="14">
        <v>0.26018671225679052</v>
      </c>
      <c r="J20" s="14">
        <v>0.41880119427775114</v>
      </c>
      <c r="K20" s="19">
        <f t="shared" si="1"/>
        <v>15.284912465860018</v>
      </c>
      <c r="L20" s="20">
        <f t="shared" si="2"/>
        <v>0.84138551797903938</v>
      </c>
    </row>
    <row r="21" spans="1:12" x14ac:dyDescent="0.3">
      <c r="A21" s="8" t="s">
        <v>46</v>
      </c>
      <c r="B21" s="8" t="s">
        <v>16</v>
      </c>
      <c r="C21" s="11">
        <v>2.206347678369196</v>
      </c>
      <c r="D21" s="12">
        <v>8.1552787473233401</v>
      </c>
      <c r="E21" s="12">
        <f t="shared" si="0"/>
        <v>10.361626425692537</v>
      </c>
      <c r="F21" s="12">
        <v>14.140291906236181</v>
      </c>
      <c r="G21" s="13">
        <v>5.3590163934426238</v>
      </c>
      <c r="H21" s="14">
        <v>0.15603268256408115</v>
      </c>
      <c r="I21" s="14">
        <v>0.57674048042294535</v>
      </c>
      <c r="J21" s="14">
        <v>0.73277316298702655</v>
      </c>
      <c r="K21" s="19">
        <f t="shared" si="1"/>
        <v>11.933944227866984</v>
      </c>
      <c r="L21" s="20">
        <f t="shared" si="2"/>
        <v>0.8439673174359188</v>
      </c>
    </row>
    <row r="22" spans="1:12" x14ac:dyDescent="0.3">
      <c r="A22" s="8" t="s">
        <v>21</v>
      </c>
      <c r="B22" s="8" t="s">
        <v>15</v>
      </c>
      <c r="C22" s="11">
        <v>2.38</v>
      </c>
      <c r="D22" s="12">
        <v>1.0184758888888892</v>
      </c>
      <c r="E22" s="12">
        <f t="shared" si="0"/>
        <v>3.3984758888888891</v>
      </c>
      <c r="F22" s="12">
        <v>14.925574379146092</v>
      </c>
      <c r="G22" s="13">
        <v>85.215846994535141</v>
      </c>
      <c r="H22" s="14">
        <v>0.15567567029049684</v>
      </c>
      <c r="I22" s="14">
        <v>6.8236964489078331E-2</v>
      </c>
      <c r="J22" s="14">
        <v>0.22391263477957515</v>
      </c>
      <c r="K22" s="19">
        <f t="shared" si="1"/>
        <v>12.545574379146093</v>
      </c>
      <c r="L22" s="20">
        <f t="shared" si="2"/>
        <v>0.8405421500344189</v>
      </c>
    </row>
    <row r="23" spans="1:12" x14ac:dyDescent="0.3">
      <c r="A23" s="8" t="s">
        <v>52</v>
      </c>
      <c r="B23" s="8" t="s">
        <v>16</v>
      </c>
      <c r="C23" s="12">
        <v>2.046595017783527</v>
      </c>
      <c r="D23" s="12">
        <v>14.568090833333335</v>
      </c>
      <c r="E23" s="12">
        <f t="shared" si="0"/>
        <v>16.61468585111686</v>
      </c>
      <c r="F23" s="12">
        <v>14.084967320261443</v>
      </c>
      <c r="G23" s="13">
        <v>3</v>
      </c>
      <c r="H23" s="14">
        <v>0.14530349778231069</v>
      </c>
      <c r="I23" s="14">
        <v>1.0343006484918791</v>
      </c>
      <c r="J23" s="14">
        <v>1.1796041462741897</v>
      </c>
      <c r="K23" s="19">
        <f t="shared" si="1"/>
        <v>12.038372302477915</v>
      </c>
      <c r="L23" s="20">
        <f t="shared" si="2"/>
        <v>0.85469650221768934</v>
      </c>
    </row>
    <row r="24" spans="1:12" x14ac:dyDescent="0.3">
      <c r="A24" s="8" t="s">
        <v>25</v>
      </c>
      <c r="B24" s="8" t="s">
        <v>15</v>
      </c>
      <c r="C24" s="11">
        <v>2.8395295247239574</v>
      </c>
      <c r="D24" s="12">
        <v>6.0460557125453374</v>
      </c>
      <c r="E24" s="12">
        <f t="shared" si="0"/>
        <v>8.8855852372692947</v>
      </c>
      <c r="F24" s="12">
        <v>19.622799905408566</v>
      </c>
      <c r="G24" s="13">
        <v>7.5803825136611884</v>
      </c>
      <c r="H24" s="14">
        <v>0.14470562500824907</v>
      </c>
      <c r="I24" s="14">
        <v>0.30811381360918244</v>
      </c>
      <c r="J24" s="14">
        <v>0.45281943861743151</v>
      </c>
      <c r="K24" s="19">
        <f t="shared" si="1"/>
        <v>16.783270380684609</v>
      </c>
      <c r="L24" s="20">
        <f t="shared" si="2"/>
        <v>0.85529437499175098</v>
      </c>
    </row>
    <row r="25" spans="1:12" x14ac:dyDescent="0.3">
      <c r="A25" s="8" t="s">
        <v>47</v>
      </c>
      <c r="B25" s="8" t="s">
        <v>16</v>
      </c>
      <c r="C25" s="11">
        <v>2.206347678369196</v>
      </c>
      <c r="D25" s="12">
        <v>14.568090833333335</v>
      </c>
      <c r="E25" s="12">
        <f t="shared" si="0"/>
        <v>16.774438511702531</v>
      </c>
      <c r="F25" s="12">
        <v>15.299749950485253</v>
      </c>
      <c r="G25" s="13">
        <v>3</v>
      </c>
      <c r="H25" s="14">
        <v>0.14420808742035804</v>
      </c>
      <c r="I25" s="14">
        <v>0.95217836111571785</v>
      </c>
      <c r="J25" s="14">
        <v>1.0963864485360759</v>
      </c>
      <c r="K25" s="19">
        <f t="shared" si="1"/>
        <v>13.093402272116057</v>
      </c>
      <c r="L25" s="20">
        <f t="shared" si="2"/>
        <v>0.85579191257964193</v>
      </c>
    </row>
    <row r="26" spans="1:12" x14ac:dyDescent="0.3">
      <c r="A26" s="8" t="s">
        <v>28</v>
      </c>
      <c r="B26" s="8" t="s">
        <v>15</v>
      </c>
      <c r="C26" s="11">
        <v>1.8031880400301454</v>
      </c>
      <c r="D26" s="12">
        <v>7.4122196892702856</v>
      </c>
      <c r="E26" s="12">
        <f t="shared" si="0"/>
        <v>9.2154077293004306</v>
      </c>
      <c r="F26" s="12">
        <v>12.737776129850939</v>
      </c>
      <c r="G26" s="13">
        <v>6.1832240437158434</v>
      </c>
      <c r="H26" s="14">
        <v>0.14156223359934705</v>
      </c>
      <c r="I26" s="14">
        <v>0.58190845982131623</v>
      </c>
      <c r="J26" s="14">
        <v>0.72347069342066317</v>
      </c>
      <c r="K26" s="19">
        <f t="shared" si="1"/>
        <v>10.934588089820794</v>
      </c>
      <c r="L26" s="20">
        <f t="shared" si="2"/>
        <v>0.85843776640065295</v>
      </c>
    </row>
    <row r="27" spans="1:12" x14ac:dyDescent="0.3">
      <c r="A27" s="8" t="s">
        <v>36</v>
      </c>
      <c r="B27" s="8" t="s">
        <v>15</v>
      </c>
      <c r="C27" s="11">
        <v>2.4498411145462371</v>
      </c>
      <c r="D27" s="12">
        <v>15.277138333333337</v>
      </c>
      <c r="E27" s="12">
        <f t="shared" si="0"/>
        <v>17.726979447879575</v>
      </c>
      <c r="F27" s="12">
        <v>17.647058823529441</v>
      </c>
      <c r="G27" s="13">
        <v>3</v>
      </c>
      <c r="H27" s="14">
        <v>0.13882432982428652</v>
      </c>
      <c r="I27" s="14">
        <v>0.86570450555555434</v>
      </c>
      <c r="J27" s="14">
        <v>1.0045288353798409</v>
      </c>
      <c r="K27" s="19">
        <f t="shared" si="1"/>
        <v>15.197217708983205</v>
      </c>
      <c r="L27" s="20">
        <f t="shared" si="2"/>
        <v>0.8611756701757135</v>
      </c>
    </row>
    <row r="28" spans="1:12" x14ac:dyDescent="0.3">
      <c r="A28" s="8" t="s">
        <v>20</v>
      </c>
      <c r="B28" s="8" t="s">
        <v>15</v>
      </c>
      <c r="C28" s="11">
        <v>2.4</v>
      </c>
      <c r="D28" s="12">
        <v>1.9127256472181919</v>
      </c>
      <c r="E28" s="12">
        <f t="shared" si="0"/>
        <v>4.3127256472181923</v>
      </c>
      <c r="F28" s="12">
        <v>16.979243202448302</v>
      </c>
      <c r="G28" s="13">
        <v>23.961311475409858</v>
      </c>
      <c r="H28" s="14">
        <v>0.13812358143411932</v>
      </c>
      <c r="I28" s="14">
        <v>0.1126508186738493</v>
      </c>
      <c r="J28" s="14">
        <v>0.25077440010796864</v>
      </c>
      <c r="K28" s="19">
        <f t="shared" si="1"/>
        <v>14.579243202448302</v>
      </c>
      <c r="L28" s="20">
        <f t="shared" si="2"/>
        <v>0.85865094389755048</v>
      </c>
    </row>
    <row r="29" spans="1:12" x14ac:dyDescent="0.3">
      <c r="A29" s="8" t="s">
        <v>23</v>
      </c>
      <c r="B29" s="8" t="s">
        <v>16</v>
      </c>
      <c r="C29" s="11">
        <v>2.3235487959442338</v>
      </c>
      <c r="D29" s="12">
        <v>6.1130463013918561</v>
      </c>
      <c r="E29" s="12">
        <f t="shared" si="0"/>
        <v>8.4365950973360899</v>
      </c>
      <c r="F29" s="12">
        <v>17.48940523812643</v>
      </c>
      <c r="G29" s="13">
        <v>7.1493442622950765</v>
      </c>
      <c r="H29" s="14">
        <v>0.13285464910373054</v>
      </c>
      <c r="I29" s="14">
        <v>0.34952854131743605</v>
      </c>
      <c r="J29" s="14">
        <v>0.48238319042116656</v>
      </c>
      <c r="K29" s="19">
        <f t="shared" si="1"/>
        <v>15.165856442182196</v>
      </c>
      <c r="L29" s="20">
        <f t="shared" si="2"/>
        <v>0.86714535089626943</v>
      </c>
    </row>
    <row r="30" spans="1:12" x14ac:dyDescent="0.3">
      <c r="A30" s="8" t="s">
        <v>58</v>
      </c>
      <c r="B30" s="8" t="s">
        <v>15</v>
      </c>
      <c r="C30" s="11">
        <v>2.3235487959442338</v>
      </c>
      <c r="D30" s="12">
        <v>15.277138333333337</v>
      </c>
      <c r="E30" s="12">
        <f t="shared" si="0"/>
        <v>17.600687129277571</v>
      </c>
      <c r="F30" s="12">
        <v>17.832150101419909</v>
      </c>
      <c r="G30" s="13">
        <v>3</v>
      </c>
      <c r="H30" s="14">
        <v>0.13030110125414535</v>
      </c>
      <c r="I30" s="14">
        <v>0.85671880544101486</v>
      </c>
      <c r="J30" s="14">
        <v>0.98701990669516027</v>
      </c>
      <c r="K30" s="19">
        <f t="shared" si="1"/>
        <v>15.508601305475676</v>
      </c>
      <c r="L30" s="20">
        <f t="shared" si="2"/>
        <v>0.86969889874585471</v>
      </c>
    </row>
    <row r="31" spans="1:12" x14ac:dyDescent="0.3">
      <c r="A31" s="8" t="s">
        <v>66</v>
      </c>
      <c r="B31" s="8" t="s">
        <v>15</v>
      </c>
      <c r="C31" s="11">
        <v>2.8395295247239574</v>
      </c>
      <c r="D31" s="12">
        <v>15.277138333333337</v>
      </c>
      <c r="E31" s="12">
        <f t="shared" si="0"/>
        <v>18.116667858057294</v>
      </c>
      <c r="F31" s="12">
        <v>22.058823529411764</v>
      </c>
      <c r="G31" s="13">
        <v>3</v>
      </c>
      <c r="H31" s="14">
        <v>0.12872533845415274</v>
      </c>
      <c r="I31" s="14">
        <v>0.69256360444444465</v>
      </c>
      <c r="J31" s="14">
        <v>0.82128894289859733</v>
      </c>
      <c r="K31" s="19">
        <f t="shared" si="1"/>
        <v>19.219294004687807</v>
      </c>
      <c r="L31" s="20">
        <f t="shared" si="2"/>
        <v>0.87127466154584732</v>
      </c>
    </row>
    <row r="32" spans="1:12" x14ac:dyDescent="0.3">
      <c r="A32" s="8" t="s">
        <v>17</v>
      </c>
      <c r="B32" s="8" t="s">
        <v>17</v>
      </c>
      <c r="C32" s="11">
        <v>5.6135094930829466</v>
      </c>
      <c r="D32" s="12">
        <v>22.916425</v>
      </c>
      <c r="E32" s="12">
        <f t="shared" si="0"/>
        <v>28.529934493082948</v>
      </c>
      <c r="F32" s="12">
        <v>45.505243162408341</v>
      </c>
      <c r="G32" s="13">
        <v>3</v>
      </c>
      <c r="H32" s="14">
        <v>0.1233596197486148</v>
      </c>
      <c r="I32" s="14">
        <v>0.50359966033389192</v>
      </c>
      <c r="J32" s="14">
        <v>0.62695928008250679</v>
      </c>
      <c r="K32" s="19">
        <f t="shared" si="1"/>
        <v>39.891733669325397</v>
      </c>
      <c r="L32" s="20">
        <f t="shared" si="2"/>
        <v>0.87664038025138524</v>
      </c>
    </row>
    <row r="33" spans="1:12" x14ac:dyDescent="0.3">
      <c r="A33" s="8" t="s">
        <v>59</v>
      </c>
      <c r="B33" s="8" t="s">
        <v>15</v>
      </c>
      <c r="C33" s="11">
        <v>2.4</v>
      </c>
      <c r="D33" s="12">
        <v>15.277138333333337</v>
      </c>
      <c r="E33" s="12">
        <f t="shared" si="0"/>
        <v>17.677138333333335</v>
      </c>
      <c r="F33" s="12">
        <v>18.848039215686271</v>
      </c>
      <c r="G33" s="13">
        <v>3</v>
      </c>
      <c r="H33" s="14">
        <v>0.12327801154034429</v>
      </c>
      <c r="I33" s="14">
        <v>0.81054257997399259</v>
      </c>
      <c r="J33" s="14">
        <v>0.93382059151433683</v>
      </c>
      <c r="K33" s="19">
        <f t="shared" si="1"/>
        <v>16.448039215686272</v>
      </c>
      <c r="L33" s="20">
        <f t="shared" si="2"/>
        <v>0.87266579973992198</v>
      </c>
    </row>
    <row r="34" spans="1:12" x14ac:dyDescent="0.3">
      <c r="A34" s="8" t="s">
        <v>60</v>
      </c>
      <c r="B34" s="8" t="s">
        <v>15</v>
      </c>
      <c r="C34" s="11">
        <v>2.3235487959442338</v>
      </c>
      <c r="D34" s="12">
        <v>15.277138333333337</v>
      </c>
      <c r="E34" s="12">
        <f t="shared" si="0"/>
        <v>17.600687129277571</v>
      </c>
      <c r="F34" s="12">
        <v>19.411764705882359</v>
      </c>
      <c r="G34" s="13">
        <v>3</v>
      </c>
      <c r="H34" s="14">
        <v>0.11969796827591504</v>
      </c>
      <c r="I34" s="14">
        <v>0.78700409595959586</v>
      </c>
      <c r="J34" s="14">
        <v>0.90670206423551092</v>
      </c>
      <c r="K34" s="19">
        <f t="shared" si="1"/>
        <v>17.088215909938125</v>
      </c>
      <c r="L34" s="20">
        <f t="shared" si="2"/>
        <v>0.88030203172408494</v>
      </c>
    </row>
    <row r="35" spans="1:12" x14ac:dyDescent="0.3">
      <c r="A35" s="8" t="s">
        <v>55</v>
      </c>
      <c r="B35" s="8" t="s">
        <v>15</v>
      </c>
      <c r="C35" s="11">
        <v>2.3235487959442338</v>
      </c>
      <c r="D35" s="12">
        <v>15.277138333333337</v>
      </c>
      <c r="E35" s="12">
        <f t="shared" si="0"/>
        <v>17.600687129277571</v>
      </c>
      <c r="F35" s="12">
        <v>19.580610021786498</v>
      </c>
      <c r="G35" s="13">
        <v>3</v>
      </c>
      <c r="H35" s="14">
        <v>0.11866580220733274</v>
      </c>
      <c r="I35" s="14">
        <v>0.78021769068150204</v>
      </c>
      <c r="J35" s="14">
        <v>0.89888349288883473</v>
      </c>
      <c r="K35" s="19">
        <f t="shared" si="1"/>
        <v>17.257061225842264</v>
      </c>
      <c r="L35" s="20">
        <f t="shared" si="2"/>
        <v>0.88133419779266731</v>
      </c>
    </row>
    <row r="36" spans="1:12" x14ac:dyDescent="0.3">
      <c r="A36" s="8" t="s">
        <v>31</v>
      </c>
      <c r="B36" s="8" t="s">
        <v>15</v>
      </c>
      <c r="C36" s="11">
        <v>2.4</v>
      </c>
      <c r="D36" s="12">
        <v>15.277138333333337</v>
      </c>
      <c r="E36" s="12">
        <f t="shared" si="0"/>
        <v>17.677138333333335</v>
      </c>
      <c r="F36" s="12">
        <v>21.008403361344538</v>
      </c>
      <c r="G36" s="13">
        <v>3</v>
      </c>
      <c r="H36" s="14">
        <v>0.11060092268694553</v>
      </c>
      <c r="I36" s="14">
        <v>0.72719178466666679</v>
      </c>
      <c r="J36" s="14">
        <v>0.83779270735361233</v>
      </c>
      <c r="K36" s="19">
        <f t="shared" si="1"/>
        <v>18.608403361344539</v>
      </c>
      <c r="L36" s="20">
        <f t="shared" si="2"/>
        <v>0.8857600000000001</v>
      </c>
    </row>
    <row r="37" spans="1:12" x14ac:dyDescent="0.3">
      <c r="A37" s="8" t="s">
        <v>30</v>
      </c>
      <c r="B37" s="8" t="s">
        <v>16</v>
      </c>
      <c r="C37" s="11">
        <v>2.21</v>
      </c>
      <c r="D37" s="12">
        <v>14.568090833333335</v>
      </c>
      <c r="E37" s="12">
        <f t="shared" si="0"/>
        <v>16.778090833333334</v>
      </c>
      <c r="F37" s="12">
        <v>20.65531287359779</v>
      </c>
      <c r="G37" s="13">
        <v>3</v>
      </c>
      <c r="H37" s="14">
        <v>0.10699426406776365</v>
      </c>
      <c r="I37" s="14">
        <v>0.70529509392978906</v>
      </c>
      <c r="J37" s="14">
        <v>0.81228935799755264</v>
      </c>
      <c r="K37" s="19">
        <f t="shared" si="1"/>
        <v>18.445312873597789</v>
      </c>
      <c r="L37" s="20">
        <f t="shared" si="2"/>
        <v>0.89300573593223631</v>
      </c>
    </row>
    <row r="38" spans="1:12" x14ac:dyDescent="0.3">
      <c r="A38" s="8" t="s">
        <v>57</v>
      </c>
      <c r="B38" s="8" t="s">
        <v>15</v>
      </c>
      <c r="C38" s="11">
        <v>2.3235487959442338</v>
      </c>
      <c r="D38" s="12">
        <v>15.277138333333337</v>
      </c>
      <c r="E38" s="12">
        <f t="shared" si="0"/>
        <v>17.600687129277571</v>
      </c>
      <c r="F38" s="12">
        <v>22.058823529411764</v>
      </c>
      <c r="G38" s="13">
        <v>3</v>
      </c>
      <c r="H38" s="14">
        <v>0.10533421208280527</v>
      </c>
      <c r="I38" s="14">
        <v>0.69256360444444465</v>
      </c>
      <c r="J38" s="14">
        <v>0.79789781652724989</v>
      </c>
      <c r="K38" s="19">
        <f t="shared" si="1"/>
        <v>19.735274733467531</v>
      </c>
      <c r="L38" s="20">
        <f t="shared" si="2"/>
        <v>0.89466578791719475</v>
      </c>
    </row>
    <row r="39" spans="1:12" x14ac:dyDescent="0.3">
      <c r="A39" s="8" t="s">
        <v>61</v>
      </c>
      <c r="B39" s="8" t="s">
        <v>15</v>
      </c>
      <c r="C39" s="11">
        <v>2.3235487959442338</v>
      </c>
      <c r="D39" s="12">
        <v>15.277138333333337</v>
      </c>
      <c r="E39" s="12">
        <f t="shared" si="0"/>
        <v>17.600687129277571</v>
      </c>
      <c r="F39" s="12">
        <v>22.058823529411764</v>
      </c>
      <c r="G39" s="13">
        <v>3</v>
      </c>
      <c r="H39" s="14">
        <v>0.10533421208280527</v>
      </c>
      <c r="I39" s="14">
        <v>0.69256360444444465</v>
      </c>
      <c r="J39" s="14">
        <v>0.79789781652724989</v>
      </c>
      <c r="K39" s="19">
        <f t="shared" si="1"/>
        <v>19.735274733467531</v>
      </c>
      <c r="L39" s="20">
        <f t="shared" si="2"/>
        <v>0.89466578791719475</v>
      </c>
    </row>
    <row r="40" spans="1:12" x14ac:dyDescent="0.3">
      <c r="A40" s="8" t="s">
        <v>62</v>
      </c>
      <c r="B40" s="8" t="s">
        <v>15</v>
      </c>
      <c r="C40" s="11">
        <v>2.3235487959442338</v>
      </c>
      <c r="D40" s="12">
        <v>15.277138333333337</v>
      </c>
      <c r="E40" s="12">
        <f t="shared" si="0"/>
        <v>17.600687129277571</v>
      </c>
      <c r="F40" s="12">
        <v>22.058823529411764</v>
      </c>
      <c r="G40" s="13">
        <v>3</v>
      </c>
      <c r="H40" s="14">
        <v>0.10533421208280527</v>
      </c>
      <c r="I40" s="14">
        <v>0.69256360444444465</v>
      </c>
      <c r="J40" s="14">
        <v>0.79789781652724989</v>
      </c>
      <c r="K40" s="19">
        <f t="shared" si="1"/>
        <v>19.735274733467531</v>
      </c>
      <c r="L40" s="20">
        <f t="shared" si="2"/>
        <v>0.89466578791719475</v>
      </c>
    </row>
    <row r="41" spans="1:12" x14ac:dyDescent="0.3">
      <c r="A41" s="8" t="s">
        <v>49</v>
      </c>
      <c r="B41" s="8" t="s">
        <v>15</v>
      </c>
      <c r="C41" s="11">
        <v>2.3452338811630851</v>
      </c>
      <c r="D41" s="12">
        <v>15.277138333333337</v>
      </c>
      <c r="E41" s="12">
        <f t="shared" si="0"/>
        <v>17.622372214496423</v>
      </c>
      <c r="F41" s="12">
        <v>22.352941176470569</v>
      </c>
      <c r="G41" s="13">
        <v>3</v>
      </c>
      <c r="H41" s="14">
        <v>0.10491835784150652</v>
      </c>
      <c r="I41" s="14">
        <v>0.6834509254385972</v>
      </c>
      <c r="J41" s="14">
        <v>0.78836928328010381</v>
      </c>
      <c r="K41" s="19">
        <f t="shared" si="1"/>
        <v>20.007707295307483</v>
      </c>
      <c r="L41" s="20">
        <f t="shared" si="2"/>
        <v>0.8950816421584934</v>
      </c>
    </row>
    <row r="42" spans="1:12" x14ac:dyDescent="0.3">
      <c r="A42" s="8" t="s">
        <v>53</v>
      </c>
      <c r="B42" s="8" t="s">
        <v>16</v>
      </c>
      <c r="C42" s="11">
        <v>2.4490459229898076</v>
      </c>
      <c r="D42" s="12">
        <v>22.916425</v>
      </c>
      <c r="E42" s="12">
        <f t="shared" si="0"/>
        <v>25.365470922989807</v>
      </c>
      <c r="F42" s="12">
        <v>23.52941176470588</v>
      </c>
      <c r="G42" s="13">
        <v>3</v>
      </c>
      <c r="H42" s="14">
        <v>0.10408445172706683</v>
      </c>
      <c r="I42" s="14">
        <v>0.9739480625000001</v>
      </c>
      <c r="J42" s="14">
        <v>1.0780325142270668</v>
      </c>
      <c r="K42" s="19">
        <f t="shared" si="1"/>
        <v>21.080365841716073</v>
      </c>
      <c r="L42" s="20">
        <f t="shared" si="2"/>
        <v>0.89591554827293318</v>
      </c>
    </row>
    <row r="43" spans="1:12" x14ac:dyDescent="0.3">
      <c r="A43" t="s">
        <v>35</v>
      </c>
      <c r="B43" s="8" t="s">
        <v>15</v>
      </c>
      <c r="C43" s="11">
        <v>1.4304241248567149</v>
      </c>
      <c r="D43" s="12">
        <v>7.4759768825542885</v>
      </c>
      <c r="E43" s="12">
        <f t="shared" si="0"/>
        <v>8.906401007411004</v>
      </c>
      <c r="F43" s="12">
        <v>15.145672928857383</v>
      </c>
      <c r="G43" s="13">
        <v>6.1304918032786864</v>
      </c>
      <c r="H43" s="14">
        <v>9.4444408748012534E-2</v>
      </c>
      <c r="I43" s="14">
        <v>0.49360480169290766</v>
      </c>
      <c r="J43" s="14">
        <v>0.58804921044092018</v>
      </c>
      <c r="K43" s="19">
        <f t="shared" si="1"/>
        <v>13.715248804000668</v>
      </c>
      <c r="L43" s="20">
        <f t="shared" si="2"/>
        <v>0.90555559125198737</v>
      </c>
    </row>
    <row r="44" spans="1:12" x14ac:dyDescent="0.3">
      <c r="A44" s="8" t="s">
        <v>50</v>
      </c>
      <c r="B44" s="8" t="s">
        <v>15</v>
      </c>
      <c r="C44" s="11">
        <v>2.3235487959442338</v>
      </c>
      <c r="D44" s="12">
        <v>15.277138333333337</v>
      </c>
      <c r="E44" s="12">
        <f t="shared" si="0"/>
        <v>17.600687129277571</v>
      </c>
      <c r="F44" s="12">
        <v>70.800850460666197</v>
      </c>
      <c r="G44" s="13">
        <v>3</v>
      </c>
      <c r="H44" s="14">
        <v>3.2818091602375511E-2</v>
      </c>
      <c r="I44" s="14">
        <v>0.21577619808141479</v>
      </c>
      <c r="J44" s="14">
        <v>0.2485942896837903</v>
      </c>
      <c r="K44" s="19">
        <f t="shared" si="1"/>
        <v>68.477301664721963</v>
      </c>
      <c r="L44" s="20">
        <f t="shared" si="2"/>
        <v>0.96718190839762452</v>
      </c>
    </row>
    <row r="45" spans="1:12" x14ac:dyDescent="0.3">
      <c r="A45" s="8" t="s">
        <v>113</v>
      </c>
      <c r="B45" s="8" t="s">
        <v>16</v>
      </c>
      <c r="C45" s="11">
        <v>2.4490459229898076</v>
      </c>
      <c r="D45" s="12">
        <v>14.568090833333335</v>
      </c>
      <c r="E45" s="12">
        <f t="shared" ref="E45:E46" si="3">D45+C45</f>
        <v>17.017136756323143</v>
      </c>
      <c r="F45" s="12">
        <v>14.117647058823527</v>
      </c>
      <c r="G45" s="13">
        <v>3</v>
      </c>
      <c r="H45" s="14">
        <v>0.17347408621177807</v>
      </c>
      <c r="I45" s="14">
        <v>1.0319064340277779</v>
      </c>
      <c r="J45" s="14">
        <v>1.2053805202395562</v>
      </c>
      <c r="K45" s="19">
        <f t="shared" ref="K45:K46" si="4">F45-C45</f>
        <v>11.66860113583372</v>
      </c>
      <c r="L45" s="20">
        <f t="shared" ref="L45:L46" si="5">K45/F45</f>
        <v>0.82652591378822193</v>
      </c>
    </row>
    <row r="46" spans="1:12" x14ac:dyDescent="0.3">
      <c r="A46" s="26" t="s">
        <v>114</v>
      </c>
      <c r="B46" s="8" t="s">
        <v>15</v>
      </c>
      <c r="C46" s="11">
        <v>1.9</v>
      </c>
      <c r="D46" s="12">
        <v>7.4122196892702856</v>
      </c>
      <c r="E46" s="12">
        <f t="shared" si="3"/>
        <v>9.312219689270286</v>
      </c>
      <c r="F46" s="12">
        <v>12.737776129850939</v>
      </c>
      <c r="G46" s="13">
        <v>6.1832240437158434</v>
      </c>
      <c r="H46" s="14">
        <v>0.14156223359934705</v>
      </c>
      <c r="I46" s="14">
        <v>0.58190845982131623</v>
      </c>
      <c r="J46" s="14">
        <v>0.72347069342066317</v>
      </c>
      <c r="K46" s="19">
        <f t="shared" si="4"/>
        <v>10.837776129850939</v>
      </c>
      <c r="L46" s="20">
        <f t="shared" si="5"/>
        <v>0.85083738474981074</v>
      </c>
    </row>
    <row r="47" spans="1:12" x14ac:dyDescent="0.3">
      <c r="A47" t="s">
        <v>116</v>
      </c>
      <c r="B47" s="8" t="s">
        <v>15</v>
      </c>
      <c r="C47" s="11">
        <v>1.9</v>
      </c>
      <c r="D47" s="12">
        <v>7.4122196892702856</v>
      </c>
      <c r="E47" s="12">
        <f t="shared" ref="E47:E51" si="6">D47+C47</f>
        <v>9.312219689270286</v>
      </c>
      <c r="F47" s="12">
        <v>12.737776129850939</v>
      </c>
      <c r="G47" s="13">
        <v>6.1832240437158434</v>
      </c>
      <c r="H47" s="14">
        <v>0.14156223359934705</v>
      </c>
      <c r="I47" s="14">
        <v>0.58190845982131623</v>
      </c>
      <c r="J47" s="14">
        <v>0.72347069342066317</v>
      </c>
      <c r="K47" s="19">
        <f t="shared" ref="K47:K51" si="7">F47-C47</f>
        <v>10.837776129850939</v>
      </c>
      <c r="L47" s="20">
        <f t="shared" ref="L47:L51" si="8">K47/F47</f>
        <v>0.85083738474981074</v>
      </c>
    </row>
    <row r="48" spans="1:12" x14ac:dyDescent="0.3">
      <c r="A48" s="26" t="s">
        <v>118</v>
      </c>
      <c r="B48" s="8" t="s">
        <v>15</v>
      </c>
      <c r="C48" s="11">
        <v>2.8814478282576137</v>
      </c>
      <c r="D48" s="12">
        <v>4.7266455585987686</v>
      </c>
      <c r="E48" s="12">
        <f t="shared" si="6"/>
        <v>7.6080933868563818</v>
      </c>
      <c r="F48" s="12">
        <v>18.166360294117631</v>
      </c>
      <c r="G48" s="13">
        <v>9.6963934426229539</v>
      </c>
      <c r="H48" s="14">
        <v>0.15861448202096062</v>
      </c>
      <c r="I48" s="14">
        <v>0.26018671225679052</v>
      </c>
      <c r="J48" s="14">
        <v>0.41880119427775114</v>
      </c>
      <c r="K48" s="19">
        <f t="shared" si="7"/>
        <v>15.284912465860018</v>
      </c>
      <c r="L48" s="20">
        <f t="shared" si="8"/>
        <v>0.84138551797903938</v>
      </c>
    </row>
    <row r="49" spans="1:12" x14ac:dyDescent="0.3">
      <c r="A49" t="s">
        <v>119</v>
      </c>
      <c r="B49" s="8" t="s">
        <v>15</v>
      </c>
      <c r="C49" s="11">
        <v>2.3235487959442338</v>
      </c>
      <c r="D49" s="12">
        <v>15.277138333333337</v>
      </c>
      <c r="E49" s="12">
        <f t="shared" si="6"/>
        <v>17.600687129277571</v>
      </c>
      <c r="F49" s="12">
        <v>22.058823529411764</v>
      </c>
      <c r="G49" s="13">
        <v>3</v>
      </c>
      <c r="H49" s="14">
        <v>0.10533421208280527</v>
      </c>
      <c r="I49" s="14">
        <v>0.69256360444444465</v>
      </c>
      <c r="J49" s="14">
        <v>0.79789781652724989</v>
      </c>
      <c r="K49" s="19">
        <f t="shared" si="7"/>
        <v>19.735274733467531</v>
      </c>
      <c r="L49" s="20">
        <f t="shared" si="8"/>
        <v>0.89466578791719475</v>
      </c>
    </row>
    <row r="50" spans="1:12" x14ac:dyDescent="0.3">
      <c r="A50" t="s">
        <v>50</v>
      </c>
      <c r="B50" s="8" t="s">
        <v>15</v>
      </c>
      <c r="C50" s="11">
        <v>2.3235487959442338</v>
      </c>
      <c r="D50" s="12">
        <v>1.0184758888888892</v>
      </c>
      <c r="E50" s="12">
        <f t="shared" si="6"/>
        <v>3.342024684833123</v>
      </c>
      <c r="F50" s="12">
        <v>14.925574379146092</v>
      </c>
      <c r="G50" s="13">
        <v>85.215846994535141</v>
      </c>
      <c r="H50" s="14">
        <v>0.15567567029049684</v>
      </c>
      <c r="I50" s="14">
        <v>6.8236964489078331E-2</v>
      </c>
      <c r="J50" s="14">
        <v>0.22391263477957515</v>
      </c>
      <c r="K50" s="19">
        <f t="shared" si="7"/>
        <v>12.602025583201858</v>
      </c>
      <c r="L50" s="20">
        <f t="shared" si="8"/>
        <v>0.84432432970950322</v>
      </c>
    </row>
    <row r="51" spans="1:12" x14ac:dyDescent="0.3">
      <c r="A51" t="s">
        <v>137</v>
      </c>
      <c r="B51" s="8" t="s">
        <v>15</v>
      </c>
      <c r="C51" s="11">
        <v>2.3235487959442338</v>
      </c>
      <c r="D51" s="12">
        <v>7.3748089240022141</v>
      </c>
      <c r="E51" s="12">
        <f t="shared" si="6"/>
        <v>9.698357719946447</v>
      </c>
      <c r="F51" s="12">
        <v>10.390581935585491</v>
      </c>
      <c r="G51" s="13">
        <v>6.214590163934429</v>
      </c>
      <c r="H51" s="14">
        <v>0.22362066055093438</v>
      </c>
      <c r="I51" s="14">
        <v>0.70975898844944307</v>
      </c>
      <c r="J51" s="14">
        <v>0.9333796490003774</v>
      </c>
      <c r="K51" s="19">
        <f t="shared" si="7"/>
        <v>8.0670331396412571</v>
      </c>
      <c r="L51" s="20">
        <f t="shared" si="8"/>
        <v>0.77637933944906556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6</vt:i4>
      </vt:variant>
    </vt:vector>
  </HeadingPairs>
  <TitlesOfParts>
    <vt:vector size="24" baseType="lpstr">
      <vt:lpstr>Planilha2</vt:lpstr>
      <vt:lpstr>ANALISE</vt:lpstr>
      <vt:lpstr>JORNADAS</vt:lpstr>
      <vt:lpstr>ENCOMENDA</vt:lpstr>
      <vt:lpstr>Crono_Seg</vt:lpstr>
      <vt:lpstr>Crono_Ter</vt:lpstr>
      <vt:lpstr>Crono_Qua</vt:lpstr>
      <vt:lpstr>Crono_Qui</vt:lpstr>
      <vt:lpstr>Crono_Sex</vt:lpstr>
      <vt:lpstr>Crono_Sab</vt:lpstr>
      <vt:lpstr>AP_CRONO_SEG</vt:lpstr>
      <vt:lpstr>AP_CRONO_TER</vt:lpstr>
      <vt:lpstr>AP_CRONO_qua</vt:lpstr>
      <vt:lpstr>AP_CRONO_Qui</vt:lpstr>
      <vt:lpstr>AP_CRONO_Sex</vt:lpstr>
      <vt:lpstr>AP_CRONO_Sab</vt:lpstr>
      <vt:lpstr>PROCESSO</vt:lpstr>
      <vt:lpstr>RECEITAS</vt:lpstr>
      <vt:lpstr>AP_CRONO_qua!Relogio</vt:lpstr>
      <vt:lpstr>AP_CRONO_Qui!Relogio</vt:lpstr>
      <vt:lpstr>AP_CRONO_Sab!Relogio</vt:lpstr>
      <vt:lpstr>AP_CRONO_Sex!Relogio</vt:lpstr>
      <vt:lpstr>AP_CRONO_TER!Relogio</vt:lpstr>
      <vt:lpstr>Relogio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Kléber Sabadin</dc:creator>
  <cp:lastModifiedBy>Kléber Sabadin</cp:lastModifiedBy>
  <cp:lastPrinted>2018-05-24T17:18:33Z</cp:lastPrinted>
  <dcterms:created xsi:type="dcterms:W3CDTF">2018-05-14T17:06:01Z</dcterms:created>
  <dcterms:modified xsi:type="dcterms:W3CDTF">2018-06-20T20:39:01Z</dcterms:modified>
</cp:coreProperties>
</file>